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3af0d1e094022028/Documents/Projects/data-analytics/case-study-tx-hospital-quality/v1/"/>
    </mc:Choice>
  </mc:AlternateContent>
  <xr:revisionPtr revIDLastSave="2319" documentId="8_{76355B4A-FE6D-4FA2-9FAC-16EAF5547FBE}" xr6:coauthVersionLast="47" xr6:coauthVersionMax="47" xr10:uidLastSave="{17794A60-0DBD-4B47-B9B0-A2FC3595E71A}"/>
  <bookViews>
    <workbookView xWindow="14630" yWindow="0" windowWidth="14900" windowHeight="17770" firstSheet="2" activeTab="2" xr2:uid="{8A5935DE-1AEA-42F5-9B7B-949B8978E777}"/>
  </bookViews>
  <sheets>
    <sheet name="hospital-cleaned" sheetId="4" r:id="rId1"/>
    <sheet name="hcahps-cleaned" sheetId="5" r:id="rId2"/>
    <sheet name="readmission-cleaned" sheetId="6" r:id="rId3"/>
    <sheet name="merged-cleaned" sheetId="7" r:id="rId4"/>
    <sheet name="analysis" sheetId="8" r:id="rId5"/>
    <sheet name="dashboard-support" sheetId="10" state="hidden" r:id="rId6"/>
    <sheet name="dashboard" sheetId="9" r:id="rId7"/>
  </sheets>
  <definedNames>
    <definedName name="ExternalData_1" localSheetId="0" hidden="1">'hospital-cleaned'!$A$1:$N$286</definedName>
    <definedName name="ExternalData_2" localSheetId="1" hidden="1">'hcahps-cleaned'!$A$1:$K$286</definedName>
    <definedName name="ExternalData_2" localSheetId="3" hidden="1">'merged-cleaned'!$A$1:$AI$286</definedName>
    <definedName name="ExternalData_3" localSheetId="2" hidden="1">'readmission-cleaned'!$A$1:$I$286</definedName>
    <definedName name="TX_Mean_Overall_Rating">analysis!$E$9</definedName>
    <definedName name="TX_Median_Overall_Rating">analysis!$E$10</definedName>
    <definedName name="TX_Median_Rating_9_10">analysis!$E$7</definedName>
    <definedName name="TX_Median_Readmission">analysis!$E$8</definedName>
    <definedName name="TX_Median_Recommend">analysis!$E$4</definedName>
    <definedName name="TX_Recommend_Q1">analysis!$E$5</definedName>
    <definedName name="TX_Recommend_Q3">analysis!$E$6</definedName>
    <definedName name="X_Recommend_Q1">analysis!$E$5</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5" i="9" l="1"/>
  <c r="A39" i="10"/>
  <c r="A40" i="10"/>
  <c r="A38" i="10"/>
  <c r="A35" i="10"/>
  <c r="A41" i="10"/>
  <c r="A42" i="10"/>
  <c r="A36" i="10"/>
  <c r="A37" i="10"/>
  <c r="B3" i="9"/>
  <c r="C51" i="8" a="1"/>
  <c r="C51" i="8" s="1"/>
  <c r="D51" i="8" s="1"/>
  <c r="C50" i="8" a="1"/>
  <c r="C50" i="8" s="1"/>
  <c r="D50" i="8" s="1"/>
  <c r="C49" i="8" a="1"/>
  <c r="C49" i="8" s="1"/>
  <c r="D49" i="8" s="1"/>
  <c r="C48" i="8" a="1"/>
  <c r="C48" i="8" s="1"/>
  <c r="D48" i="8" s="1"/>
  <c r="C47" i="8" a="1"/>
  <c r="C47" i="8" s="1"/>
  <c r="D47" i="8" s="1"/>
  <c r="B51" i="8" a="1"/>
  <c r="B51" i="8" s="1"/>
  <c r="B50" i="8" a="1"/>
  <c r="B50" i="8" s="1"/>
  <c r="B49" i="8" a="1"/>
  <c r="B49" i="8" s="1"/>
  <c r="B48" i="8" a="1"/>
  <c r="B48" i="8" s="1"/>
  <c r="B52" i="8" a="1"/>
  <c r="B52" i="8" s="1"/>
  <c r="B47" i="8" a="1"/>
  <c r="B47" i="8" s="1"/>
  <c r="C44" i="8" a="1"/>
  <c r="C44" i="8" s="1"/>
  <c r="D44" i="8" s="1"/>
  <c r="C43" i="8" a="1"/>
  <c r="C43" i="8" s="1"/>
  <c r="D43" i="8" s="1"/>
  <c r="C42" i="8" a="1"/>
  <c r="C42" i="8" s="1"/>
  <c r="D42" i="8" s="1"/>
  <c r="C41" i="8" a="1"/>
  <c r="C41" i="8" s="1"/>
  <c r="D41" i="8" s="1"/>
  <c r="B44" i="8" a="1"/>
  <c r="B44" i="8" s="1"/>
  <c r="B43" i="8" a="1"/>
  <c r="B43" i="8" s="1"/>
  <c r="B42" i="8" a="1"/>
  <c r="B42" i="8" s="1"/>
  <c r="B41" i="8" a="1"/>
  <c r="B41" i="8" s="1"/>
  <c r="C53" i="8" a="1"/>
  <c r="C53" i="8" s="1"/>
  <c r="D53" i="8" s="1"/>
  <c r="B53" i="8" a="1"/>
  <c r="B53" i="8" s="1"/>
  <c r="C52" i="8" a="1"/>
  <c r="C52" i="8" s="1"/>
  <c r="D52" i="8" s="1"/>
  <c r="C45" i="8" a="1"/>
  <c r="C45" i="8" s="1"/>
  <c r="D45" i="8" s="1"/>
  <c r="B45" i="8" a="1"/>
  <c r="B45" i="8" s="1"/>
  <c r="C46" i="8" a="1"/>
  <c r="C46" i="8" s="1"/>
  <c r="D46" i="8" s="1"/>
  <c r="B46" i="8" a="1"/>
  <c r="B46" i="8" s="1"/>
  <c r="J36" i="8"/>
  <c r="I36" i="8"/>
  <c r="H36" i="8"/>
  <c r="G36" i="8"/>
  <c r="F36" i="8"/>
  <c r="E36" i="8"/>
  <c r="D36" i="8"/>
  <c r="B36" i="8"/>
  <c r="C36" i="8" s="1"/>
  <c r="J35" i="8"/>
  <c r="I35" i="8"/>
  <c r="H35" i="8"/>
  <c r="G35" i="8"/>
  <c r="F35" i="8"/>
  <c r="E35" i="8"/>
  <c r="D35" i="8"/>
  <c r="B35" i="8"/>
  <c r="C35" i="8" s="1"/>
  <c r="J34" i="8"/>
  <c r="J33" i="8"/>
  <c r="J32" i="8"/>
  <c r="J31" i="8"/>
  <c r="J30" i="8"/>
  <c r="J29" i="8"/>
  <c r="I34" i="8"/>
  <c r="I33" i="8"/>
  <c r="I32" i="8"/>
  <c r="I31" i="8"/>
  <c r="I30" i="8"/>
  <c r="I29" i="8"/>
  <c r="H34" i="8"/>
  <c r="H33" i="8"/>
  <c r="H32" i="8"/>
  <c r="H31" i="8"/>
  <c r="H30" i="8"/>
  <c r="H29" i="8"/>
  <c r="G34" i="8"/>
  <c r="G33" i="8"/>
  <c r="G32" i="8"/>
  <c r="G31" i="8"/>
  <c r="G30" i="8"/>
  <c r="G29" i="8"/>
  <c r="G28" i="8"/>
  <c r="F34" i="8"/>
  <c r="F33" i="8"/>
  <c r="F32" i="8"/>
  <c r="F31" i="8"/>
  <c r="F30" i="8"/>
  <c r="F29" i="8"/>
  <c r="E34" i="8"/>
  <c r="E33" i="8"/>
  <c r="E32" i="8"/>
  <c r="E31" i="8"/>
  <c r="E30" i="8"/>
  <c r="E29" i="8"/>
  <c r="D34" i="8"/>
  <c r="D33" i="8"/>
  <c r="D32" i="8"/>
  <c r="D31" i="8"/>
  <c r="D30" i="8"/>
  <c r="D29" i="8"/>
  <c r="B34" i="8"/>
  <c r="C34" i="8" s="1"/>
  <c r="B33" i="8"/>
  <c r="C33" i="8" s="1"/>
  <c r="B32" i="8"/>
  <c r="C32" i="8" s="1"/>
  <c r="B31" i="8"/>
  <c r="C31" i="8" s="1"/>
  <c r="B30" i="8"/>
  <c r="C30" i="8" s="1"/>
  <c r="B29" i="8"/>
  <c r="C29" i="8" s="1"/>
  <c r="J28" i="8"/>
  <c r="I28" i="8"/>
  <c r="H28" i="8"/>
  <c r="F28" i="8"/>
  <c r="E28" i="8"/>
  <c r="D28" i="8"/>
  <c r="B28" i="8"/>
  <c r="C28" i="8" s="1"/>
  <c r="B17" i="8"/>
  <c r="B11" i="8"/>
  <c r="B9" i="8"/>
  <c r="B8" i="8"/>
  <c r="B7" i="8"/>
  <c r="B5" i="8"/>
  <c r="B4" i="8"/>
  <c r="B15" i="8" s="1"/>
  <c r="AJ2" i="7"/>
  <c r="AJ3" i="7"/>
  <c r="AJ4" i="7"/>
  <c r="AJ5" i="7"/>
  <c r="AJ6" i="7"/>
  <c r="AJ7" i="7"/>
  <c r="AJ8" i="7"/>
  <c r="AJ9" i="7"/>
  <c r="AJ10" i="7"/>
  <c r="AJ11" i="7"/>
  <c r="AJ12" i="7"/>
  <c r="AJ13" i="7"/>
  <c r="AJ14" i="7"/>
  <c r="AJ15" i="7"/>
  <c r="AJ16" i="7"/>
  <c r="AJ17" i="7"/>
  <c r="AJ18" i="7"/>
  <c r="AJ19" i="7"/>
  <c r="AJ20" i="7"/>
  <c r="AJ21" i="7"/>
  <c r="AJ22" i="7"/>
  <c r="AJ23" i="7"/>
  <c r="AJ24" i="7"/>
  <c r="AJ25" i="7"/>
  <c r="AJ26" i="7"/>
  <c r="AJ27" i="7"/>
  <c r="AJ28" i="7"/>
  <c r="AJ29" i="7"/>
  <c r="AJ30" i="7"/>
  <c r="AJ31" i="7"/>
  <c r="AJ32" i="7"/>
  <c r="AJ33" i="7"/>
  <c r="AJ34" i="7"/>
  <c r="AJ35" i="7"/>
  <c r="AJ36" i="7"/>
  <c r="AJ37" i="7"/>
  <c r="AJ38" i="7"/>
  <c r="AJ39" i="7"/>
  <c r="AJ40" i="7"/>
  <c r="AJ41" i="7"/>
  <c r="AJ42" i="7"/>
  <c r="AJ43" i="7"/>
  <c r="AJ44" i="7"/>
  <c r="AJ45" i="7"/>
  <c r="AJ46" i="7"/>
  <c r="AJ47" i="7"/>
  <c r="AJ48" i="7"/>
  <c r="AJ49" i="7"/>
  <c r="AJ50" i="7"/>
  <c r="AJ51" i="7"/>
  <c r="AJ52" i="7"/>
  <c r="AJ53" i="7"/>
  <c r="AJ54" i="7"/>
  <c r="AJ55" i="7"/>
  <c r="AJ56" i="7"/>
  <c r="AJ57" i="7"/>
  <c r="AJ58" i="7"/>
  <c r="AJ59" i="7"/>
  <c r="AJ60" i="7"/>
  <c r="AJ61" i="7"/>
  <c r="AJ62" i="7"/>
  <c r="AJ63" i="7"/>
  <c r="AJ64" i="7"/>
  <c r="AJ65" i="7"/>
  <c r="AJ66" i="7"/>
  <c r="AJ67" i="7"/>
  <c r="AJ68" i="7"/>
  <c r="AJ69" i="7"/>
  <c r="AJ70" i="7"/>
  <c r="AJ71" i="7"/>
  <c r="AJ72" i="7"/>
  <c r="AJ73" i="7"/>
  <c r="AJ74" i="7"/>
  <c r="AJ75" i="7"/>
  <c r="AJ76" i="7"/>
  <c r="AJ77" i="7"/>
  <c r="AJ78" i="7"/>
  <c r="AJ79" i="7"/>
  <c r="AJ80" i="7"/>
  <c r="AJ81" i="7"/>
  <c r="AJ82" i="7"/>
  <c r="AJ83" i="7"/>
  <c r="AJ84" i="7"/>
  <c r="AJ85" i="7"/>
  <c r="AJ86" i="7"/>
  <c r="AJ87" i="7"/>
  <c r="AJ88" i="7"/>
  <c r="AJ89" i="7"/>
  <c r="AJ90" i="7"/>
  <c r="AJ91" i="7"/>
  <c r="AJ92" i="7"/>
  <c r="AJ93" i="7"/>
  <c r="AJ94" i="7"/>
  <c r="AJ95" i="7"/>
  <c r="AJ96" i="7"/>
  <c r="AJ97" i="7"/>
  <c r="AJ98" i="7"/>
  <c r="AJ99" i="7"/>
  <c r="AJ100" i="7"/>
  <c r="AJ101" i="7"/>
  <c r="AJ102" i="7"/>
  <c r="AJ103" i="7"/>
  <c r="AJ104" i="7"/>
  <c r="AJ105" i="7"/>
  <c r="AJ106" i="7"/>
  <c r="AJ107" i="7"/>
  <c r="AJ108" i="7"/>
  <c r="AJ109" i="7"/>
  <c r="AJ110" i="7"/>
  <c r="AJ111" i="7"/>
  <c r="AJ112" i="7"/>
  <c r="AJ113" i="7"/>
  <c r="AJ114" i="7"/>
  <c r="AJ115" i="7"/>
  <c r="AJ116" i="7"/>
  <c r="AJ117" i="7"/>
  <c r="AJ118" i="7"/>
  <c r="AJ119" i="7"/>
  <c r="AJ120" i="7"/>
  <c r="AJ121" i="7"/>
  <c r="AJ122" i="7"/>
  <c r="AJ123" i="7"/>
  <c r="AJ124" i="7"/>
  <c r="AJ125" i="7"/>
  <c r="AJ126" i="7"/>
  <c r="AJ127" i="7"/>
  <c r="AJ128" i="7"/>
  <c r="AJ129" i="7"/>
  <c r="AJ130" i="7"/>
  <c r="AJ131" i="7"/>
  <c r="AJ132" i="7"/>
  <c r="AJ133" i="7"/>
  <c r="AJ134" i="7"/>
  <c r="AJ135" i="7"/>
  <c r="AJ136" i="7"/>
  <c r="AJ137" i="7"/>
  <c r="AJ138" i="7"/>
  <c r="AJ139" i="7"/>
  <c r="AJ140" i="7"/>
  <c r="AJ141" i="7"/>
  <c r="AJ142" i="7"/>
  <c r="AJ143" i="7"/>
  <c r="AJ144" i="7"/>
  <c r="AJ145" i="7"/>
  <c r="AJ146" i="7"/>
  <c r="AJ147" i="7"/>
  <c r="AJ148" i="7"/>
  <c r="AJ149" i="7"/>
  <c r="AJ150" i="7"/>
  <c r="AJ151" i="7"/>
  <c r="AJ152" i="7"/>
  <c r="AJ153" i="7"/>
  <c r="AJ154" i="7"/>
  <c r="AJ155" i="7"/>
  <c r="AJ156" i="7"/>
  <c r="AJ157" i="7"/>
  <c r="AJ158" i="7"/>
  <c r="AJ159" i="7"/>
  <c r="AJ160" i="7"/>
  <c r="AJ161" i="7"/>
  <c r="AJ162" i="7"/>
  <c r="AJ163" i="7"/>
  <c r="AJ164" i="7"/>
  <c r="AJ165" i="7"/>
  <c r="AJ166" i="7"/>
  <c r="AJ167" i="7"/>
  <c r="AJ168" i="7"/>
  <c r="AJ169" i="7"/>
  <c r="AJ170" i="7"/>
  <c r="AJ171" i="7"/>
  <c r="AJ172" i="7"/>
  <c r="AJ173" i="7"/>
  <c r="AJ174" i="7"/>
  <c r="AJ175" i="7"/>
  <c r="AJ176" i="7"/>
  <c r="AJ177" i="7"/>
  <c r="AJ178" i="7"/>
  <c r="AJ179" i="7"/>
  <c r="AJ180" i="7"/>
  <c r="AJ181" i="7"/>
  <c r="AJ182" i="7"/>
  <c r="AJ183" i="7"/>
  <c r="AJ184" i="7"/>
  <c r="AJ185" i="7"/>
  <c r="AJ186" i="7"/>
  <c r="AJ187" i="7"/>
  <c r="AJ188" i="7"/>
  <c r="AJ189" i="7"/>
  <c r="AJ190" i="7"/>
  <c r="AJ191" i="7"/>
  <c r="AJ192" i="7"/>
  <c r="AJ193" i="7"/>
  <c r="AJ194" i="7"/>
  <c r="AJ195" i="7"/>
  <c r="AJ196" i="7"/>
  <c r="AJ197" i="7"/>
  <c r="AJ198" i="7"/>
  <c r="AJ199" i="7"/>
  <c r="AJ200" i="7"/>
  <c r="AJ201" i="7"/>
  <c r="AJ202" i="7"/>
  <c r="AJ203" i="7"/>
  <c r="AJ204" i="7"/>
  <c r="AJ205" i="7"/>
  <c r="AJ206" i="7"/>
  <c r="AJ207" i="7"/>
  <c r="AJ208" i="7"/>
  <c r="AJ209" i="7"/>
  <c r="AJ210" i="7"/>
  <c r="AJ211" i="7"/>
  <c r="AJ212" i="7"/>
  <c r="AJ213" i="7"/>
  <c r="AJ214" i="7"/>
  <c r="AJ215" i="7"/>
  <c r="AJ216" i="7"/>
  <c r="AJ217" i="7"/>
  <c r="AJ218" i="7"/>
  <c r="AJ219" i="7"/>
  <c r="AJ220" i="7"/>
  <c r="AJ221" i="7"/>
  <c r="AJ222" i="7"/>
  <c r="AJ223" i="7"/>
  <c r="AJ224" i="7"/>
  <c r="AJ225" i="7"/>
  <c r="AJ226" i="7"/>
  <c r="AJ227" i="7"/>
  <c r="AJ228" i="7"/>
  <c r="AJ229" i="7"/>
  <c r="AJ230" i="7"/>
  <c r="AJ231" i="7"/>
  <c r="AJ232" i="7"/>
  <c r="AJ233" i="7"/>
  <c r="AJ234" i="7"/>
  <c r="AJ235" i="7"/>
  <c r="AJ236" i="7"/>
  <c r="AJ237" i="7"/>
  <c r="AJ238" i="7"/>
  <c r="AJ239" i="7"/>
  <c r="AJ240" i="7"/>
  <c r="AJ241" i="7"/>
  <c r="AJ242" i="7"/>
  <c r="AJ243" i="7"/>
  <c r="AJ244" i="7"/>
  <c r="AJ245" i="7"/>
  <c r="AJ246" i="7"/>
  <c r="AJ247" i="7"/>
  <c r="AJ248" i="7"/>
  <c r="AJ249" i="7"/>
  <c r="AJ250" i="7"/>
  <c r="AJ251" i="7"/>
  <c r="AJ252" i="7"/>
  <c r="AJ253" i="7"/>
  <c r="AJ254" i="7"/>
  <c r="AJ255" i="7"/>
  <c r="AJ256" i="7"/>
  <c r="AJ257" i="7"/>
  <c r="AJ258" i="7"/>
  <c r="AJ259" i="7"/>
  <c r="AJ260" i="7"/>
  <c r="AJ261" i="7"/>
  <c r="AJ262" i="7"/>
  <c r="AJ263" i="7"/>
  <c r="AJ264" i="7"/>
  <c r="AJ265" i="7"/>
  <c r="AJ266" i="7"/>
  <c r="AJ267" i="7"/>
  <c r="AJ268" i="7"/>
  <c r="AJ269" i="7"/>
  <c r="AJ270" i="7"/>
  <c r="AJ271" i="7"/>
  <c r="AJ272" i="7"/>
  <c r="AJ273" i="7"/>
  <c r="AJ274" i="7"/>
  <c r="AJ275" i="7"/>
  <c r="AJ276" i="7"/>
  <c r="AJ277" i="7"/>
  <c r="AJ278" i="7"/>
  <c r="AJ279" i="7"/>
  <c r="AJ280" i="7"/>
  <c r="AJ281" i="7"/>
  <c r="AJ282" i="7"/>
  <c r="AJ283" i="7"/>
  <c r="AJ284" i="7"/>
  <c r="AJ285" i="7"/>
  <c r="AJ286" i="7"/>
  <c r="AK2" i="7" a="1"/>
  <c r="AK2" i="7" s="1"/>
  <c r="AK3" i="7" a="1"/>
  <c r="AK3" i="7" s="1"/>
  <c r="AK4" i="7" a="1"/>
  <c r="AK4" i="7" s="1"/>
  <c r="AK5" i="7" a="1"/>
  <c r="AK5" i="7" s="1"/>
  <c r="AK6" i="7" a="1"/>
  <c r="AK6" i="7" s="1"/>
  <c r="AK7" i="7" a="1"/>
  <c r="AK7" i="7" s="1"/>
  <c r="AK8" i="7" a="1"/>
  <c r="AK8" i="7" s="1"/>
  <c r="AK9" i="7" a="1"/>
  <c r="AK9" i="7" s="1"/>
  <c r="AK10" i="7" a="1"/>
  <c r="AK10" i="7" s="1"/>
  <c r="AK11" i="7" a="1"/>
  <c r="AK11" i="7" s="1"/>
  <c r="AK12" i="7" a="1"/>
  <c r="AK12" i="7" s="1"/>
  <c r="AK13" i="7" a="1"/>
  <c r="AK13" i="7" s="1"/>
  <c r="AK14" i="7" a="1"/>
  <c r="AK14" i="7" s="1"/>
  <c r="AK15" i="7" a="1"/>
  <c r="AK15" i="7" s="1"/>
  <c r="AK16" i="7" a="1"/>
  <c r="AK16" i="7" s="1"/>
  <c r="AK17" i="7" a="1"/>
  <c r="AK17" i="7" s="1"/>
  <c r="AK18" i="7" a="1"/>
  <c r="AK18" i="7" s="1"/>
  <c r="AK19" i="7" a="1"/>
  <c r="AK19" i="7" s="1"/>
  <c r="AK20" i="7" a="1"/>
  <c r="AK20" i="7" s="1"/>
  <c r="AK21" i="7" a="1"/>
  <c r="AK21" i="7" s="1"/>
  <c r="AK22" i="7" a="1"/>
  <c r="AK22" i="7" s="1"/>
  <c r="AK23" i="7" a="1"/>
  <c r="AK23" i="7" s="1"/>
  <c r="AK24" i="7" a="1"/>
  <c r="AK24" i="7"/>
  <c r="AK25" i="7" a="1"/>
  <c r="AK25" i="7" s="1"/>
  <c r="AK26" i="7" a="1"/>
  <c r="AK26" i="7" s="1"/>
  <c r="AK27" i="7" a="1"/>
  <c r="AK27" i="7" s="1"/>
  <c r="AK28" i="7" a="1"/>
  <c r="AK28" i="7" s="1"/>
  <c r="AK29" i="7" a="1"/>
  <c r="AK29" i="7" s="1"/>
  <c r="AK30" i="7" a="1"/>
  <c r="AK30" i="7" s="1"/>
  <c r="AK31" i="7" a="1"/>
  <c r="AK31" i="7" s="1"/>
  <c r="AK32" i="7" a="1"/>
  <c r="AK32" i="7" s="1"/>
  <c r="AK33" i="7" a="1"/>
  <c r="AK33" i="7" s="1"/>
  <c r="AK34" i="7" a="1"/>
  <c r="AK34" i="7" s="1"/>
  <c r="AK35" i="7" a="1"/>
  <c r="AK35" i="7" s="1"/>
  <c r="AK36" i="7" a="1"/>
  <c r="AK36" i="7" s="1"/>
  <c r="AK37" i="7" a="1"/>
  <c r="AK37" i="7"/>
  <c r="AK38" i="7" a="1"/>
  <c r="AK38" i="7" s="1"/>
  <c r="AK39" i="7" a="1"/>
  <c r="AK39" i="7" s="1"/>
  <c r="AK40" i="7" a="1"/>
  <c r="AK40" i="7" s="1"/>
  <c r="AK41" i="7" a="1"/>
  <c r="AK41" i="7" s="1"/>
  <c r="AK42" i="7" a="1"/>
  <c r="AK42" i="7" s="1"/>
  <c r="AK43" i="7" a="1"/>
  <c r="AK43" i="7" s="1"/>
  <c r="AK44" i="7" a="1"/>
  <c r="AK44" i="7" s="1"/>
  <c r="AK45" i="7" a="1"/>
  <c r="AK45" i="7" s="1"/>
  <c r="AK46" i="7" a="1"/>
  <c r="AK46" i="7"/>
  <c r="AK47" i="7" a="1"/>
  <c r="AK47" i="7" s="1"/>
  <c r="AK48" i="7" a="1"/>
  <c r="AK48" i="7" s="1"/>
  <c r="AK49" i="7" a="1"/>
  <c r="AK49" i="7" s="1"/>
  <c r="AK50" i="7" a="1"/>
  <c r="AK50" i="7" s="1"/>
  <c r="AK51" i="7" a="1"/>
  <c r="AK51" i="7" s="1"/>
  <c r="AK52" i="7" a="1"/>
  <c r="AK52" i="7" s="1"/>
  <c r="AK53" i="7" a="1"/>
  <c r="AK53" i="7" s="1"/>
  <c r="AK54" i="7" a="1"/>
  <c r="AK54" i="7" s="1"/>
  <c r="AK55" i="7" a="1"/>
  <c r="AK55" i="7" s="1"/>
  <c r="AK56" i="7" a="1"/>
  <c r="AK56" i="7" s="1"/>
  <c r="AK57" i="7" a="1"/>
  <c r="AK57" i="7" s="1"/>
  <c r="AK58" i="7" a="1"/>
  <c r="AK58" i="7"/>
  <c r="AK59" i="7" a="1"/>
  <c r="AK59" i="7" s="1"/>
  <c r="AK60" i="7" a="1"/>
  <c r="AK60" i="7" s="1"/>
  <c r="AK61" i="7" a="1"/>
  <c r="AK61" i="7" s="1"/>
  <c r="AK62" i="7" a="1"/>
  <c r="AK62" i="7" s="1"/>
  <c r="AK63" i="7" a="1"/>
  <c r="AK63" i="7" s="1"/>
  <c r="AK64" i="7" a="1"/>
  <c r="AK64" i="7" s="1"/>
  <c r="AK65" i="7" a="1"/>
  <c r="AK65" i="7" s="1"/>
  <c r="AK66" i="7" a="1"/>
  <c r="AK66" i="7" s="1"/>
  <c r="AK67" i="7" a="1"/>
  <c r="AK67" i="7" s="1"/>
  <c r="AK68" i="7" a="1"/>
  <c r="AK68" i="7" s="1"/>
  <c r="AK69" i="7" a="1"/>
  <c r="AK69" i="7" s="1"/>
  <c r="AK70" i="7" a="1"/>
  <c r="AK70" i="7" s="1"/>
  <c r="AK71" i="7" a="1"/>
  <c r="AK71" i="7" s="1"/>
  <c r="AK72" i="7" a="1"/>
  <c r="AK72" i="7" s="1"/>
  <c r="AK73" i="7" a="1"/>
  <c r="AK73" i="7" s="1"/>
  <c r="AK74" i="7" a="1"/>
  <c r="AK74" i="7" s="1"/>
  <c r="AK75" i="7" a="1"/>
  <c r="AK75" i="7" s="1"/>
  <c r="AK76" i="7" a="1"/>
  <c r="AK76" i="7" s="1"/>
  <c r="AK77" i="7" a="1"/>
  <c r="AK77" i="7" s="1"/>
  <c r="AK78" i="7" a="1"/>
  <c r="AK78" i="7" s="1"/>
  <c r="AK79" i="7" a="1"/>
  <c r="AK79" i="7" s="1"/>
  <c r="AK80" i="7" a="1"/>
  <c r="AK80" i="7" s="1"/>
  <c r="AK81" i="7" a="1"/>
  <c r="AK81" i="7" s="1"/>
  <c r="AK82" i="7" a="1"/>
  <c r="AK82" i="7" s="1"/>
  <c r="AK83" i="7" a="1"/>
  <c r="AK83" i="7" s="1"/>
  <c r="AK84" i="7" a="1"/>
  <c r="AK84" i="7" s="1"/>
  <c r="AK85" i="7" a="1"/>
  <c r="AK85" i="7" s="1"/>
  <c r="AK86" i="7" a="1"/>
  <c r="AK86" i="7" s="1"/>
  <c r="AK87" i="7" a="1"/>
  <c r="AK87" i="7" s="1"/>
  <c r="AK88" i="7" a="1"/>
  <c r="AK88" i="7" s="1"/>
  <c r="AK89" i="7" a="1"/>
  <c r="AK89" i="7" s="1"/>
  <c r="AK90" i="7" a="1"/>
  <c r="AK90" i="7" s="1"/>
  <c r="AK91" i="7" a="1"/>
  <c r="AK91" i="7" s="1"/>
  <c r="AK92" i="7" a="1"/>
  <c r="AK92" i="7" s="1"/>
  <c r="AK93" i="7" a="1"/>
  <c r="AK93" i="7" s="1"/>
  <c r="AK94" i="7" a="1"/>
  <c r="AK94" i="7" s="1"/>
  <c r="AK95" i="7" a="1"/>
  <c r="AK95" i="7" s="1"/>
  <c r="AK96" i="7" a="1"/>
  <c r="AK96" i="7" s="1"/>
  <c r="AK97" i="7" a="1"/>
  <c r="AK97" i="7" s="1"/>
  <c r="AK98" i="7" a="1"/>
  <c r="AK98" i="7" s="1"/>
  <c r="AK99" i="7" a="1"/>
  <c r="AK99" i="7" s="1"/>
  <c r="AK100" i="7" a="1"/>
  <c r="AK100" i="7" s="1"/>
  <c r="AK101" i="7" a="1"/>
  <c r="AK101" i="7" s="1"/>
  <c r="AK102" i="7" a="1"/>
  <c r="AK102" i="7" s="1"/>
  <c r="AK103" i="7" a="1"/>
  <c r="AK103" i="7" s="1"/>
  <c r="AK104" i="7" a="1"/>
  <c r="AK104" i="7" s="1"/>
  <c r="AK105" i="7" a="1"/>
  <c r="AK105" i="7" s="1"/>
  <c r="AK106" i="7" a="1"/>
  <c r="AK106" i="7" s="1"/>
  <c r="AK107" i="7" a="1"/>
  <c r="AK107" i="7" s="1"/>
  <c r="AK108" i="7" a="1"/>
  <c r="AK108" i="7" s="1"/>
  <c r="AK109" i="7" a="1"/>
  <c r="AK109" i="7" s="1"/>
  <c r="AK110" i="7" a="1"/>
  <c r="AK110" i="7" s="1"/>
  <c r="AK111" i="7" a="1"/>
  <c r="AK111" i="7" s="1"/>
  <c r="AK112" i="7" a="1"/>
  <c r="AK112" i="7" s="1"/>
  <c r="AK113" i="7" a="1"/>
  <c r="AK113" i="7" s="1"/>
  <c r="AK114" i="7" a="1"/>
  <c r="AK114" i="7"/>
  <c r="AK115" i="7" a="1"/>
  <c r="AK115" i="7" s="1"/>
  <c r="AK116" i="7" a="1"/>
  <c r="AK116" i="7" s="1"/>
  <c r="AK117" i="7" a="1"/>
  <c r="AK117" i="7" s="1"/>
  <c r="AK118" i="7" a="1"/>
  <c r="AK118" i="7" s="1"/>
  <c r="AK119" i="7" a="1"/>
  <c r="AK119" i="7" s="1"/>
  <c r="AK120" i="7" a="1"/>
  <c r="AK120" i="7" s="1"/>
  <c r="AK121" i="7" a="1"/>
  <c r="AK121" i="7" s="1"/>
  <c r="AK122" i="7" a="1"/>
  <c r="AK122" i="7" s="1"/>
  <c r="AK123" i="7" a="1"/>
  <c r="AK123" i="7" s="1"/>
  <c r="AK124" i="7" a="1"/>
  <c r="AK124" i="7" s="1"/>
  <c r="AK125" i="7" a="1"/>
  <c r="AK125" i="7" s="1"/>
  <c r="AK126" i="7" a="1"/>
  <c r="AK126" i="7" s="1"/>
  <c r="AK127" i="7" a="1"/>
  <c r="AK127" i="7" s="1"/>
  <c r="AK128" i="7" a="1"/>
  <c r="AK128" i="7" s="1"/>
  <c r="AK129" i="7" a="1"/>
  <c r="AK129" i="7" s="1"/>
  <c r="AK130" i="7" a="1"/>
  <c r="AK130" i="7" s="1"/>
  <c r="AK131" i="7" a="1"/>
  <c r="AK131" i="7" s="1"/>
  <c r="AK132" i="7" a="1"/>
  <c r="AK132" i="7" s="1"/>
  <c r="AK133" i="7" a="1"/>
  <c r="AK133" i="7" s="1"/>
  <c r="AK134" i="7" a="1"/>
  <c r="AK134" i="7" s="1"/>
  <c r="AK135" i="7" a="1"/>
  <c r="AK135" i="7" s="1"/>
  <c r="AK136" i="7" a="1"/>
  <c r="AK136" i="7" s="1"/>
  <c r="AK137" i="7" a="1"/>
  <c r="AK137" i="7" s="1"/>
  <c r="AK138" i="7" a="1"/>
  <c r="AK138" i="7" s="1"/>
  <c r="AK139" i="7" a="1"/>
  <c r="AK139" i="7" s="1"/>
  <c r="AK140" i="7" a="1"/>
  <c r="AK140" i="7" s="1"/>
  <c r="AK141" i="7" a="1"/>
  <c r="AK141" i="7" s="1"/>
  <c r="AK142" i="7" a="1"/>
  <c r="AK142" i="7" s="1"/>
  <c r="AK143" i="7" a="1"/>
  <c r="AK143" i="7" s="1"/>
  <c r="AK144" i="7" a="1"/>
  <c r="AK144" i="7" s="1"/>
  <c r="AK145" i="7" a="1"/>
  <c r="AK145" i="7" s="1"/>
  <c r="AK146" i="7" a="1"/>
  <c r="AK146" i="7" s="1"/>
  <c r="AK147" i="7" a="1"/>
  <c r="AK147" i="7" s="1"/>
  <c r="AK148" i="7" a="1"/>
  <c r="AK148" i="7" s="1"/>
  <c r="AK149" i="7" a="1"/>
  <c r="AK149" i="7" s="1"/>
  <c r="AK150" i="7" a="1"/>
  <c r="AK150" i="7" s="1"/>
  <c r="AK151" i="7" a="1"/>
  <c r="AK151" i="7" s="1"/>
  <c r="AK152" i="7" a="1"/>
  <c r="AK152" i="7" s="1"/>
  <c r="AK153" i="7" a="1"/>
  <c r="AK153" i="7" s="1"/>
  <c r="AK154" i="7" a="1"/>
  <c r="AK154" i="7" s="1"/>
  <c r="AK155" i="7" a="1"/>
  <c r="AK155" i="7" s="1"/>
  <c r="AK156" i="7" a="1"/>
  <c r="AK156" i="7"/>
  <c r="AK157" i="7" a="1"/>
  <c r="AK157" i="7" s="1"/>
  <c r="AK158" i="7" a="1"/>
  <c r="AK158" i="7" s="1"/>
  <c r="AK159" i="7" a="1"/>
  <c r="AK159" i="7" s="1"/>
  <c r="AK160" i="7" a="1"/>
  <c r="AK160" i="7" s="1"/>
  <c r="AK161" i="7" a="1"/>
  <c r="AK161" i="7" s="1"/>
  <c r="AK162" i="7" a="1"/>
  <c r="AK162" i="7" s="1"/>
  <c r="AK163" i="7" a="1"/>
  <c r="AK163" i="7" s="1"/>
  <c r="AK164" i="7" a="1"/>
  <c r="AK164" i="7" s="1"/>
  <c r="AK165" i="7" a="1"/>
  <c r="AK165" i="7" s="1"/>
  <c r="AK166" i="7" a="1"/>
  <c r="AK166" i="7" s="1"/>
  <c r="AK167" i="7" a="1"/>
  <c r="AK167" i="7" s="1"/>
  <c r="AK168" i="7" a="1"/>
  <c r="AK168" i="7" s="1"/>
  <c r="AK169" i="7" a="1"/>
  <c r="AK169" i="7" s="1"/>
  <c r="AK170" i="7" a="1"/>
  <c r="AK170" i="7" s="1"/>
  <c r="AK171" i="7" a="1"/>
  <c r="AK171" i="7" s="1"/>
  <c r="AK172" i="7" a="1"/>
  <c r="AK172" i="7" s="1"/>
  <c r="AK173" i="7" a="1"/>
  <c r="AK173" i="7"/>
  <c r="AK174" i="7" a="1"/>
  <c r="AK174" i="7" s="1"/>
  <c r="AK175" i="7" a="1"/>
  <c r="AK175" i="7" s="1"/>
  <c r="AK176" i="7" a="1"/>
  <c r="AK176" i="7" s="1"/>
  <c r="AK177" i="7" a="1"/>
  <c r="AK177" i="7" s="1"/>
  <c r="AK178" i="7" a="1"/>
  <c r="AK178" i="7" s="1"/>
  <c r="AK179" i="7" a="1"/>
  <c r="AK179" i="7" s="1"/>
  <c r="AK180" i="7" a="1"/>
  <c r="AK180" i="7" s="1"/>
  <c r="AK181" i="7" a="1"/>
  <c r="AK181" i="7" s="1"/>
  <c r="AK182" i="7" a="1"/>
  <c r="AK182" i="7" s="1"/>
  <c r="AK183" i="7" a="1"/>
  <c r="AK183" i="7" s="1"/>
  <c r="AK184" i="7" a="1"/>
  <c r="AK184" i="7" s="1"/>
  <c r="AK185" i="7" a="1"/>
  <c r="AK185" i="7" s="1"/>
  <c r="AK186" i="7" a="1"/>
  <c r="AK186" i="7" s="1"/>
  <c r="AK187" i="7" a="1"/>
  <c r="AK187" i="7" s="1"/>
  <c r="AK188" i="7" a="1"/>
  <c r="AK188" i="7" s="1"/>
  <c r="AK189" i="7" a="1"/>
  <c r="AK189" i="7" s="1"/>
  <c r="AK190" i="7" a="1"/>
  <c r="AK190" i="7" s="1"/>
  <c r="AK191" i="7" a="1"/>
  <c r="AK191" i="7" s="1"/>
  <c r="AK192" i="7" a="1"/>
  <c r="AK192" i="7" s="1"/>
  <c r="AK193" i="7" a="1"/>
  <c r="AK193" i="7" s="1"/>
  <c r="AK194" i="7" a="1"/>
  <c r="AK194" i="7" s="1"/>
  <c r="AK195" i="7" a="1"/>
  <c r="AK195" i="7" s="1"/>
  <c r="AK196" i="7" a="1"/>
  <c r="AK196" i="7" s="1"/>
  <c r="AK197" i="7" a="1"/>
  <c r="AK197" i="7" s="1"/>
  <c r="AK198" i="7" a="1"/>
  <c r="AK198" i="7" s="1"/>
  <c r="AK199" i="7" a="1"/>
  <c r="AK199" i="7" s="1"/>
  <c r="AK200" i="7" a="1"/>
  <c r="AK200" i="7"/>
  <c r="AK201" i="7" a="1"/>
  <c r="AK201" i="7" s="1"/>
  <c r="AK202" i="7" a="1"/>
  <c r="AK202" i="7" s="1"/>
  <c r="AK203" i="7" a="1"/>
  <c r="AK203" i="7" s="1"/>
  <c r="AK204" i="7" a="1"/>
  <c r="AK204" i="7" s="1"/>
  <c r="AK205" i="7" a="1"/>
  <c r="AK205" i="7" s="1"/>
  <c r="AK206" i="7" a="1"/>
  <c r="AK206" i="7" s="1"/>
  <c r="AK207" i="7" a="1"/>
  <c r="AK207" i="7" s="1"/>
  <c r="AK208" i="7" a="1"/>
  <c r="AK208" i="7" s="1"/>
  <c r="AK209" i="7" a="1"/>
  <c r="AK209" i="7" s="1"/>
  <c r="AK210" i="7" a="1"/>
  <c r="AK210" i="7" s="1"/>
  <c r="AK211" i="7" a="1"/>
  <c r="AK211" i="7"/>
  <c r="AK212" i="7" a="1"/>
  <c r="AK212" i="7" s="1"/>
  <c r="AK213" i="7" a="1"/>
  <c r="AK213" i="7" s="1"/>
  <c r="AK214" i="7" a="1"/>
  <c r="AK214" i="7" s="1"/>
  <c r="AK215" i="7" a="1"/>
  <c r="AK215" i="7" s="1"/>
  <c r="AK216" i="7" a="1"/>
  <c r="AK216" i="7" s="1"/>
  <c r="AK217" i="7" a="1"/>
  <c r="AK217" i="7" s="1"/>
  <c r="AK218" i="7" a="1"/>
  <c r="AK218" i="7"/>
  <c r="AK219" i="7" a="1"/>
  <c r="AK219" i="7" s="1"/>
  <c r="AK220" i="7" a="1"/>
  <c r="AK220" i="7" s="1"/>
  <c r="AK221" i="7" a="1"/>
  <c r="AK221" i="7" s="1"/>
  <c r="AK222" i="7" a="1"/>
  <c r="AK222" i="7" s="1"/>
  <c r="AK223" i="7" a="1"/>
  <c r="AK223" i="7" s="1"/>
  <c r="AK224" i="7" a="1"/>
  <c r="AK224" i="7" s="1"/>
  <c r="AK225" i="7" a="1"/>
  <c r="AK225" i="7" s="1"/>
  <c r="AK226" i="7" a="1"/>
  <c r="AK226" i="7" s="1"/>
  <c r="AK227" i="7" a="1"/>
  <c r="AK227" i="7" s="1"/>
  <c r="AK228" i="7" a="1"/>
  <c r="AK228" i="7" s="1"/>
  <c r="AK229" i="7" a="1"/>
  <c r="AK229" i="7" s="1"/>
  <c r="AK230" i="7" a="1"/>
  <c r="AK230" i="7" s="1"/>
  <c r="AK231" i="7" a="1"/>
  <c r="AK231" i="7" s="1"/>
  <c r="AK232" i="7" a="1"/>
  <c r="AK232" i="7" s="1"/>
  <c r="AK233" i="7" a="1"/>
  <c r="AK233" i="7" s="1"/>
  <c r="AK234" i="7" a="1"/>
  <c r="AK234" i="7" s="1"/>
  <c r="AK235" i="7" a="1"/>
  <c r="AK235" i="7" s="1"/>
  <c r="AK236" i="7" a="1"/>
  <c r="AK236" i="7" s="1"/>
  <c r="AK237" i="7" a="1"/>
  <c r="AK237" i="7" s="1"/>
  <c r="AK238" i="7" a="1"/>
  <c r="AK238" i="7" s="1"/>
  <c r="AK239" i="7" a="1"/>
  <c r="AK239" i="7" s="1"/>
  <c r="AK240" i="7" a="1"/>
  <c r="AK240" i="7"/>
  <c r="AK241" i="7" a="1"/>
  <c r="AK241" i="7" s="1"/>
  <c r="AK242" i="7" a="1"/>
  <c r="AK242" i="7" s="1"/>
  <c r="AK243" i="7" a="1"/>
  <c r="AK243" i="7" s="1"/>
  <c r="AK244" i="7" a="1"/>
  <c r="AK244" i="7" s="1"/>
  <c r="AK245" i="7" a="1"/>
  <c r="AK245" i="7" s="1"/>
  <c r="AK246" i="7" a="1"/>
  <c r="AK246" i="7" s="1"/>
  <c r="AK247" i="7" a="1"/>
  <c r="AK247" i="7" s="1"/>
  <c r="AK248" i="7" a="1"/>
  <c r="AK248" i="7" s="1"/>
  <c r="AK249" i="7" a="1"/>
  <c r="AK249" i="7" s="1"/>
  <c r="AK250" i="7" a="1"/>
  <c r="AK250" i="7" s="1"/>
  <c r="AK251" i="7" a="1"/>
  <c r="AK251" i="7" s="1"/>
  <c r="AK252" i="7" a="1"/>
  <c r="AK252" i="7" s="1"/>
  <c r="AK253" i="7" a="1"/>
  <c r="AK253" i="7" s="1"/>
  <c r="AK254" i="7" a="1"/>
  <c r="AK254" i="7" s="1"/>
  <c r="AK255" i="7" a="1"/>
  <c r="AK255" i="7" s="1"/>
  <c r="AK256" i="7" a="1"/>
  <c r="AK256" i="7" s="1"/>
  <c r="AK257" i="7" a="1"/>
  <c r="AK257" i="7" s="1"/>
  <c r="AK258" i="7" a="1"/>
  <c r="AK258" i="7" s="1"/>
  <c r="AK259" i="7" a="1"/>
  <c r="AK259" i="7" s="1"/>
  <c r="AK260" i="7" a="1"/>
  <c r="AK260" i="7" s="1"/>
  <c r="AK261" i="7" a="1"/>
  <c r="AK261" i="7" s="1"/>
  <c r="AK262" i="7" a="1"/>
  <c r="AK262" i="7" s="1"/>
  <c r="AK263" i="7" a="1"/>
  <c r="AK263" i="7" s="1"/>
  <c r="AK264" i="7" a="1"/>
  <c r="AK264" i="7" s="1"/>
  <c r="AK265" i="7" a="1"/>
  <c r="AK265" i="7" s="1"/>
  <c r="AK266" i="7" a="1"/>
  <c r="AK266" i="7" s="1"/>
  <c r="AK267" i="7" a="1"/>
  <c r="AK267" i="7" s="1"/>
  <c r="AK268" i="7" a="1"/>
  <c r="AK268" i="7" s="1"/>
  <c r="AK269" i="7" a="1"/>
  <c r="AK269" i="7" s="1"/>
  <c r="AK270" i="7" a="1"/>
  <c r="AK270" i="7" s="1"/>
  <c r="AK271" i="7" a="1"/>
  <c r="AK271" i="7" s="1"/>
  <c r="AK272" i="7" a="1"/>
  <c r="AK272" i="7" s="1"/>
  <c r="AK273" i="7" a="1"/>
  <c r="AK273" i="7" s="1"/>
  <c r="AK274" i="7" a="1"/>
  <c r="AK274" i="7" s="1"/>
  <c r="AK275" i="7" a="1"/>
  <c r="AK275" i="7" s="1"/>
  <c r="AK276" i="7" a="1"/>
  <c r="AK276" i="7" s="1"/>
  <c r="AK277" i="7" a="1"/>
  <c r="AK277" i="7" s="1"/>
  <c r="AK278" i="7" a="1"/>
  <c r="AK278" i="7" s="1"/>
  <c r="AK279" i="7" a="1"/>
  <c r="AK279" i="7" s="1"/>
  <c r="AK280" i="7" a="1"/>
  <c r="AK280" i="7" s="1"/>
  <c r="AK281" i="7" a="1"/>
  <c r="AK281" i="7" s="1"/>
  <c r="AK282" i="7" a="1"/>
  <c r="AK282" i="7" s="1"/>
  <c r="AK283" i="7" a="1"/>
  <c r="AK283" i="7" s="1"/>
  <c r="AK284" i="7" a="1"/>
  <c r="AK284" i="7" s="1"/>
  <c r="AK285" i="7" a="1"/>
  <c r="AK285" i="7" s="1"/>
  <c r="AK286" i="7" a="1"/>
  <c r="AK286" i="7" s="1"/>
  <c r="AL64" i="7"/>
  <c r="AL77" i="7"/>
  <c r="AL110" i="7"/>
  <c r="AL137" i="7"/>
  <c r="AL148" i="7"/>
  <c r="AL180" i="7"/>
  <c r="AL209" i="7"/>
  <c r="AL213" i="7"/>
  <c r="AL244" i="7"/>
  <c r="AL251" i="7"/>
  <c r="AL253" i="7"/>
  <c r="AL255" i="7"/>
  <c r="AL258" i="7"/>
  <c r="AL263" i="7"/>
  <c r="AL269" i="7"/>
  <c r="AL272" i="7"/>
  <c r="AL273" i="7"/>
  <c r="AL274" i="7"/>
  <c r="AL276" i="7"/>
  <c r="AL277" i="7"/>
  <c r="AL278" i="7"/>
  <c r="AL279" i="7"/>
  <c r="AL280" i="7"/>
  <c r="AL281" i="7"/>
  <c r="AL282" i="7"/>
  <c r="AL283" i="7"/>
  <c r="AL284" i="7"/>
  <c r="AL285" i="7"/>
  <c r="AL286" i="7"/>
  <c r="AM2" i="7"/>
  <c r="AM3" i="7"/>
  <c r="AM4" i="7"/>
  <c r="AM5" i="7"/>
  <c r="AM6" i="7"/>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Q64" i="7"/>
  <c r="AQ77" i="7"/>
  <c r="AQ110" i="7"/>
  <c r="AQ137" i="7"/>
  <c r="AQ148" i="7"/>
  <c r="AQ180" i="7"/>
  <c r="AQ209" i="7"/>
  <c r="AQ213" i="7"/>
  <c r="AQ244" i="7"/>
  <c r="AQ251" i="7"/>
  <c r="AQ253" i="7"/>
  <c r="AQ255" i="7"/>
  <c r="AQ258" i="7"/>
  <c r="AQ263" i="7"/>
  <c r="AQ269" i="7"/>
  <c r="AQ272" i="7"/>
  <c r="AQ273" i="7"/>
  <c r="AQ274" i="7"/>
  <c r="AQ276" i="7"/>
  <c r="AQ277" i="7"/>
  <c r="AQ278" i="7"/>
  <c r="AQ279" i="7"/>
  <c r="AQ280" i="7"/>
  <c r="AQ281" i="7"/>
  <c r="AQ282" i="7"/>
  <c r="AQ283" i="7"/>
  <c r="AQ284" i="7"/>
  <c r="AQ285" i="7"/>
  <c r="AQ286" i="7"/>
  <c r="AR64" i="7"/>
  <c r="AR77" i="7"/>
  <c r="AR110" i="7"/>
  <c r="AR137" i="7"/>
  <c r="AR148" i="7"/>
  <c r="AR180" i="7"/>
  <c r="AR209" i="7"/>
  <c r="AR213" i="7"/>
  <c r="AR244" i="7"/>
  <c r="AR251" i="7"/>
  <c r="AR253" i="7"/>
  <c r="AR255" i="7"/>
  <c r="AR258" i="7"/>
  <c r="AR263" i="7"/>
  <c r="AR269" i="7"/>
  <c r="AR272" i="7"/>
  <c r="AR273" i="7"/>
  <c r="AR274" i="7"/>
  <c r="AR276" i="7"/>
  <c r="AR277" i="7"/>
  <c r="AR278" i="7"/>
  <c r="AR279" i="7"/>
  <c r="AR280" i="7"/>
  <c r="AR281" i="7"/>
  <c r="AR282" i="7"/>
  <c r="AR283" i="7"/>
  <c r="AR284" i="7"/>
  <c r="AR285" i="7"/>
  <c r="AR286" i="7"/>
  <c r="AS64" i="7"/>
  <c r="AS154" i="7"/>
  <c r="AS177" i="7"/>
  <c r="AS180" i="7"/>
  <c r="AS191" i="7"/>
  <c r="AS209" i="7"/>
  <c r="AS213" i="7"/>
  <c r="AS244" i="7"/>
  <c r="AS249" i="7"/>
  <c r="AS251" i="7"/>
  <c r="AS253" i="7"/>
  <c r="AS255" i="7"/>
  <c r="AS258" i="7"/>
  <c r="AS263" i="7"/>
  <c r="AS267" i="7"/>
  <c r="AS269" i="7"/>
  <c r="AS272" i="7"/>
  <c r="AS273" i="7"/>
  <c r="AS274" i="7"/>
  <c r="AS275" i="7"/>
  <c r="AS276" i="7"/>
  <c r="AS277" i="7"/>
  <c r="AS278" i="7"/>
  <c r="AS279" i="7"/>
  <c r="AS280" i="7"/>
  <c r="AS281" i="7"/>
  <c r="AS282" i="7"/>
  <c r="AS283" i="7"/>
  <c r="AS284" i="7"/>
  <c r="AS285" i="7"/>
  <c r="AS286" i="7"/>
  <c r="E10" i="8"/>
  <c r="E9" i="8"/>
  <c r="E8" i="8"/>
  <c r="AS20" i="7" s="1"/>
  <c r="E7" i="8"/>
  <c r="E6" i="8"/>
  <c r="E5" i="8"/>
  <c r="AQ54" i="7" s="1"/>
  <c r="E4" i="8"/>
  <c r="AL30" i="7" s="1"/>
  <c r="B40" i="10"/>
  <c r="B35" i="10"/>
  <c r="C39" i="10"/>
  <c r="C41" i="10"/>
  <c r="B37" i="10"/>
  <c r="B41" i="10"/>
  <c r="B36" i="10"/>
  <c r="C36" i="10"/>
  <c r="B38" i="10"/>
  <c r="C38" i="10"/>
  <c r="C35" i="10"/>
  <c r="C37" i="10"/>
  <c r="B39" i="10"/>
  <c r="C42" i="10"/>
  <c r="D41" i="10" l="1"/>
  <c r="D36" i="10"/>
  <c r="D38" i="10"/>
  <c r="D35" i="10"/>
  <c r="D39" i="10"/>
  <c r="D37" i="10"/>
  <c r="AN280" i="7"/>
  <c r="AP280" i="7" s="1"/>
  <c r="AS205" i="7"/>
  <c r="AN284" i="7"/>
  <c r="AP284" i="7" s="1"/>
  <c r="AS67" i="7"/>
  <c r="AN30" i="7"/>
  <c r="AS266" i="7"/>
  <c r="AO286" i="7"/>
  <c r="AN285" i="7"/>
  <c r="AP285" i="7" s="1"/>
  <c r="AO137" i="7"/>
  <c r="AN278" i="7"/>
  <c r="AP278" i="7" s="1"/>
  <c r="AN277" i="7"/>
  <c r="AP277" i="7" s="1"/>
  <c r="AO213" i="7"/>
  <c r="B6" i="8"/>
  <c r="B4" i="9" s="1"/>
  <c r="B10" i="8"/>
  <c r="B12" i="8"/>
  <c r="AS102" i="7"/>
  <c r="AN273" i="7"/>
  <c r="AP273" i="7" s="1"/>
  <c r="B13" i="8"/>
  <c r="AQ60" i="7"/>
  <c r="AQ134" i="7"/>
  <c r="AS85" i="7"/>
  <c r="AS188" i="7"/>
  <c r="AS65" i="7"/>
  <c r="AR259" i="7"/>
  <c r="AR236" i="7"/>
  <c r="AR206" i="7"/>
  <c r="AR177" i="7"/>
  <c r="AR141" i="7"/>
  <c r="AR100" i="7"/>
  <c r="AR59" i="7"/>
  <c r="AR4" i="7"/>
  <c r="AQ246" i="7"/>
  <c r="AQ174" i="7"/>
  <c r="AQ120" i="7"/>
  <c r="AQ29" i="7"/>
  <c r="AL181" i="7"/>
  <c r="AN181" i="7" s="1"/>
  <c r="AP181" i="7" s="1"/>
  <c r="AL80" i="7"/>
  <c r="AN80" i="7" s="1"/>
  <c r="AP80" i="7" s="1"/>
  <c r="AO148" i="7"/>
  <c r="AR243" i="7"/>
  <c r="AR117" i="7"/>
  <c r="AR266" i="7"/>
  <c r="AR179" i="7"/>
  <c r="AQ124" i="7"/>
  <c r="AL207" i="7"/>
  <c r="AR238" i="7"/>
  <c r="AR103" i="7"/>
  <c r="AR176" i="7"/>
  <c r="AR58" i="7"/>
  <c r="AL78" i="7"/>
  <c r="AN78" i="7" s="1"/>
  <c r="AR256" i="7"/>
  <c r="AR234" i="7"/>
  <c r="AR91" i="7"/>
  <c r="AQ228" i="7"/>
  <c r="AQ10" i="7"/>
  <c r="AL152" i="7"/>
  <c r="AO152" i="7" s="1"/>
  <c r="AR164" i="7"/>
  <c r="AR46" i="7"/>
  <c r="AR275" i="7"/>
  <c r="AR196" i="7"/>
  <c r="AR83" i="7"/>
  <c r="AO272" i="7"/>
  <c r="AR149" i="7"/>
  <c r="AL116" i="7"/>
  <c r="AO116" i="7" s="1"/>
  <c r="AR210" i="7"/>
  <c r="AR63" i="7"/>
  <c r="AQ37" i="7"/>
  <c r="AR178" i="7"/>
  <c r="AQ249" i="7"/>
  <c r="AQ34" i="7"/>
  <c r="AL108" i="7"/>
  <c r="AN108" i="7" s="1"/>
  <c r="AR235" i="7"/>
  <c r="AR99" i="7"/>
  <c r="AQ164" i="7"/>
  <c r="AR202" i="7"/>
  <c r="AQ153" i="7"/>
  <c r="AQ95" i="7"/>
  <c r="AR232" i="7"/>
  <c r="AR162" i="7"/>
  <c r="AR43" i="7"/>
  <c r="AQ84" i="7"/>
  <c r="AL60" i="7"/>
  <c r="AN60" i="7" s="1"/>
  <c r="AS153" i="7"/>
  <c r="AR223" i="7"/>
  <c r="AR161" i="7"/>
  <c r="AR81" i="7"/>
  <c r="AQ268" i="7"/>
  <c r="AQ145" i="7"/>
  <c r="AL139" i="7"/>
  <c r="AO139" i="7" s="1"/>
  <c r="AL55" i="7"/>
  <c r="AO55" i="7" s="1"/>
  <c r="B14" i="8"/>
  <c r="AR212" i="7"/>
  <c r="AR17" i="7"/>
  <c r="AL12" i="7"/>
  <c r="AN12" i="7" s="1"/>
  <c r="AR16" i="7"/>
  <c r="AQ271" i="7"/>
  <c r="AR15" i="7"/>
  <c r="AR203" i="7"/>
  <c r="AQ12" i="7"/>
  <c r="AS48" i="7"/>
  <c r="AR136" i="7"/>
  <c r="AR47" i="7"/>
  <c r="AQ107" i="7"/>
  <c r="AN269" i="7"/>
  <c r="AP269" i="7" s="1"/>
  <c r="AS47" i="7"/>
  <c r="AR233" i="7"/>
  <c r="AR128" i="7"/>
  <c r="AR90" i="7"/>
  <c r="AQ226" i="7"/>
  <c r="AQ151" i="7"/>
  <c r="AS8" i="7"/>
  <c r="AR127" i="7"/>
  <c r="AQ225" i="7"/>
  <c r="AL145" i="7"/>
  <c r="AN145" i="7" s="1"/>
  <c r="AS238" i="7"/>
  <c r="AR191" i="7"/>
  <c r="AR123" i="7"/>
  <c r="AR41" i="7"/>
  <c r="AQ216" i="7"/>
  <c r="AL229" i="7"/>
  <c r="AN229" i="7" s="1"/>
  <c r="AP229" i="7" s="1"/>
  <c r="AS222" i="7"/>
  <c r="AS152" i="7"/>
  <c r="AR250" i="7"/>
  <c r="AR222" i="7"/>
  <c r="AR185" i="7"/>
  <c r="AR158" i="7"/>
  <c r="AR122" i="7"/>
  <c r="AR80" i="7"/>
  <c r="AR38" i="7"/>
  <c r="AQ144" i="7"/>
  <c r="AL224" i="7"/>
  <c r="AO224" i="7" s="1"/>
  <c r="AL138" i="7"/>
  <c r="AN138" i="7" s="1"/>
  <c r="AL51" i="7"/>
  <c r="AN51" i="7" s="1"/>
  <c r="AQ186" i="7"/>
  <c r="AR242" i="7"/>
  <c r="AQ185" i="7"/>
  <c r="AL264" i="7"/>
  <c r="AO264" i="7" s="1"/>
  <c r="AR147" i="7"/>
  <c r="AR62" i="7"/>
  <c r="AQ121" i="7"/>
  <c r="AL202" i="7"/>
  <c r="AO202" i="7" s="1"/>
  <c r="AR3" i="7"/>
  <c r="AR175" i="7"/>
  <c r="AS168" i="7"/>
  <c r="AR198" i="7"/>
  <c r="AS221" i="7"/>
  <c r="AS137" i="7"/>
  <c r="AR249" i="7"/>
  <c r="AR218" i="7"/>
  <c r="AR184" i="7"/>
  <c r="AR155" i="7"/>
  <c r="AR119" i="7"/>
  <c r="AR79" i="7"/>
  <c r="AR27" i="7"/>
  <c r="AQ61" i="7"/>
  <c r="AL219" i="7"/>
  <c r="AO219" i="7" s="1"/>
  <c r="AL32" i="7"/>
  <c r="AO32" i="7" s="1"/>
  <c r="B16" i="8"/>
  <c r="AS103" i="7"/>
  <c r="AR270" i="7"/>
  <c r="AR182" i="7"/>
  <c r="AR153" i="7"/>
  <c r="AR118" i="7"/>
  <c r="AR20" i="7"/>
  <c r="AQ197" i="7"/>
  <c r="AQ136" i="7"/>
  <c r="AO263" i="7"/>
  <c r="AL271" i="7"/>
  <c r="AO271" i="7" s="1"/>
  <c r="AL122" i="7"/>
  <c r="AN122" i="7" s="1"/>
  <c r="AQ24" i="7"/>
  <c r="AQ173" i="7"/>
  <c r="AQ23" i="7"/>
  <c r="AQ72" i="7"/>
  <c r="AN244" i="7"/>
  <c r="AP244" i="7" s="1"/>
  <c r="AO244" i="7"/>
  <c r="AQ85" i="7"/>
  <c r="AO276" i="7"/>
  <c r="AN276" i="7"/>
  <c r="AP276" i="7" s="1"/>
  <c r="AQ256" i="7"/>
  <c r="AQ217" i="7"/>
  <c r="AQ74" i="7"/>
  <c r="AQ166" i="7"/>
  <c r="AQ206" i="7"/>
  <c r="AQ163" i="7"/>
  <c r="AN281" i="7"/>
  <c r="AP281" i="7" s="1"/>
  <c r="AO281" i="7"/>
  <c r="AQ205" i="7"/>
  <c r="AN272" i="7"/>
  <c r="AP272" i="7" s="1"/>
  <c r="AO30" i="7"/>
  <c r="AO280" i="7"/>
  <c r="AO279" i="7"/>
  <c r="AL18" i="7"/>
  <c r="AN18" i="7" s="1"/>
  <c r="AL146" i="7"/>
  <c r="AO146" i="7" s="1"/>
  <c r="AL182" i="7"/>
  <c r="AN182" i="7" s="1"/>
  <c r="AP182" i="7" s="1"/>
  <c r="AL235" i="7"/>
  <c r="AN235" i="7" s="1"/>
  <c r="AL265" i="7"/>
  <c r="AN265" i="7" s="1"/>
  <c r="AL24" i="7"/>
  <c r="AN24" i="7" s="1"/>
  <c r="AP24" i="7" s="1"/>
  <c r="AL65" i="7"/>
  <c r="AO65" i="7" s="1"/>
  <c r="AL111" i="7"/>
  <c r="AO111" i="7" s="1"/>
  <c r="AL194" i="7"/>
  <c r="AN194" i="7" s="1"/>
  <c r="AP194" i="7" s="1"/>
  <c r="AL236" i="7"/>
  <c r="AN236" i="7" s="1"/>
  <c r="AR21" i="7"/>
  <c r="AR44" i="7"/>
  <c r="AR86" i="7"/>
  <c r="AR105" i="7"/>
  <c r="AR124" i="7"/>
  <c r="AR142" i="7"/>
  <c r="AR163" i="7"/>
  <c r="AR199" i="7"/>
  <c r="AR220" i="7"/>
  <c r="AR237" i="7"/>
  <c r="AL25" i="7"/>
  <c r="AN25" i="7" s="1"/>
  <c r="AL115" i="7"/>
  <c r="AN115" i="7" s="1"/>
  <c r="AL150" i="7"/>
  <c r="AO150" i="7" s="1"/>
  <c r="AL195" i="7"/>
  <c r="AN195" i="7" s="1"/>
  <c r="AL270" i="7"/>
  <c r="AN270" i="7" s="1"/>
  <c r="AR26" i="7"/>
  <c r="AR45" i="7"/>
  <c r="AR65" i="7"/>
  <c r="AR89" i="7"/>
  <c r="AR106" i="7"/>
  <c r="AR125" i="7"/>
  <c r="AL39" i="7"/>
  <c r="AO39" i="7" s="1"/>
  <c r="AL82" i="7"/>
  <c r="AN82" i="7" s="1"/>
  <c r="AL123" i="7"/>
  <c r="AO123" i="7" s="1"/>
  <c r="AL159" i="7"/>
  <c r="AO159" i="7" s="1"/>
  <c r="AL249" i="7"/>
  <c r="AR9" i="7"/>
  <c r="AR29" i="7"/>
  <c r="AR50" i="7"/>
  <c r="AR74" i="7"/>
  <c r="AR92" i="7"/>
  <c r="AR111" i="7"/>
  <c r="AR131" i="7"/>
  <c r="AR150" i="7"/>
  <c r="AR167" i="7"/>
  <c r="AR188" i="7"/>
  <c r="AR207" i="7"/>
  <c r="AR224" i="7"/>
  <c r="AR260" i="7"/>
  <c r="AL87" i="7"/>
  <c r="AN87" i="7" s="1"/>
  <c r="AR11" i="7"/>
  <c r="AR53" i="7"/>
  <c r="AR76" i="7"/>
  <c r="AR114" i="7"/>
  <c r="AR152" i="7"/>
  <c r="AR247" i="7"/>
  <c r="AL50" i="7"/>
  <c r="AO50" i="7" s="1"/>
  <c r="AL176" i="7"/>
  <c r="AO176" i="7" s="1"/>
  <c r="AL217" i="7"/>
  <c r="AN217" i="7" s="1"/>
  <c r="AL44" i="7"/>
  <c r="AO44" i="7" s="1"/>
  <c r="AL86" i="7"/>
  <c r="AO86" i="7" s="1"/>
  <c r="AL126" i="7"/>
  <c r="AO126" i="7" s="1"/>
  <c r="AL171" i="7"/>
  <c r="AO171" i="7" s="1"/>
  <c r="AL210" i="7"/>
  <c r="AN210" i="7" s="1"/>
  <c r="AP210" i="7" s="1"/>
  <c r="AR10" i="7"/>
  <c r="AR31" i="7"/>
  <c r="AR52" i="7"/>
  <c r="AR75" i="7"/>
  <c r="AR93" i="7"/>
  <c r="AR113" i="7"/>
  <c r="AR134" i="7"/>
  <c r="AR151" i="7"/>
  <c r="AR171" i="7"/>
  <c r="AR189" i="7"/>
  <c r="AR208" i="7"/>
  <c r="AR226" i="7"/>
  <c r="AR246" i="7"/>
  <c r="AR261" i="7"/>
  <c r="AL49" i="7"/>
  <c r="AN49" i="7" s="1"/>
  <c r="AL134" i="7"/>
  <c r="AN134" i="7" s="1"/>
  <c r="AP134" i="7" s="1"/>
  <c r="AL173" i="7"/>
  <c r="AN173" i="7" s="1"/>
  <c r="AP173" i="7" s="1"/>
  <c r="AR32" i="7"/>
  <c r="AR94" i="7"/>
  <c r="AR135" i="7"/>
  <c r="AR172" i="7"/>
  <c r="AR190" i="7"/>
  <c r="AR227" i="7"/>
  <c r="AR262" i="7"/>
  <c r="AL8" i="7"/>
  <c r="AO8" i="7" s="1"/>
  <c r="AL89" i="7"/>
  <c r="AO89" i="7" s="1"/>
  <c r="AR14" i="7"/>
  <c r="AR33" i="7"/>
  <c r="AR57" i="7"/>
  <c r="AR95" i="7"/>
  <c r="AR248" i="7"/>
  <c r="AR221" i="7"/>
  <c r="AR195" i="7"/>
  <c r="AR166" i="7"/>
  <c r="AR139" i="7"/>
  <c r="AR107" i="7"/>
  <c r="AR69" i="7"/>
  <c r="AR35" i="7"/>
  <c r="AQ270" i="7"/>
  <c r="AQ238" i="7"/>
  <c r="AQ192" i="7"/>
  <c r="AQ100" i="7"/>
  <c r="AQ49" i="7"/>
  <c r="AO273" i="7"/>
  <c r="AL247" i="7"/>
  <c r="AO247" i="7" s="1"/>
  <c r="AL178" i="7"/>
  <c r="AN178" i="7" s="1"/>
  <c r="AP178" i="7" s="1"/>
  <c r="AL102" i="7"/>
  <c r="AN102" i="7" s="1"/>
  <c r="AL10" i="7"/>
  <c r="AN10" i="7" s="1"/>
  <c r="AN64" i="7"/>
  <c r="AP64" i="7" s="1"/>
  <c r="AO64" i="7"/>
  <c r="AQ5" i="7"/>
  <c r="AQ30" i="7"/>
  <c r="AQ55" i="7"/>
  <c r="AQ78" i="7"/>
  <c r="AQ101" i="7"/>
  <c r="AQ125" i="7"/>
  <c r="AQ167" i="7"/>
  <c r="AQ189" i="7"/>
  <c r="AQ210" i="7"/>
  <c r="AQ229" i="7"/>
  <c r="AQ252" i="7"/>
  <c r="AQ31" i="7"/>
  <c r="AQ57" i="7"/>
  <c r="AQ79" i="7"/>
  <c r="AQ102" i="7"/>
  <c r="AQ131" i="7"/>
  <c r="AQ149" i="7"/>
  <c r="AQ170" i="7"/>
  <c r="AQ190" i="7"/>
  <c r="AQ212" i="7"/>
  <c r="AQ230" i="7"/>
  <c r="AQ9" i="7"/>
  <c r="AQ33" i="7"/>
  <c r="AQ58" i="7"/>
  <c r="AQ81" i="7"/>
  <c r="AQ106" i="7"/>
  <c r="AQ132" i="7"/>
  <c r="AQ150" i="7"/>
  <c r="AQ172" i="7"/>
  <c r="AQ191" i="7"/>
  <c r="AQ236" i="7"/>
  <c r="AQ254" i="7"/>
  <c r="AQ13" i="7"/>
  <c r="AQ38" i="7"/>
  <c r="AQ86" i="7"/>
  <c r="AQ114" i="7"/>
  <c r="AQ154" i="7"/>
  <c r="AQ176" i="7"/>
  <c r="AQ198" i="7"/>
  <c r="AQ218" i="7"/>
  <c r="AQ239" i="7"/>
  <c r="AQ257" i="7"/>
  <c r="AQ17" i="7"/>
  <c r="AQ70" i="7"/>
  <c r="AQ158" i="7"/>
  <c r="AQ223" i="7"/>
  <c r="AQ46" i="7"/>
  <c r="AQ94" i="7"/>
  <c r="AQ143" i="7"/>
  <c r="AQ204" i="7"/>
  <c r="AQ14" i="7"/>
  <c r="AQ41" i="7"/>
  <c r="AQ65" i="7"/>
  <c r="AQ91" i="7"/>
  <c r="AQ115" i="7"/>
  <c r="AQ138" i="7"/>
  <c r="AQ157" i="7"/>
  <c r="AQ178" i="7"/>
  <c r="AQ202" i="7"/>
  <c r="AQ220" i="7"/>
  <c r="AQ241" i="7"/>
  <c r="AQ45" i="7"/>
  <c r="AQ93" i="7"/>
  <c r="AQ117" i="7"/>
  <c r="AQ139" i="7"/>
  <c r="AQ179" i="7"/>
  <c r="AQ203" i="7"/>
  <c r="AQ242" i="7"/>
  <c r="AQ262" i="7"/>
  <c r="AQ18" i="7"/>
  <c r="AQ71" i="7"/>
  <c r="AQ118" i="7"/>
  <c r="AQ161" i="7"/>
  <c r="AQ224" i="7"/>
  <c r="AR267" i="7"/>
  <c r="AR219" i="7"/>
  <c r="AR194" i="7"/>
  <c r="AR165" i="7"/>
  <c r="AR138" i="7"/>
  <c r="AR104" i="7"/>
  <c r="AR68" i="7"/>
  <c r="AR28" i="7"/>
  <c r="AQ237" i="7"/>
  <c r="AQ187" i="7"/>
  <c r="AQ146" i="7"/>
  <c r="AQ96" i="7"/>
  <c r="AQ47" i="7"/>
  <c r="AL245" i="7"/>
  <c r="AN245" i="7" s="1"/>
  <c r="AL158" i="7"/>
  <c r="AN158" i="7" s="1"/>
  <c r="AL101" i="7"/>
  <c r="AO101" i="7" s="1"/>
  <c r="AL9" i="7"/>
  <c r="AO9" i="7" s="1"/>
  <c r="AS204" i="7"/>
  <c r="AS134" i="7"/>
  <c r="AS31" i="7"/>
  <c r="AS252" i="7"/>
  <c r="AS119" i="7"/>
  <c r="AS30" i="7"/>
  <c r="AN148" i="7"/>
  <c r="AP148" i="7" s="1"/>
  <c r="AN286" i="7"/>
  <c r="AP286" i="7" s="1"/>
  <c r="AS189" i="7"/>
  <c r="AS118" i="7"/>
  <c r="AS10" i="7"/>
  <c r="AO258" i="7"/>
  <c r="AS237" i="7"/>
  <c r="AS173" i="7"/>
  <c r="AS82" i="7"/>
  <c r="AO285" i="7"/>
  <c r="AN213" i="7"/>
  <c r="AP213" i="7" s="1"/>
  <c r="AN180" i="7"/>
  <c r="AP180" i="7" s="1"/>
  <c r="AO180" i="7"/>
  <c r="AS236" i="7"/>
  <c r="AS203" i="7"/>
  <c r="AS187" i="7"/>
  <c r="AS151" i="7"/>
  <c r="AS133" i="7"/>
  <c r="AS81" i="7"/>
  <c r="AS7" i="7"/>
  <c r="AS202" i="7"/>
  <c r="AS166" i="7"/>
  <c r="AS45" i="7"/>
  <c r="AS216" i="7"/>
  <c r="AS165" i="7"/>
  <c r="AS44" i="7"/>
  <c r="AS262" i="7"/>
  <c r="AS248" i="7"/>
  <c r="AS233" i="7"/>
  <c r="AS215" i="7"/>
  <c r="AS198" i="7"/>
  <c r="AS164" i="7"/>
  <c r="AS146" i="7"/>
  <c r="AS130" i="7"/>
  <c r="AS110" i="7"/>
  <c r="AS94" i="7"/>
  <c r="AS78" i="7"/>
  <c r="AS60" i="7"/>
  <c r="AS41" i="7"/>
  <c r="AS21" i="7"/>
  <c r="AS2" i="7"/>
  <c r="AN9" i="7"/>
  <c r="AO209" i="7"/>
  <c r="AN209" i="7"/>
  <c r="AP209" i="7" s="1"/>
  <c r="AO253" i="7"/>
  <c r="AN253" i="7"/>
  <c r="AP253" i="7" s="1"/>
  <c r="AS261" i="7"/>
  <c r="AS247" i="7"/>
  <c r="AS230" i="7"/>
  <c r="AS197" i="7"/>
  <c r="AS179" i="7"/>
  <c r="AS163" i="7"/>
  <c r="AS145" i="7"/>
  <c r="AS129" i="7"/>
  <c r="AS109" i="7"/>
  <c r="AS93" i="7"/>
  <c r="AS77" i="7"/>
  <c r="AS59" i="7"/>
  <c r="AS38" i="7"/>
  <c r="AS3" i="7"/>
  <c r="AS15" i="7"/>
  <c r="AS27" i="7"/>
  <c r="AS39" i="7"/>
  <c r="AS51" i="7"/>
  <c r="AS63" i="7"/>
  <c r="AS75" i="7"/>
  <c r="AS87" i="7"/>
  <c r="AS99" i="7"/>
  <c r="AS111" i="7"/>
  <c r="AS123" i="7"/>
  <c r="AS135" i="7"/>
  <c r="AS147" i="7"/>
  <c r="AS159" i="7"/>
  <c r="AS171" i="7"/>
  <c r="AS183" i="7"/>
  <c r="AS195" i="7"/>
  <c r="AS207" i="7"/>
  <c r="AS219" i="7"/>
  <c r="AS231" i="7"/>
  <c r="AS243" i="7"/>
  <c r="AS136" i="7"/>
  <c r="AS196" i="7"/>
  <c r="AS220" i="7"/>
  <c r="AS256" i="7"/>
  <c r="AS4" i="7"/>
  <c r="AS16" i="7"/>
  <c r="AS28" i="7"/>
  <c r="AS40" i="7"/>
  <c r="AS52" i="7"/>
  <c r="AS76" i="7"/>
  <c r="AS88" i="7"/>
  <c r="AS100" i="7"/>
  <c r="AS112" i="7"/>
  <c r="AS124" i="7"/>
  <c r="AS148" i="7"/>
  <c r="AS160" i="7"/>
  <c r="AS172" i="7"/>
  <c r="AS184" i="7"/>
  <c r="AS208" i="7"/>
  <c r="AS232" i="7"/>
  <c r="AS268" i="7"/>
  <c r="AS9" i="7"/>
  <c r="AS23" i="7"/>
  <c r="AS37" i="7"/>
  <c r="AS53" i="7"/>
  <c r="AS66" i="7"/>
  <c r="AS12" i="7"/>
  <c r="AS26" i="7"/>
  <c r="AS42" i="7"/>
  <c r="AS56" i="7"/>
  <c r="AS69" i="7"/>
  <c r="AS83" i="7"/>
  <c r="AS97" i="7"/>
  <c r="AS113" i="7"/>
  <c r="AS127" i="7"/>
  <c r="AS141" i="7"/>
  <c r="AS155" i="7"/>
  <c r="AS169" i="7"/>
  <c r="AS185" i="7"/>
  <c r="AS199" i="7"/>
  <c r="AS227" i="7"/>
  <c r="AS241" i="7"/>
  <c r="AS254" i="7"/>
  <c r="AS13" i="7"/>
  <c r="AS29" i="7"/>
  <c r="AS43" i="7"/>
  <c r="AS57" i="7"/>
  <c r="AS70" i="7"/>
  <c r="AS84" i="7"/>
  <c r="AS98" i="7"/>
  <c r="AS114" i="7"/>
  <c r="AS128" i="7"/>
  <c r="AS142" i="7"/>
  <c r="AS156" i="7"/>
  <c r="AS170" i="7"/>
  <c r="AS186" i="7"/>
  <c r="AS200" i="7"/>
  <c r="AS214" i="7"/>
  <c r="AS228" i="7"/>
  <c r="AS242" i="7"/>
  <c r="AS250" i="7"/>
  <c r="AS217" i="7"/>
  <c r="AS132" i="7"/>
  <c r="AS80" i="7"/>
  <c r="AS6" i="7"/>
  <c r="AS181" i="7"/>
  <c r="AS131" i="7"/>
  <c r="AS95" i="7"/>
  <c r="AS61" i="7"/>
  <c r="AS5" i="7"/>
  <c r="AS260" i="7"/>
  <c r="AS229" i="7"/>
  <c r="AS212" i="7"/>
  <c r="AS178" i="7"/>
  <c r="AS144" i="7"/>
  <c r="AS74" i="7"/>
  <c r="AS36" i="7"/>
  <c r="AS259" i="7"/>
  <c r="AS226" i="7"/>
  <c r="AS211" i="7"/>
  <c r="AS161" i="7"/>
  <c r="AS125" i="7"/>
  <c r="AS91" i="7"/>
  <c r="AS35" i="7"/>
  <c r="AS271" i="7"/>
  <c r="AS210" i="7"/>
  <c r="AS158" i="7"/>
  <c r="AS122" i="7"/>
  <c r="AS106" i="7"/>
  <c r="AS72" i="7"/>
  <c r="AS34" i="7"/>
  <c r="AO282" i="7"/>
  <c r="AN282" i="7"/>
  <c r="AP282" i="7" s="1"/>
  <c r="AN274" i="7"/>
  <c r="AP274" i="7" s="1"/>
  <c r="AO274" i="7"/>
  <c r="AN251" i="7"/>
  <c r="AP251" i="7" s="1"/>
  <c r="AO251" i="7"/>
  <c r="AO110" i="7"/>
  <c r="AN110" i="7"/>
  <c r="AP110" i="7" s="1"/>
  <c r="AS257" i="7"/>
  <c r="AS240" i="7"/>
  <c r="AS224" i="7"/>
  <c r="AS175" i="7"/>
  <c r="AS157" i="7"/>
  <c r="AS139" i="7"/>
  <c r="AS121" i="7"/>
  <c r="AS105" i="7"/>
  <c r="AS89" i="7"/>
  <c r="AS71" i="7"/>
  <c r="AS50" i="7"/>
  <c r="AS33" i="7"/>
  <c r="AS14" i="7"/>
  <c r="AN258" i="7"/>
  <c r="AP258" i="7" s="1"/>
  <c r="AN77" i="7"/>
  <c r="AP77" i="7" s="1"/>
  <c r="AO77" i="7"/>
  <c r="AS265" i="7"/>
  <c r="AS218" i="7"/>
  <c r="AS167" i="7"/>
  <c r="AS117" i="7"/>
  <c r="AS101" i="7"/>
  <c r="AS46" i="7"/>
  <c r="AS25" i="7"/>
  <c r="AN255" i="7"/>
  <c r="AP255" i="7" s="1"/>
  <c r="AO255" i="7"/>
  <c r="AS264" i="7"/>
  <c r="AS235" i="7"/>
  <c r="AS182" i="7"/>
  <c r="AS150" i="7"/>
  <c r="AS116" i="7"/>
  <c r="AS96" i="7"/>
  <c r="AS62" i="7"/>
  <c r="AS24" i="7"/>
  <c r="AS234" i="7"/>
  <c r="AS201" i="7"/>
  <c r="AS149" i="7"/>
  <c r="AS115" i="7"/>
  <c r="AS79" i="7"/>
  <c r="AS22" i="7"/>
  <c r="AS246" i="7"/>
  <c r="AS194" i="7"/>
  <c r="AS162" i="7"/>
  <c r="AS126" i="7"/>
  <c r="AS108" i="7"/>
  <c r="AS92" i="7"/>
  <c r="AS58" i="7"/>
  <c r="AS19" i="7"/>
  <c r="AN283" i="7"/>
  <c r="AP283" i="7" s="1"/>
  <c r="AO283" i="7"/>
  <c r="AS245" i="7"/>
  <c r="AS193" i="7"/>
  <c r="AS143" i="7"/>
  <c r="AS107" i="7"/>
  <c r="AS73" i="7"/>
  <c r="AS55" i="7"/>
  <c r="AS18" i="7"/>
  <c r="AS225" i="7"/>
  <c r="AS192" i="7"/>
  <c r="AS176" i="7"/>
  <c r="AS140" i="7"/>
  <c r="AS90" i="7"/>
  <c r="AS54" i="7"/>
  <c r="AS17" i="7"/>
  <c r="AS270" i="7"/>
  <c r="AS239" i="7"/>
  <c r="AS223" i="7"/>
  <c r="AS206" i="7"/>
  <c r="AS190" i="7"/>
  <c r="AS174" i="7"/>
  <c r="AS138" i="7"/>
  <c r="AS120" i="7"/>
  <c r="AS104" i="7"/>
  <c r="AS86" i="7"/>
  <c r="AS68" i="7"/>
  <c r="AS49" i="7"/>
  <c r="AS32" i="7"/>
  <c r="AS11" i="7"/>
  <c r="AL11" i="7"/>
  <c r="AL23" i="7"/>
  <c r="AO23" i="7" s="1"/>
  <c r="AL35" i="7"/>
  <c r="AN35" i="7" s="1"/>
  <c r="AL47" i="7"/>
  <c r="AN47" i="7" s="1"/>
  <c r="AL59" i="7"/>
  <c r="AL71" i="7"/>
  <c r="AO71" i="7" s="1"/>
  <c r="AL83" i="7"/>
  <c r="AL95" i="7"/>
  <c r="AL107" i="7"/>
  <c r="AN107" i="7" s="1"/>
  <c r="AL119" i="7"/>
  <c r="AO119" i="7" s="1"/>
  <c r="AL131" i="7"/>
  <c r="AL143" i="7"/>
  <c r="AO143" i="7" s="1"/>
  <c r="AL155" i="7"/>
  <c r="AN155" i="7" s="1"/>
  <c r="AL167" i="7"/>
  <c r="AL179" i="7"/>
  <c r="AO179" i="7" s="1"/>
  <c r="AL191" i="7"/>
  <c r="AN191" i="7" s="1"/>
  <c r="AP191" i="7" s="1"/>
  <c r="AL203" i="7"/>
  <c r="AO203" i="7" s="1"/>
  <c r="AL215" i="7"/>
  <c r="AN215" i="7" s="1"/>
  <c r="AL227" i="7"/>
  <c r="AL239" i="7"/>
  <c r="AO239" i="7" s="1"/>
  <c r="AL275" i="7"/>
  <c r="AN275" i="7" s="1"/>
  <c r="AP275" i="7" s="1"/>
  <c r="AL4" i="7"/>
  <c r="AL16" i="7"/>
  <c r="AN16" i="7" s="1"/>
  <c r="AL28" i="7"/>
  <c r="AN28" i="7" s="1"/>
  <c r="AL40" i="7"/>
  <c r="AO40" i="7" s="1"/>
  <c r="AL52" i="7"/>
  <c r="AL76" i="7"/>
  <c r="AL88" i="7"/>
  <c r="AO88" i="7" s="1"/>
  <c r="AL100" i="7"/>
  <c r="AO100" i="7" s="1"/>
  <c r="AL112" i="7"/>
  <c r="AO112" i="7" s="1"/>
  <c r="AL124" i="7"/>
  <c r="AN124" i="7" s="1"/>
  <c r="AL136" i="7"/>
  <c r="AL160" i="7"/>
  <c r="AO160" i="7" s="1"/>
  <c r="AL172" i="7"/>
  <c r="AN172" i="7" s="1"/>
  <c r="AP172" i="7" s="1"/>
  <c r="AL184" i="7"/>
  <c r="AN184" i="7" s="1"/>
  <c r="AL196" i="7"/>
  <c r="AO196" i="7" s="1"/>
  <c r="AL208" i="7"/>
  <c r="AN208" i="7" s="1"/>
  <c r="AL220" i="7"/>
  <c r="AL232" i="7"/>
  <c r="AN232" i="7" s="1"/>
  <c r="AP232" i="7" s="1"/>
  <c r="AL256" i="7"/>
  <c r="AO256" i="7" s="1"/>
  <c r="AL268" i="7"/>
  <c r="AN268" i="7" s="1"/>
  <c r="AP268" i="7" s="1"/>
  <c r="AL13" i="7"/>
  <c r="AN13" i="7" s="1"/>
  <c r="AL27" i="7"/>
  <c r="AN27" i="7" s="1"/>
  <c r="AL42" i="7"/>
  <c r="AO42" i="7" s="1"/>
  <c r="AL56" i="7"/>
  <c r="AL69" i="7"/>
  <c r="AL84" i="7"/>
  <c r="AO84" i="7" s="1"/>
  <c r="AL98" i="7"/>
  <c r="AO98" i="7" s="1"/>
  <c r="AL113" i="7"/>
  <c r="AO113" i="7" s="1"/>
  <c r="AL127" i="7"/>
  <c r="AN127" i="7" s="1"/>
  <c r="AL141" i="7"/>
  <c r="AL154" i="7"/>
  <c r="AO154" i="7" s="1"/>
  <c r="AL169" i="7"/>
  <c r="AN169" i="7" s="1"/>
  <c r="AL183" i="7"/>
  <c r="AL198" i="7"/>
  <c r="AN198" i="7" s="1"/>
  <c r="AP198" i="7" s="1"/>
  <c r="AL212" i="7"/>
  <c r="AN212" i="7" s="1"/>
  <c r="AP212" i="7" s="1"/>
  <c r="AL226" i="7"/>
  <c r="AN226" i="7" s="1"/>
  <c r="AL241" i="7"/>
  <c r="AN241" i="7" s="1"/>
  <c r="AL266" i="7"/>
  <c r="AO266" i="7" s="1"/>
  <c r="AL14" i="7"/>
  <c r="AN14" i="7" s="1"/>
  <c r="AL29" i="7"/>
  <c r="AO29" i="7" s="1"/>
  <c r="AL43" i="7"/>
  <c r="AL57" i="7"/>
  <c r="AL70" i="7"/>
  <c r="AO70" i="7" s="1"/>
  <c r="AL85" i="7"/>
  <c r="AN85" i="7" s="1"/>
  <c r="AL99" i="7"/>
  <c r="AO99" i="7" s="1"/>
  <c r="AL114" i="7"/>
  <c r="AN114" i="7" s="1"/>
  <c r="AL128" i="7"/>
  <c r="AL142" i="7"/>
  <c r="AO142" i="7" s="1"/>
  <c r="AL156" i="7"/>
  <c r="AN156" i="7" s="1"/>
  <c r="AL170" i="7"/>
  <c r="AO170" i="7" s="1"/>
  <c r="AL185" i="7"/>
  <c r="AN185" i="7" s="1"/>
  <c r="AL199" i="7"/>
  <c r="AN199" i="7" s="1"/>
  <c r="AP199" i="7" s="1"/>
  <c r="AL228" i="7"/>
  <c r="AL242" i="7"/>
  <c r="AN242" i="7" s="1"/>
  <c r="AL254" i="7"/>
  <c r="AN254" i="7" s="1"/>
  <c r="AL267" i="7"/>
  <c r="AN267" i="7" s="1"/>
  <c r="AP267" i="7" s="1"/>
  <c r="AL5" i="7"/>
  <c r="AO5" i="7" s="1"/>
  <c r="AL19" i="7"/>
  <c r="AN19" i="7" s="1"/>
  <c r="AL33" i="7"/>
  <c r="AO33" i="7" s="1"/>
  <c r="AL48" i="7"/>
  <c r="AN48" i="7" s="1"/>
  <c r="AL62" i="7"/>
  <c r="AN62" i="7" s="1"/>
  <c r="AP62" i="7" s="1"/>
  <c r="AL75" i="7"/>
  <c r="AN75" i="7" s="1"/>
  <c r="AL90" i="7"/>
  <c r="AN90" i="7" s="1"/>
  <c r="AL104" i="7"/>
  <c r="AO104" i="7" s="1"/>
  <c r="AL118" i="7"/>
  <c r="AO118" i="7" s="1"/>
  <c r="AL133" i="7"/>
  <c r="AO133" i="7" s="1"/>
  <c r="AL147" i="7"/>
  <c r="AN147" i="7" s="1"/>
  <c r="AL161" i="7"/>
  <c r="AO161" i="7" s="1"/>
  <c r="AL175" i="7"/>
  <c r="AO175" i="7" s="1"/>
  <c r="AL189" i="7"/>
  <c r="AO189" i="7" s="1"/>
  <c r="AL204" i="7"/>
  <c r="AN204" i="7" s="1"/>
  <c r="AP204" i="7" s="1"/>
  <c r="AL218" i="7"/>
  <c r="AO218" i="7" s="1"/>
  <c r="AL233" i="7"/>
  <c r="AO233" i="7" s="1"/>
  <c r="AL246" i="7"/>
  <c r="AL259" i="7"/>
  <c r="AO259" i="7" s="1"/>
  <c r="AL15" i="7"/>
  <c r="AN15" i="7" s="1"/>
  <c r="AL34" i="7"/>
  <c r="AN34" i="7" s="1"/>
  <c r="AL53" i="7"/>
  <c r="AO53" i="7" s="1"/>
  <c r="AL72" i="7"/>
  <c r="AN72" i="7" s="1"/>
  <c r="AL91" i="7"/>
  <c r="AO91" i="7" s="1"/>
  <c r="AL109" i="7"/>
  <c r="AO109" i="7" s="1"/>
  <c r="AL129" i="7"/>
  <c r="AL165" i="7"/>
  <c r="AL186" i="7"/>
  <c r="AN186" i="7" s="1"/>
  <c r="AL205" i="7"/>
  <c r="AN205" i="7" s="1"/>
  <c r="AP205" i="7" s="1"/>
  <c r="AL222" i="7"/>
  <c r="AL240" i="7"/>
  <c r="AO240" i="7" s="1"/>
  <c r="AL257" i="7"/>
  <c r="AR6" i="7"/>
  <c r="AL17" i="7"/>
  <c r="AO17" i="7" s="1"/>
  <c r="AL36" i="7"/>
  <c r="AL54" i="7"/>
  <c r="AO54" i="7" s="1"/>
  <c r="AL73" i="7"/>
  <c r="AN73" i="7" s="1"/>
  <c r="AP73" i="7" s="1"/>
  <c r="AL92" i="7"/>
  <c r="AO92" i="7" s="1"/>
  <c r="AL130" i="7"/>
  <c r="AN130" i="7" s="1"/>
  <c r="AL149" i="7"/>
  <c r="AO149" i="7" s="1"/>
  <c r="AL166" i="7"/>
  <c r="AO166" i="7" s="1"/>
  <c r="AL187" i="7"/>
  <c r="AL206" i="7"/>
  <c r="AN206" i="7" s="1"/>
  <c r="AL223" i="7"/>
  <c r="AL243" i="7"/>
  <c r="AO243" i="7" s="1"/>
  <c r="AL3" i="7"/>
  <c r="AO3" i="7" s="1"/>
  <c r="AL22" i="7"/>
  <c r="AN22" i="7" s="1"/>
  <c r="AL41" i="7"/>
  <c r="AO41" i="7" s="1"/>
  <c r="AL61" i="7"/>
  <c r="AO61" i="7" s="1"/>
  <c r="AL79" i="7"/>
  <c r="AN79" i="7" s="1"/>
  <c r="AL97" i="7"/>
  <c r="AN97" i="7" s="1"/>
  <c r="AL117" i="7"/>
  <c r="AL153" i="7"/>
  <c r="AO153" i="7" s="1"/>
  <c r="AL174" i="7"/>
  <c r="AL193" i="7"/>
  <c r="AN193" i="7" s="1"/>
  <c r="AL211" i="7"/>
  <c r="AN211" i="7" s="1"/>
  <c r="AP211" i="7" s="1"/>
  <c r="AL230" i="7"/>
  <c r="AO230" i="7" s="1"/>
  <c r="AL248" i="7"/>
  <c r="AL20" i="7"/>
  <c r="AO20" i="7" s="1"/>
  <c r="AL45" i="7"/>
  <c r="AL67" i="7"/>
  <c r="AL94" i="7"/>
  <c r="AO94" i="7" s="1"/>
  <c r="AL120" i="7"/>
  <c r="AL140" i="7"/>
  <c r="AO140" i="7" s="1"/>
  <c r="AL163" i="7"/>
  <c r="AO163" i="7" s="1"/>
  <c r="AL190" i="7"/>
  <c r="AO190" i="7" s="1"/>
  <c r="AL214" i="7"/>
  <c r="AO214" i="7" s="1"/>
  <c r="AL237" i="7"/>
  <c r="AO237" i="7" s="1"/>
  <c r="AL260" i="7"/>
  <c r="AN260" i="7" s="1"/>
  <c r="AP260" i="7" s="1"/>
  <c r="AR12" i="7"/>
  <c r="AR24" i="7"/>
  <c r="AR36" i="7"/>
  <c r="AR48" i="7"/>
  <c r="AR60" i="7"/>
  <c r="AR72" i="7"/>
  <c r="AR84" i="7"/>
  <c r="AR96" i="7"/>
  <c r="AR108" i="7"/>
  <c r="AR120" i="7"/>
  <c r="AR132" i="7"/>
  <c r="AR144" i="7"/>
  <c r="AR156" i="7"/>
  <c r="AR168" i="7"/>
  <c r="AR192" i="7"/>
  <c r="AR204" i="7"/>
  <c r="AR216" i="7"/>
  <c r="AR228" i="7"/>
  <c r="AR240" i="7"/>
  <c r="AR252" i="7"/>
  <c r="AR264" i="7"/>
  <c r="AL21" i="7"/>
  <c r="AL46" i="7"/>
  <c r="AN46" i="7" s="1"/>
  <c r="AL68" i="7"/>
  <c r="AL96" i="7"/>
  <c r="AL121" i="7"/>
  <c r="AN121" i="7" s="1"/>
  <c r="AL144" i="7"/>
  <c r="AL164" i="7"/>
  <c r="AL192" i="7"/>
  <c r="AN192" i="7" s="1"/>
  <c r="AL216" i="7"/>
  <c r="AO216" i="7" s="1"/>
  <c r="AL238" i="7"/>
  <c r="AO238" i="7" s="1"/>
  <c r="AL261" i="7"/>
  <c r="AR13" i="7"/>
  <c r="AR25" i="7"/>
  <c r="AR37" i="7"/>
  <c r="AR49" i="7"/>
  <c r="AR61" i="7"/>
  <c r="AR73" i="7"/>
  <c r="AR85" i="7"/>
  <c r="AR97" i="7"/>
  <c r="AR109" i="7"/>
  <c r="AR121" i="7"/>
  <c r="AR133" i="7"/>
  <c r="AR145" i="7"/>
  <c r="AR157" i="7"/>
  <c r="AR169" i="7"/>
  <c r="AR181" i="7"/>
  <c r="AR193" i="7"/>
  <c r="AR205" i="7"/>
  <c r="AR217" i="7"/>
  <c r="AR229" i="7"/>
  <c r="AR241" i="7"/>
  <c r="AR265" i="7"/>
  <c r="AL7" i="7"/>
  <c r="AN7" i="7" s="1"/>
  <c r="AL31" i="7"/>
  <c r="AL58" i="7"/>
  <c r="AN58" i="7" s="1"/>
  <c r="AL81" i="7"/>
  <c r="AO81" i="7" s="1"/>
  <c r="AL106" i="7"/>
  <c r="AO106" i="7" s="1"/>
  <c r="AL132" i="7"/>
  <c r="AN132" i="7" s="1"/>
  <c r="AL151" i="7"/>
  <c r="AL177" i="7"/>
  <c r="AN177" i="7" s="1"/>
  <c r="AP177" i="7" s="1"/>
  <c r="AL201" i="7"/>
  <c r="AN201" i="7" s="1"/>
  <c r="AP201" i="7" s="1"/>
  <c r="AL225" i="7"/>
  <c r="AO225" i="7" s="1"/>
  <c r="AL250" i="7"/>
  <c r="AN250" i="7" s="1"/>
  <c r="AR5" i="7"/>
  <c r="AR18" i="7"/>
  <c r="AR30" i="7"/>
  <c r="AR42" i="7"/>
  <c r="AR54" i="7"/>
  <c r="AR66" i="7"/>
  <c r="AR78" i="7"/>
  <c r="AR245" i="7"/>
  <c r="AR231" i="7"/>
  <c r="AR215" i="7"/>
  <c r="AR201" i="7"/>
  <c r="AR187" i="7"/>
  <c r="AR174" i="7"/>
  <c r="AR160" i="7"/>
  <c r="AR146" i="7"/>
  <c r="AR130" i="7"/>
  <c r="AR116" i="7"/>
  <c r="AR102" i="7"/>
  <c r="AR88" i="7"/>
  <c r="AR71" i="7"/>
  <c r="AR56" i="7"/>
  <c r="AR40" i="7"/>
  <c r="AR23" i="7"/>
  <c r="AR8" i="7"/>
  <c r="AQ266" i="7"/>
  <c r="AQ233" i="7"/>
  <c r="AQ200" i="7"/>
  <c r="AQ184" i="7"/>
  <c r="AQ165" i="7"/>
  <c r="AQ130" i="7"/>
  <c r="AQ109" i="7"/>
  <c r="AQ48" i="7"/>
  <c r="AQ7" i="7"/>
  <c r="AL262" i="7"/>
  <c r="AO262" i="7" s="1"/>
  <c r="AL234" i="7"/>
  <c r="AN234" i="7" s="1"/>
  <c r="AL200" i="7"/>
  <c r="AL168" i="7"/>
  <c r="AO168" i="7" s="1"/>
  <c r="AL105" i="7"/>
  <c r="AL74" i="7"/>
  <c r="AN74" i="7" s="1"/>
  <c r="AL38" i="7"/>
  <c r="AO38" i="7" s="1"/>
  <c r="AL6" i="7"/>
  <c r="AN240" i="7"/>
  <c r="AR271" i="7"/>
  <c r="AR257" i="7"/>
  <c r="AR230" i="7"/>
  <c r="AR214" i="7"/>
  <c r="AR200" i="7"/>
  <c r="AR186" i="7"/>
  <c r="AR173" i="7"/>
  <c r="AR159" i="7"/>
  <c r="AR143" i="7"/>
  <c r="AR129" i="7"/>
  <c r="AR115" i="7"/>
  <c r="AR101" i="7"/>
  <c r="AR87" i="7"/>
  <c r="AR70" i="7"/>
  <c r="AR55" i="7"/>
  <c r="AR39" i="7"/>
  <c r="AR22" i="7"/>
  <c r="AR7" i="7"/>
  <c r="AQ264" i="7"/>
  <c r="AQ250" i="7"/>
  <c r="AQ232" i="7"/>
  <c r="AQ215" i="7"/>
  <c r="AQ199" i="7"/>
  <c r="AQ129" i="7"/>
  <c r="AQ108" i="7"/>
  <c r="AQ89" i="7"/>
  <c r="AQ69" i="7"/>
  <c r="AQ25" i="7"/>
  <c r="AQ6" i="7"/>
  <c r="AL231" i="7"/>
  <c r="AL197" i="7"/>
  <c r="AO197" i="7" s="1"/>
  <c r="AL162" i="7"/>
  <c r="AO162" i="7" s="1"/>
  <c r="AL135" i="7"/>
  <c r="AL103" i="7"/>
  <c r="AN103" i="7" s="1"/>
  <c r="AP103" i="7" s="1"/>
  <c r="AL66" i="7"/>
  <c r="AN66" i="7" s="1"/>
  <c r="AL37" i="7"/>
  <c r="AO37" i="7" s="1"/>
  <c r="AL2" i="7"/>
  <c r="AN2" i="7" s="1"/>
  <c r="AO278" i="7"/>
  <c r="AN263" i="7"/>
  <c r="AP263" i="7" s="1"/>
  <c r="AR268" i="7"/>
  <c r="AR254" i="7"/>
  <c r="AR239" i="7"/>
  <c r="AR225" i="7"/>
  <c r="AR211" i="7"/>
  <c r="AR197" i="7"/>
  <c r="AR183" i="7"/>
  <c r="AR170" i="7"/>
  <c r="AR154" i="7"/>
  <c r="AR140" i="7"/>
  <c r="AR126" i="7"/>
  <c r="AR112" i="7"/>
  <c r="AR98" i="7"/>
  <c r="AR82" i="7"/>
  <c r="AR67" i="7"/>
  <c r="AR51" i="7"/>
  <c r="AR34" i="7"/>
  <c r="AR19" i="7"/>
  <c r="AR2" i="7"/>
  <c r="AQ275" i="7"/>
  <c r="AQ261" i="7"/>
  <c r="AQ245" i="7"/>
  <c r="AQ211" i="7"/>
  <c r="AQ193" i="7"/>
  <c r="AQ177" i="7"/>
  <c r="AQ160" i="7"/>
  <c r="AQ122" i="7"/>
  <c r="AQ103" i="7"/>
  <c r="AQ62" i="7"/>
  <c r="AQ42" i="7"/>
  <c r="AQ22" i="7"/>
  <c r="AL252" i="7"/>
  <c r="AL221" i="7"/>
  <c r="AO221" i="7" s="1"/>
  <c r="AL188" i="7"/>
  <c r="AO188" i="7" s="1"/>
  <c r="AL157" i="7"/>
  <c r="AO157" i="7" s="1"/>
  <c r="AL125" i="7"/>
  <c r="AO125" i="7" s="1"/>
  <c r="AL93" i="7"/>
  <c r="AN93" i="7" s="1"/>
  <c r="AL63" i="7"/>
  <c r="AL26" i="7"/>
  <c r="AO26" i="7" s="1"/>
  <c r="AQ265" i="7"/>
  <c r="AQ240" i="7"/>
  <c r="AQ227" i="7"/>
  <c r="AQ214" i="7"/>
  <c r="AQ201" i="7"/>
  <c r="AQ188" i="7"/>
  <c r="AQ175" i="7"/>
  <c r="AQ162" i="7"/>
  <c r="AQ133" i="7"/>
  <c r="AQ119" i="7"/>
  <c r="AQ105" i="7"/>
  <c r="AQ90" i="7"/>
  <c r="AQ73" i="7"/>
  <c r="AQ59" i="7"/>
  <c r="AQ43" i="7"/>
  <c r="AQ26" i="7"/>
  <c r="AQ11" i="7"/>
  <c r="AQ260" i="7"/>
  <c r="AQ248" i="7"/>
  <c r="AQ235" i="7"/>
  <c r="AQ222" i="7"/>
  <c r="AQ196" i="7"/>
  <c r="AQ182" i="7"/>
  <c r="AQ169" i="7"/>
  <c r="AQ156" i="7"/>
  <c r="AQ142" i="7"/>
  <c r="AQ127" i="7"/>
  <c r="AQ113" i="7"/>
  <c r="AQ98" i="7"/>
  <c r="AQ83" i="7"/>
  <c r="AQ67" i="7"/>
  <c r="AQ53" i="7"/>
  <c r="AQ36" i="7"/>
  <c r="AQ21" i="7"/>
  <c r="AO269" i="7"/>
  <c r="AQ3" i="7"/>
  <c r="AQ15" i="7"/>
  <c r="AQ27" i="7"/>
  <c r="AQ39" i="7"/>
  <c r="AQ51" i="7"/>
  <c r="AQ63" i="7"/>
  <c r="AQ75" i="7"/>
  <c r="AQ87" i="7"/>
  <c r="AQ99" i="7"/>
  <c r="AQ111" i="7"/>
  <c r="AQ123" i="7"/>
  <c r="AQ135" i="7"/>
  <c r="AQ147" i="7"/>
  <c r="AQ159" i="7"/>
  <c r="AQ171" i="7"/>
  <c r="AQ183" i="7"/>
  <c r="AQ195" i="7"/>
  <c r="AQ207" i="7"/>
  <c r="AQ219" i="7"/>
  <c r="AQ231" i="7"/>
  <c r="AQ243" i="7"/>
  <c r="AQ267" i="7"/>
  <c r="AQ4" i="7"/>
  <c r="AQ16" i="7"/>
  <c r="AQ28" i="7"/>
  <c r="AQ40" i="7"/>
  <c r="AQ52" i="7"/>
  <c r="AQ76" i="7"/>
  <c r="AQ88" i="7"/>
  <c r="AQ8" i="7"/>
  <c r="AQ20" i="7"/>
  <c r="AQ32" i="7"/>
  <c r="AQ44" i="7"/>
  <c r="AQ56" i="7"/>
  <c r="AQ68" i="7"/>
  <c r="AQ80" i="7"/>
  <c r="AQ92" i="7"/>
  <c r="AQ104" i="7"/>
  <c r="AQ116" i="7"/>
  <c r="AQ128" i="7"/>
  <c r="AQ140" i="7"/>
  <c r="AQ152" i="7"/>
  <c r="AQ259" i="7"/>
  <c r="AQ247" i="7"/>
  <c r="AQ234" i="7"/>
  <c r="AQ221" i="7"/>
  <c r="AQ208" i="7"/>
  <c r="AQ194" i="7"/>
  <c r="AQ181" i="7"/>
  <c r="AQ168" i="7"/>
  <c r="AQ155" i="7"/>
  <c r="AQ141" i="7"/>
  <c r="AQ126" i="7"/>
  <c r="AQ112" i="7"/>
  <c r="AQ97" i="7"/>
  <c r="AQ82" i="7"/>
  <c r="AQ66" i="7"/>
  <c r="AQ50" i="7"/>
  <c r="AQ35" i="7"/>
  <c r="AQ19" i="7"/>
  <c r="AQ2" i="7"/>
  <c r="AO284" i="7"/>
  <c r="AN279" i="7"/>
  <c r="AP279" i="7" s="1"/>
  <c r="AO277" i="7"/>
  <c r="AN137" i="7"/>
  <c r="AP137" i="7" s="1"/>
  <c r="B42" i="10"/>
  <c r="C40" i="10"/>
  <c r="D42" i="10" l="1"/>
  <c r="D40" i="10"/>
  <c r="AO234" i="7"/>
  <c r="AO80" i="7"/>
  <c r="AO121" i="7"/>
  <c r="AP121" i="7" s="1"/>
  <c r="AP30" i="7"/>
  <c r="AO25" i="7"/>
  <c r="AP25" i="7" s="1"/>
  <c r="AN139" i="7"/>
  <c r="AP139" i="7" s="1"/>
  <c r="AN41" i="7"/>
  <c r="AP41" i="7" s="1"/>
  <c r="AN161" i="7"/>
  <c r="AP161" i="7" s="1"/>
  <c r="AN61" i="7"/>
  <c r="AP61" i="7" s="1"/>
  <c r="AO270" i="7"/>
  <c r="AP270" i="7" s="1"/>
  <c r="AN26" i="7"/>
  <c r="AP26" i="7" s="1"/>
  <c r="AN99" i="7"/>
  <c r="AP99" i="7" s="1"/>
  <c r="AO73" i="7"/>
  <c r="AO124" i="7"/>
  <c r="AP124" i="7" s="1"/>
  <c r="AN264" i="7"/>
  <c r="AP264" i="7" s="1"/>
  <c r="AN86" i="7"/>
  <c r="AP86" i="7" s="1"/>
  <c r="AN142" i="7"/>
  <c r="AP142" i="7" s="1"/>
  <c r="AN166" i="7"/>
  <c r="AP166" i="7" s="1"/>
  <c r="AO194" i="7"/>
  <c r="AN109" i="7"/>
  <c r="AP109" i="7" s="1"/>
  <c r="AN54" i="7"/>
  <c r="AP54" i="7" s="1"/>
  <c r="AN216" i="7"/>
  <c r="AP216" i="7" s="1"/>
  <c r="AO173" i="7"/>
  <c r="AO27" i="7"/>
  <c r="AP27" i="7" s="1"/>
  <c r="AN50" i="7"/>
  <c r="AP50" i="7" s="1"/>
  <c r="AO236" i="7"/>
  <c r="AP236" i="7" s="1"/>
  <c r="AO134" i="7"/>
  <c r="AO204" i="7"/>
  <c r="AO158" i="7"/>
  <c r="AP158" i="7" s="1"/>
  <c r="AO181" i="7"/>
  <c r="AO13" i="7"/>
  <c r="AP13" i="7" s="1"/>
  <c r="AN143" i="7"/>
  <c r="AP143" i="7" s="1"/>
  <c r="AN119" i="7"/>
  <c r="AP119" i="7" s="1"/>
  <c r="AO178" i="7"/>
  <c r="AN219" i="7"/>
  <c r="AP219" i="7" s="1"/>
  <c r="AO51" i="7"/>
  <c r="AP51" i="7" s="1"/>
  <c r="AN239" i="7"/>
  <c r="AP239" i="7" s="1"/>
  <c r="AO145" i="7"/>
  <c r="AP145" i="7" s="1"/>
  <c r="AO62" i="7"/>
  <c r="AN101" i="7"/>
  <c r="AP101" i="7" s="1"/>
  <c r="AN225" i="7"/>
  <c r="AP225" i="7" s="1"/>
  <c r="AO267" i="7"/>
  <c r="AN112" i="7"/>
  <c r="AP112" i="7" s="1"/>
  <c r="AO85" i="7"/>
  <c r="AP85" i="7" s="1"/>
  <c r="AN271" i="7"/>
  <c r="AP271" i="7" s="1"/>
  <c r="AO12" i="7"/>
  <c r="AP12" i="7" s="1"/>
  <c r="AN146" i="7"/>
  <c r="AP146" i="7" s="1"/>
  <c r="AN44" i="7"/>
  <c r="AP44" i="7" s="1"/>
  <c r="AO250" i="7"/>
  <c r="AP250" i="7" s="1"/>
  <c r="AN214" i="7"/>
  <c r="AP214" i="7" s="1"/>
  <c r="AN224" i="7"/>
  <c r="AP224" i="7" s="1"/>
  <c r="AO138" i="7"/>
  <c r="AP138" i="7" s="1"/>
  <c r="AN171" i="7"/>
  <c r="AP171" i="7" s="1"/>
  <c r="AN247" i="7"/>
  <c r="AP247" i="7" s="1"/>
  <c r="AN32" i="7"/>
  <c r="AP32" i="7" s="1"/>
  <c r="AO78" i="7"/>
  <c r="AP78" i="7" s="1"/>
  <c r="AO108" i="7"/>
  <c r="AP108" i="7" s="1"/>
  <c r="AN94" i="7"/>
  <c r="AP94" i="7" s="1"/>
  <c r="AN203" i="7"/>
  <c r="AP203" i="7" s="1"/>
  <c r="AN88" i="7"/>
  <c r="AP88" i="7" s="1"/>
  <c r="AO229" i="7"/>
  <c r="AO60" i="7"/>
  <c r="AP60" i="7" s="1"/>
  <c r="AO122" i="7"/>
  <c r="AP122" i="7" s="1"/>
  <c r="AO114" i="7"/>
  <c r="AP114" i="7" s="1"/>
  <c r="AO18" i="7"/>
  <c r="AP18" i="7" s="1"/>
  <c r="AN38" i="7"/>
  <c r="AP38" i="7" s="1"/>
  <c r="AO182" i="7"/>
  <c r="AN55" i="7"/>
  <c r="AP55" i="7" s="1"/>
  <c r="AN65" i="7"/>
  <c r="AP65" i="7" s="1"/>
  <c r="AO115" i="7"/>
  <c r="AP115" i="7" s="1"/>
  <c r="AN157" i="7"/>
  <c r="AP157" i="7" s="1"/>
  <c r="AO212" i="7"/>
  <c r="AN116" i="7"/>
  <c r="AP116" i="7" s="1"/>
  <c r="AO245" i="7"/>
  <c r="AP245" i="7" s="1"/>
  <c r="AO90" i="7"/>
  <c r="AP90" i="7" s="1"/>
  <c r="AN152" i="7"/>
  <c r="AP152" i="7" s="1"/>
  <c r="AN176" i="7"/>
  <c r="AP176" i="7" s="1"/>
  <c r="AN190" i="7"/>
  <c r="AP190" i="7" s="1"/>
  <c r="AN202" i="7"/>
  <c r="AP202" i="7" s="1"/>
  <c r="AN113" i="7"/>
  <c r="AP113" i="7" s="1"/>
  <c r="AO156" i="7"/>
  <c r="AP156" i="7" s="1"/>
  <c r="AO235" i="7"/>
  <c r="AP235" i="7" s="1"/>
  <c r="AN207" i="7"/>
  <c r="AP207" i="7" s="1"/>
  <c r="AO207" i="7"/>
  <c r="AN159" i="7"/>
  <c r="AP159" i="7" s="1"/>
  <c r="AO241" i="7"/>
  <c r="AP241" i="7" s="1"/>
  <c r="AO217" i="7"/>
  <c r="AP217" i="7" s="1"/>
  <c r="AN125" i="7"/>
  <c r="AP125" i="7" s="1"/>
  <c r="AO49" i="7"/>
  <c r="AP49" i="7" s="1"/>
  <c r="AN106" i="7"/>
  <c r="AP106" i="7" s="1"/>
  <c r="AN123" i="7"/>
  <c r="AP123" i="7" s="1"/>
  <c r="AO198" i="7"/>
  <c r="AO82" i="7"/>
  <c r="AP82" i="7" s="1"/>
  <c r="AN126" i="7"/>
  <c r="AP126" i="7" s="1"/>
  <c r="AO14" i="7"/>
  <c r="AP14" i="7" s="1"/>
  <c r="AN89" i="7"/>
  <c r="AP89" i="7" s="1"/>
  <c r="AO19" i="7"/>
  <c r="AP19" i="7" s="1"/>
  <c r="AO87" i="7"/>
  <c r="AP87" i="7" s="1"/>
  <c r="AO24" i="7"/>
  <c r="AO102" i="7"/>
  <c r="AP102" i="7" s="1"/>
  <c r="AN262" i="7"/>
  <c r="AP262" i="7" s="1"/>
  <c r="AN256" i="7"/>
  <c r="AP256" i="7" s="1"/>
  <c r="AN238" i="7"/>
  <c r="AP238" i="7" s="1"/>
  <c r="AO193" i="7"/>
  <c r="AP193" i="7" s="1"/>
  <c r="AO22" i="7"/>
  <c r="AP22" i="7" s="1"/>
  <c r="AO15" i="7"/>
  <c r="AP15" i="7" s="1"/>
  <c r="AO195" i="7"/>
  <c r="AP195" i="7" s="1"/>
  <c r="AN140" i="7"/>
  <c r="AP140" i="7" s="1"/>
  <c r="AO46" i="7"/>
  <c r="AP46" i="7" s="1"/>
  <c r="AN104" i="7"/>
  <c r="AP104" i="7" s="1"/>
  <c r="AO210" i="7"/>
  <c r="AN5" i="7"/>
  <c r="AP5" i="7" s="1"/>
  <c r="AO215" i="7"/>
  <c r="AP215" i="7" s="1"/>
  <c r="AO47" i="7"/>
  <c r="AP47" i="7" s="1"/>
  <c r="AN29" i="7"/>
  <c r="AP29" i="7" s="1"/>
  <c r="AO147" i="7"/>
  <c r="AP147" i="7" s="1"/>
  <c r="AN230" i="7"/>
  <c r="AP230" i="7" s="1"/>
  <c r="AN218" i="7"/>
  <c r="AP218" i="7" s="1"/>
  <c r="AN197" i="7"/>
  <c r="AP197" i="7" s="1"/>
  <c r="AO254" i="7"/>
  <c r="AP254" i="7" s="1"/>
  <c r="AO74" i="7"/>
  <c r="AP74" i="7" s="1"/>
  <c r="AP9" i="7"/>
  <c r="AO10" i="7"/>
  <c r="AP10" i="7" s="1"/>
  <c r="AO28" i="7"/>
  <c r="AP28" i="7" s="1"/>
  <c r="AO192" i="7"/>
  <c r="AP192" i="7" s="1"/>
  <c r="AN92" i="7"/>
  <c r="AP92" i="7" s="1"/>
  <c r="AO103" i="7"/>
  <c r="AN98" i="7"/>
  <c r="AP98" i="7" s="1"/>
  <c r="AN150" i="7"/>
  <c r="AP150" i="7" s="1"/>
  <c r="AO191" i="7"/>
  <c r="AN40" i="7"/>
  <c r="AP40" i="7" s="1"/>
  <c r="AN70" i="7"/>
  <c r="AP70" i="7" s="1"/>
  <c r="AN8" i="7"/>
  <c r="AP8" i="7" s="1"/>
  <c r="AN249" i="7"/>
  <c r="AP249" i="7" s="1"/>
  <c r="AO249" i="7"/>
  <c r="AO265" i="7"/>
  <c r="AP265" i="7" s="1"/>
  <c r="AN39" i="7"/>
  <c r="AP39" i="7" s="1"/>
  <c r="AN154" i="7"/>
  <c r="AP154" i="7" s="1"/>
  <c r="AO206" i="7"/>
  <c r="AP206" i="7" s="1"/>
  <c r="AN33" i="7"/>
  <c r="AP33" i="7" s="1"/>
  <c r="AN42" i="7"/>
  <c r="AP42" i="7" s="1"/>
  <c r="AN81" i="7"/>
  <c r="AP81" i="7" s="1"/>
  <c r="AN189" i="7"/>
  <c r="AP189" i="7" s="1"/>
  <c r="AN37" i="7"/>
  <c r="AP37" i="7" s="1"/>
  <c r="AO201" i="7"/>
  <c r="AO185" i="7"/>
  <c r="AP185" i="7" s="1"/>
  <c r="AN111" i="7"/>
  <c r="AP111" i="7" s="1"/>
  <c r="AN248" i="7"/>
  <c r="AO248" i="7"/>
  <c r="AO57" i="7"/>
  <c r="AN57" i="7"/>
  <c r="AO76" i="7"/>
  <c r="AN76" i="7"/>
  <c r="AP76" i="7" s="1"/>
  <c r="AO174" i="7"/>
  <c r="AN174" i="7"/>
  <c r="AO246" i="7"/>
  <c r="AN246" i="7"/>
  <c r="AP246" i="7" s="1"/>
  <c r="AN3" i="7"/>
  <c r="AP3" i="7" s="1"/>
  <c r="AN69" i="7"/>
  <c r="AO69" i="7"/>
  <c r="AO4" i="7"/>
  <c r="AN4" i="7"/>
  <c r="AN221" i="7"/>
  <c r="AP221" i="7" s="1"/>
  <c r="AN53" i="7"/>
  <c r="AP53" i="7" s="1"/>
  <c r="AN56" i="7"/>
  <c r="AP56" i="7" s="1"/>
  <c r="AO56" i="7"/>
  <c r="AO132" i="7"/>
  <c r="AP132" i="7" s="1"/>
  <c r="AO205" i="7"/>
  <c r="AO93" i="7"/>
  <c r="AP93" i="7" s="1"/>
  <c r="AN84" i="7"/>
  <c r="AP84" i="7" s="1"/>
  <c r="AO66" i="7"/>
  <c r="AP66" i="7" s="1"/>
  <c r="AN179" i="7"/>
  <c r="AP179" i="7" s="1"/>
  <c r="AO105" i="7"/>
  <c r="AN105" i="7"/>
  <c r="AN165" i="7"/>
  <c r="AP165" i="7" s="1"/>
  <c r="AO165" i="7"/>
  <c r="AN128" i="7"/>
  <c r="AO128" i="7"/>
  <c r="AN149" i="7"/>
  <c r="AP149" i="7" s="1"/>
  <c r="AN243" i="7"/>
  <c r="AP243" i="7" s="1"/>
  <c r="AO211" i="7"/>
  <c r="AN160" i="7"/>
  <c r="AP160" i="7" s="1"/>
  <c r="AO2" i="7"/>
  <c r="AN170" i="7"/>
  <c r="AP170" i="7" s="1"/>
  <c r="AN163" i="7"/>
  <c r="AP163" i="7" s="1"/>
  <c r="AN91" i="7"/>
  <c r="AP91" i="7" s="1"/>
  <c r="AO169" i="7"/>
  <c r="AP169" i="7" s="1"/>
  <c r="AO186" i="7"/>
  <c r="AP186" i="7" s="1"/>
  <c r="AO97" i="7"/>
  <c r="AP97" i="7" s="1"/>
  <c r="AN129" i="7"/>
  <c r="AO129" i="7"/>
  <c r="AN227" i="7"/>
  <c r="AP227" i="7" s="1"/>
  <c r="AO227" i="7"/>
  <c r="AN83" i="7"/>
  <c r="AO83" i="7"/>
  <c r="AN259" i="7"/>
  <c r="AP259" i="7" s="1"/>
  <c r="AN100" i="7"/>
  <c r="AP100" i="7" s="1"/>
  <c r="AN71" i="7"/>
  <c r="AP71" i="7" s="1"/>
  <c r="AO35" i="7"/>
  <c r="AP35" i="7" s="1"/>
  <c r="AN20" i="7"/>
  <c r="AP20" i="7" s="1"/>
  <c r="AN162" i="7"/>
  <c r="AP162" i="7" s="1"/>
  <c r="AN133" i="7"/>
  <c r="AP133" i="7" s="1"/>
  <c r="AO222" i="7"/>
  <c r="AN222" i="7"/>
  <c r="AP222" i="7" s="1"/>
  <c r="AO261" i="7"/>
  <c r="AN261" i="7"/>
  <c r="AP261" i="7" s="1"/>
  <c r="AN153" i="7"/>
  <c r="AP153" i="7" s="1"/>
  <c r="AO172" i="7"/>
  <c r="AO31" i="7"/>
  <c r="AN31" i="7"/>
  <c r="AO155" i="7"/>
  <c r="AP155" i="7" s="1"/>
  <c r="AN120" i="7"/>
  <c r="AO120" i="7"/>
  <c r="AO136" i="7"/>
  <c r="AN136" i="7"/>
  <c r="AO95" i="7"/>
  <c r="AN95" i="7"/>
  <c r="AP95" i="7" s="1"/>
  <c r="AO268" i="7"/>
  <c r="AO16" i="7"/>
  <c r="AP16" i="7" s="1"/>
  <c r="AN237" i="7"/>
  <c r="AP237" i="7" s="1"/>
  <c r="AO107" i="7"/>
  <c r="AP107" i="7" s="1"/>
  <c r="AO177" i="7"/>
  <c r="AO231" i="7"/>
  <c r="AN231" i="7"/>
  <c r="AO127" i="7"/>
  <c r="AP127" i="7" s="1"/>
  <c r="AN200" i="7"/>
  <c r="AO200" i="7"/>
  <c r="AN164" i="7"/>
  <c r="AO164" i="7"/>
  <c r="AO67" i="7"/>
  <c r="AN67" i="7"/>
  <c r="AO183" i="7"/>
  <c r="AN183" i="7"/>
  <c r="AO232" i="7"/>
  <c r="AO275" i="7"/>
  <c r="AO130" i="7"/>
  <c r="AP130" i="7" s="1"/>
  <c r="AO208" i="7"/>
  <c r="AP208" i="7" s="1"/>
  <c r="AO79" i="7"/>
  <c r="AP79" i="7" s="1"/>
  <c r="AO72" i="7"/>
  <c r="AP72" i="7" s="1"/>
  <c r="AO226" i="7"/>
  <c r="AP226" i="7" s="1"/>
  <c r="AO58" i="7"/>
  <c r="AP58" i="7" s="1"/>
  <c r="AO7" i="7"/>
  <c r="AP7" i="7" s="1"/>
  <c r="AN175" i="7"/>
  <c r="AP175" i="7" s="1"/>
  <c r="AO96" i="7"/>
  <c r="AN96" i="7"/>
  <c r="AP96" i="7" s="1"/>
  <c r="AN141" i="7"/>
  <c r="AO141" i="7"/>
  <c r="AO6" i="7"/>
  <c r="AN6" i="7"/>
  <c r="AN187" i="7"/>
  <c r="AO187" i="7"/>
  <c r="AN131" i="7"/>
  <c r="AO131" i="7"/>
  <c r="AN118" i="7"/>
  <c r="AP118" i="7" s="1"/>
  <c r="AO75" i="7"/>
  <c r="AP75" i="7" s="1"/>
  <c r="AO252" i="7"/>
  <c r="AN252" i="7"/>
  <c r="AP252" i="7" s="1"/>
  <c r="AO135" i="7"/>
  <c r="AN135" i="7"/>
  <c r="AO117" i="7"/>
  <c r="AN117" i="7"/>
  <c r="AP234" i="7"/>
  <c r="AO144" i="7"/>
  <c r="AN144" i="7"/>
  <c r="AN45" i="7"/>
  <c r="AO45" i="7"/>
  <c r="AO59" i="7"/>
  <c r="AN59" i="7"/>
  <c r="AN266" i="7"/>
  <c r="AP266" i="7" s="1"/>
  <c r="AO184" i="7"/>
  <c r="AP184" i="7" s="1"/>
  <c r="AO260" i="7"/>
  <c r="AN17" i="7"/>
  <c r="AP17" i="7" s="1"/>
  <c r="AO36" i="7"/>
  <c r="AN36" i="7"/>
  <c r="AN168" i="7"/>
  <c r="AP168" i="7" s="1"/>
  <c r="AN23" i="7"/>
  <c r="AP23" i="7" s="1"/>
  <c r="AN63" i="7"/>
  <c r="AO63" i="7"/>
  <c r="AO151" i="7"/>
  <c r="AN151" i="7"/>
  <c r="AN68" i="7"/>
  <c r="AO68" i="7"/>
  <c r="AO228" i="7"/>
  <c r="AN228" i="7"/>
  <c r="AN43" i="7"/>
  <c r="AO43" i="7"/>
  <c r="AO220" i="7"/>
  <c r="AN220" i="7"/>
  <c r="AN52" i="7"/>
  <c r="AO52" i="7"/>
  <c r="AN167" i="7"/>
  <c r="AP167" i="7" s="1"/>
  <c r="AO167" i="7"/>
  <c r="AO34" i="7"/>
  <c r="AP34" i="7" s="1"/>
  <c r="AP240" i="7"/>
  <c r="AN223" i="7"/>
  <c r="AO223" i="7"/>
  <c r="AN257" i="7"/>
  <c r="AP257" i="7" s="1"/>
  <c r="AO257" i="7"/>
  <c r="AO11" i="7"/>
  <c r="AN11" i="7"/>
  <c r="AN188" i="7"/>
  <c r="AP188" i="7" s="1"/>
  <c r="AO199" i="7"/>
  <c r="AO242" i="7"/>
  <c r="AP242" i="7" s="1"/>
  <c r="AO21" i="7"/>
  <c r="AN21" i="7"/>
  <c r="AO48" i="7"/>
  <c r="AP48" i="7" s="1"/>
  <c r="AN196" i="7"/>
  <c r="AP196" i="7" s="1"/>
  <c r="AN233" i="7"/>
  <c r="AP233" i="7" s="1"/>
  <c r="AP228" i="7" l="1"/>
  <c r="AP183" i="7"/>
  <c r="AP174" i="7"/>
  <c r="A100" i="8" a="1"/>
  <c r="A100" i="8" s="1"/>
  <c r="AP36" i="7"/>
  <c r="AP2" i="7"/>
  <c r="AP136" i="7"/>
  <c r="AP151" i="7"/>
  <c r="AP59" i="7"/>
  <c r="AP144" i="7"/>
  <c r="AP105" i="7"/>
  <c r="AP6" i="7"/>
  <c r="AP21" i="7"/>
  <c r="AP220" i="7"/>
  <c r="AP135" i="7"/>
  <c r="AP231" i="7"/>
  <c r="B18" i="8"/>
  <c r="AP164" i="7"/>
  <c r="AP63" i="7"/>
  <c r="AP187" i="7"/>
  <c r="AP129" i="7"/>
  <c r="AP43" i="7"/>
  <c r="AP120" i="7"/>
  <c r="AP67" i="7"/>
  <c r="AP31" i="7"/>
  <c r="AP223" i="7"/>
  <c r="AP141" i="7"/>
  <c r="AP45" i="7"/>
  <c r="AP83" i="7"/>
  <c r="AP117" i="7"/>
  <c r="AP131" i="7"/>
  <c r="AP52" i="7"/>
  <c r="AP4" i="7"/>
  <c r="AP57" i="7"/>
  <c r="AP200" i="7"/>
  <c r="AP128" i="7"/>
  <c r="AP248" i="7"/>
  <c r="AP69" i="7"/>
  <c r="AP11" i="7"/>
  <c r="AP68" i="7"/>
  <c r="A59" i="8" l="1" a="1"/>
  <c r="A59" i="8" s="1"/>
  <c r="B21" i="8"/>
  <c r="B19" i="8"/>
  <c r="B23" i="8"/>
  <c r="B22" i="8"/>
  <c r="B20" i="8"/>
  <c r="B6" i="9" l="1"/>
  <c r="A91" i="9" a="1"/>
  <c r="A91"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CCB275-55DD-457C-B6EE-77E7868B0709}" keepAlive="1" name="Query - Analysis_Model" description="Connection to the 'Analysis_Model' query in the workbook." type="5" refreshedVersion="8" background="1" saveData="1">
    <dbPr connection="Provider=Microsoft.Mashup.OleDb.1;Data Source=$Workbook$;Location=Analysis_Model;Extended Properties=&quot;&quot;" command="SELECT * FROM [Analysis_Model]"/>
  </connection>
  <connection id="2" xr16:uid="{D5FF198A-DF6A-4E4D-B51F-3FB832CA3B65}" keepAlive="1" name="Query - HCAHPS_Clean" description="Connection to the 'HCAHPS_Clean' query in the workbook." type="5" refreshedVersion="8" background="1" saveData="1">
    <dbPr connection="Provider=Microsoft.Mashup.OleDb.1;Data Source=$Workbook$;Location=HCAHPS_Clean;Extended Properties=&quot;&quot;" command="SELECT * FROM [HCAHPS_Clean]"/>
  </connection>
  <connection id="3" xr16:uid="{FEDC182B-7416-4262-B000-25E56DF12354}" keepAlive="1" name="Query - HCAHPS_Raw" description="Connection to the 'HCAHPS_Raw' query in the workbook." type="5" refreshedVersion="0" background="1">
    <dbPr connection="Provider=Microsoft.Mashup.OleDb.1;Data Source=$Workbook$;Location=HCAHPS_Raw;Extended Properties=&quot;&quot;" command="SELECT * FROM [HCAHPS_Raw]"/>
  </connection>
  <connection id="4" xr16:uid="{BF2038AD-BBBE-4D12-8104-83026E83F79D}" keepAlive="1" name="Query - HCAHPS_Selected_Long" description="Connection to the 'HCAHPS_Selected_Long' query in the workbook." type="5" refreshedVersion="0" background="1">
    <dbPr connection="Provider=Microsoft.Mashup.OleDb.1;Data Source=$Workbook$;Location=HCAHPS_Selected_Long;Extended Properties=&quot;&quot;" command="SELECT * FROM [HCAHPS_Selected_Long]"/>
  </connection>
  <connection id="5" xr16:uid="{297333A9-05B3-4031-B4D3-6D3ADA18EFCA}" keepAlive="1" name="Query - Hospital_Clean" description="Connection to the 'Hospital_Clean' query in the workbook." type="5" refreshedVersion="8" background="1" saveData="1">
    <dbPr connection="Provider=Microsoft.Mashup.OleDb.1;Data Source=$Workbook$;Location=Hospital_Clean;Extended Properties=&quot;&quot;" command="SELECT * FROM [Hospital_Clean]"/>
  </connection>
  <connection id="6" xr16:uid="{629EC3E3-853F-410E-B896-19DB831863A9}" keepAlive="1" name="Query - Hospital_Raw" description="Connection to the 'Hospital_Raw' query in the workbook." type="5" refreshedVersion="0" background="1">
    <dbPr connection="Provider=Microsoft.Mashup.OleDb.1;Data Source=$Workbook$;Location=Hospital_Raw;Extended Properties=&quot;&quot;" command="SELECT * FROM [Hospital_Raw]"/>
  </connection>
  <connection id="7" xr16:uid="{D5E95158-6A8F-4FEE-8B4F-434A256D17B3}" keepAlive="1" name="Query - QA_HCAHPS_Duplicates" description="Connection to the 'QA_HCAHPS_Duplicates' query in the workbook." type="5" refreshedVersion="0" background="1">
    <dbPr connection="Provider=Microsoft.Mashup.OleDb.1;Data Source=$Workbook$;Location=QA_HCAHPS_Duplicates;Extended Properties=&quot;&quot;" command="SELECT * FROM [QA_HCAHPS_Duplicates]"/>
  </connection>
  <connection id="8" xr16:uid="{6563D898-0669-4145-AB34-5B486E2B084A}" keepAlive="1" name="Query - QA_HCAHPS_Metadata_Inconsistencies" description="Connection to the 'QA_HCAHPS_Metadata_Inconsistencies' query in the workbook." type="5" refreshedVersion="0" background="1">
    <dbPr connection="Provider=Microsoft.Mashup.OleDb.1;Data Source=$Workbook$;Location=QA_HCAHPS_Metadata_Inconsistencies;Extended Properties=&quot;&quot;" command="SELECT * FROM [QA_HCAHPS_Metadata_Inconsistencies]"/>
  </connection>
  <connection id="9" xr16:uid="{23180748-C852-43AD-9EB4-E906811EC351}" keepAlive="1" name="Query - QA_Hospital_Duplicates" description="Connection to the 'QA_Hospital_Duplicates' query in the workbook." type="5" refreshedVersion="0" background="1">
    <dbPr connection="Provider=Microsoft.Mashup.OleDb.1;Data Source=$Workbook$;Location=QA_Hospital_Duplicates;Extended Properties=&quot;&quot;" command="SELECT * FROM [QA_Hospital_Duplicates]"/>
  </connection>
  <connection id="10" xr16:uid="{1FE0DB5E-1E83-4FD4-A157-1ECDF82393C6}" keepAlive="1" name="Query - QA_Hospitals_Without_HCAHPS" description="Connection to the 'QA_Hospitals_Without_HCAHPS' query in the workbook." type="5" refreshedVersion="0" background="1">
    <dbPr connection="Provider=Microsoft.Mashup.OleDb.1;Data Source=$Workbook$;Location=QA_Hospitals_Without_HCAHPS;Extended Properties=&quot;&quot;" command="SELECT * FROM [QA_Hospitals_Without_HCAHPS]"/>
  </connection>
  <connection id="11" xr16:uid="{766904D1-7EEF-41BE-BA24-D7F25D9A9602}" keepAlive="1" name="Query - QA_Hospitals_Without_Readmission" description="Connection to the 'QA_Hospitals_Without_Readmission' query in the workbook." type="5" refreshedVersion="0" background="1">
    <dbPr connection="Provider=Microsoft.Mashup.OleDb.1;Data Source=$Workbook$;Location=QA_Hospitals_Without_Readmission;Extended Properties=&quot;&quot;" command="SELECT * FROM [QA_Hospitals_Without_Readmission]"/>
  </connection>
  <connection id="12" xr16:uid="{5DA07DE7-3978-4856-96E2-9F49FB9883DD}" keepAlive="1" name="Query - QA_Model_Summary" description="Connection to the 'QA_Model_Summary' query in the workbook." type="5" refreshedVersion="0" background="1">
    <dbPr connection="Provider=Microsoft.Mashup.OleDb.1;Data Source=$Workbook$;Location=QA_Model_Summary;Extended Properties=&quot;&quot;" command="SELECT * FROM [QA_Model_Summary]"/>
  </connection>
  <connection id="13" xr16:uid="{19D8960A-F0A0-422E-91F1-6CE75B32CDEC}" keepAlive="1" name="Query - QA_Readmission_Duplicates" description="Connection to the 'QA_Readmission_Duplicates' query in the workbook." type="5" refreshedVersion="0" background="1">
    <dbPr connection="Provider=Microsoft.Mashup.OleDb.1;Data Source=$Workbook$;Location=QA_Readmission_Duplicates;Extended Properties=&quot;&quot;" command="SELECT * FROM [QA_Readmission_Duplicates]"/>
  </connection>
  <connection id="14" xr16:uid="{03DFF802-8CB2-4C70-8FDF-C9D91B369FCB}" keepAlive="1" name="Query - Readmission_Clean" description="Connection to the 'Readmission_Clean' query in the workbook." type="5" refreshedVersion="8" background="1" saveData="1">
    <dbPr connection="Provider=Microsoft.Mashup.OleDb.1;Data Source=$Workbook$;Location=Readmission_Clean;Extended Properties=&quot;&quot;" command="SELECT * FROM [Readmission_Clean]"/>
  </connection>
  <connection id="15" xr16:uid="{D77A487B-CA2C-4047-AC6B-152E65549903}" keepAlive="1" name="Query - Readmission_Selected_Long" description="Connection to the 'Readmission_Selected_Long' query in the workbook." type="5" refreshedVersion="0" background="1">
    <dbPr connection="Provider=Microsoft.Mashup.OleDb.1;Data Source=$Workbook$;Location=Readmission_Selected_Long;Extended Properties=&quot;&quot;" command="SELECT * FROM [Readmission_Selected_Long]"/>
  </connection>
  <connection id="16" xr16:uid="{CA69092B-1682-4E04-AD44-55CACECF612F}" keepAlive="1" name="Query - Unplanned_Raw" description="Connection to the 'Unplanned_Raw' query in the workbook." type="5" refreshedVersion="0" background="1">
    <dbPr connection="Provider=Microsoft.Mashup.OleDb.1;Data Source=$Workbook$;Location=Unplanned_Raw;Extended Properties=&quot;&quot;" command="SELECT * FROM [Unplanned_Raw]"/>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<sst xmlns="http://schemas.openxmlformats.org/spreadsheetml/2006/main" count="10019" uniqueCount="2110">
  <si>
    <t>Facility_ID</t>
  </si>
  <si>
    <t>Facility_Name</t>
  </si>
  <si>
    <t>Address</t>
  </si>
  <si>
    <t>City</t>
  </si>
  <si>
    <t>State</t>
  </si>
  <si>
    <t>ZIP_Code</t>
  </si>
  <si>
    <t>County</t>
  </si>
  <si>
    <t>Telephone_Number</t>
  </si>
  <si>
    <t>Hospital_Type</t>
  </si>
  <si>
    <t>Hospital_Ownership</t>
  </si>
  <si>
    <t>Emergency_Services</t>
  </si>
  <si>
    <t>Overall_Rating</t>
  </si>
  <si>
    <t>Overall_Rating_Raw</t>
  </si>
  <si>
    <t>Overall_Rating_Footnote</t>
  </si>
  <si>
    <t>450002</t>
  </si>
  <si>
    <t>THE HOSPITALS OF PROVIDENCE - MEMORIAL CAMPUS</t>
  </si>
  <si>
    <t>2001 N OREGON ST</t>
  </si>
  <si>
    <t>EL PASO</t>
  </si>
  <si>
    <t>TX</t>
  </si>
  <si>
    <t>79902</t>
  </si>
  <si>
    <t>(915) 577-6011</t>
  </si>
  <si>
    <t>Acute Care Hospitals</t>
  </si>
  <si>
    <t>Proprietary</t>
  </si>
  <si>
    <t>Yes</t>
  </si>
  <si>
    <t>2</t>
  </si>
  <si>
    <t/>
  </si>
  <si>
    <t>450007</t>
  </si>
  <si>
    <t>PETERSON REGIONAL MEDICAL CENTER</t>
  </si>
  <si>
    <t>551 HILL COUNTRY DRIVE</t>
  </si>
  <si>
    <t>KERRVILLE</t>
  </si>
  <si>
    <t>78028</t>
  </si>
  <si>
    <t>KERR</t>
  </si>
  <si>
    <t>(830) 896-4200</t>
  </si>
  <si>
    <t>Voluntary non-profit - Private</t>
  </si>
  <si>
    <t>4</t>
  </si>
  <si>
    <t>450010</t>
  </si>
  <si>
    <t>UNITED REGIONAL HEALTH CARE SYSTEM</t>
  </si>
  <si>
    <t>1600 11TH STREET</t>
  </si>
  <si>
    <t>WICHITA FALLS</t>
  </si>
  <si>
    <t>76301</t>
  </si>
  <si>
    <t>WICHITA</t>
  </si>
  <si>
    <t>(940) 764-7000</t>
  </si>
  <si>
    <t>3</t>
  </si>
  <si>
    <t>450011</t>
  </si>
  <si>
    <t>CHI ST JOSEPH HEALTH REGIONAL HOSPITAL</t>
  </si>
  <si>
    <t>2801 FRANCISCAN DR</t>
  </si>
  <si>
    <t>BRYAN</t>
  </si>
  <si>
    <t>77802</t>
  </si>
  <si>
    <t>BRAZOS</t>
  </si>
  <si>
    <t>(979) 776-3912</t>
  </si>
  <si>
    <t>450015</t>
  </si>
  <si>
    <t>PARKLAND HEALTH &amp; HOSPITAL SYSTEM</t>
  </si>
  <si>
    <t>5200 HARRY HINES BLVD</t>
  </si>
  <si>
    <t>DALLAS</t>
  </si>
  <si>
    <t>75235</t>
  </si>
  <si>
    <t>(214) 590-8000</t>
  </si>
  <si>
    <t>Government - Hospital District or Authority</t>
  </si>
  <si>
    <t>450018</t>
  </si>
  <si>
    <t>UNIVERSITY OF TEXAS MEDICAL BRANCH GALVESTON</t>
  </si>
  <si>
    <t>301 UNIVERSITY BOULEVARD</t>
  </si>
  <si>
    <t>GALVESTON</t>
  </si>
  <si>
    <t>77555</t>
  </si>
  <si>
    <t>(409) 772-1011</t>
  </si>
  <si>
    <t>Government - State</t>
  </si>
  <si>
    <t>450021</t>
  </si>
  <si>
    <t>BAYLOR UNIVERSITY MEDICAL CENTER</t>
  </si>
  <si>
    <t>3500 GASTON AVE</t>
  </si>
  <si>
    <t>75246</t>
  </si>
  <si>
    <t>(214) 820-8082</t>
  </si>
  <si>
    <t>450023</t>
  </si>
  <si>
    <t>CITIZENS MEDICAL CENTER</t>
  </si>
  <si>
    <t>2701 HOSPITAL DRIVE</t>
  </si>
  <si>
    <t>VICTORIA</t>
  </si>
  <si>
    <t>77901</t>
  </si>
  <si>
    <t>(361) 573-9181</t>
  </si>
  <si>
    <t>Voluntary non-profit - Other</t>
  </si>
  <si>
    <t>450024</t>
  </si>
  <si>
    <t>UNIVERSITY MEDICAL CENTER OF EL PASO</t>
  </si>
  <si>
    <t>4815 ALAMEDA AVE</t>
  </si>
  <si>
    <t>79905</t>
  </si>
  <si>
    <t>(915) 521-7602</t>
  </si>
  <si>
    <t>Physician</t>
  </si>
  <si>
    <t>450028</t>
  </si>
  <si>
    <t>VALLEY BAPTIST MEDICAL CENTER- BROWNSVILLE</t>
  </si>
  <si>
    <t>1040 W JEFFERSON ST</t>
  </si>
  <si>
    <t>BROWNSVILLE</t>
  </si>
  <si>
    <t>78520</t>
  </si>
  <si>
    <t>CAMERON</t>
  </si>
  <si>
    <t>(956) 544-1400</t>
  </si>
  <si>
    <t>450029</t>
  </si>
  <si>
    <t>LAREDO MEDICAL CENTER</t>
  </si>
  <si>
    <t>1700 EAST SAUNDERS</t>
  </si>
  <si>
    <t>LAREDO</t>
  </si>
  <si>
    <t>78044</t>
  </si>
  <si>
    <t>WEBB</t>
  </si>
  <si>
    <t>(956) 796-5000</t>
  </si>
  <si>
    <t>450032</t>
  </si>
  <si>
    <t>CHRISTUS GOOD SHEPHERD MEDICAL CENTER</t>
  </si>
  <si>
    <t>700 E MARSHALL AVE</t>
  </si>
  <si>
    <t>LONGVIEW</t>
  </si>
  <si>
    <t>75601</t>
  </si>
  <si>
    <t>GREGG</t>
  </si>
  <si>
    <t>(903) 927-6712</t>
  </si>
  <si>
    <t>450033</t>
  </si>
  <si>
    <t>VHS HARLINGEN HOSPITAL COMPANY LLC</t>
  </si>
  <si>
    <t>2101 PEASE ST</t>
  </si>
  <si>
    <t>HARLINGEN</t>
  </si>
  <si>
    <t>78550</t>
  </si>
  <si>
    <t>(956) 389-1100</t>
  </si>
  <si>
    <t>450034</t>
  </si>
  <si>
    <t>CHRISTUS SOUTHEAST TEXAS- ST ELIZABETH</t>
  </si>
  <si>
    <t>2830 CALDER AVENUE</t>
  </si>
  <si>
    <t>BEAUMONT</t>
  </si>
  <si>
    <t>77702</t>
  </si>
  <si>
    <t>JEFFERSON</t>
  </si>
  <si>
    <t>(409) 892-7171</t>
  </si>
  <si>
    <t>450035</t>
  </si>
  <si>
    <t>ST JOSEPH MEDICAL CENTER</t>
  </si>
  <si>
    <t>1401 ST. JOSEPH PARKWAY</t>
  </si>
  <si>
    <t>HOUSTON</t>
  </si>
  <si>
    <t>77002</t>
  </si>
  <si>
    <t>HARRIS</t>
  </si>
  <si>
    <t>(713) 757-1000</t>
  </si>
  <si>
    <t>450039</t>
  </si>
  <si>
    <t>JPS HEALTH NETWORK</t>
  </si>
  <si>
    <t>1500 S MAIN ST</t>
  </si>
  <si>
    <t>FORT WORTH</t>
  </si>
  <si>
    <t>76104</t>
  </si>
  <si>
    <t>TARRANT</t>
  </si>
  <si>
    <t>(817) 921-3431</t>
  </si>
  <si>
    <t>450040</t>
  </si>
  <si>
    <t>COVENANT MEDICAL CENTER</t>
  </si>
  <si>
    <t>3615 19TH STREET</t>
  </si>
  <si>
    <t>LUBBOCK</t>
  </si>
  <si>
    <t>79410</t>
  </si>
  <si>
    <t>(806) 725-4431</t>
  </si>
  <si>
    <t>450042</t>
  </si>
  <si>
    <t>ASCENSION PROVIDENCE</t>
  </si>
  <si>
    <t>6901 MEDICAL PARKWAY</t>
  </si>
  <si>
    <t>WACO</t>
  </si>
  <si>
    <t>76712</t>
  </si>
  <si>
    <t>MC LENNAN</t>
  </si>
  <si>
    <t>(254) 751-4000</t>
  </si>
  <si>
    <t>29</t>
  </si>
  <si>
    <t>450044</t>
  </si>
  <si>
    <t>UT OF TEXAS  SOUTHWESTERN UNIVERSITY HOSPITAL - WILLIAM P. CLEMENTS JR.</t>
  </si>
  <si>
    <t>6201 HARRY HINES BLVD</t>
  </si>
  <si>
    <t>75390</t>
  </si>
  <si>
    <t>(214) 633-5555</t>
  </si>
  <si>
    <t>450046</t>
  </si>
  <si>
    <t>CHRISTUS SPOHN HOSPITAL CORPUS CHRISTI</t>
  </si>
  <si>
    <t>600 ELIZABETH STREET</t>
  </si>
  <si>
    <t>CORPUS CHRISTI</t>
  </si>
  <si>
    <t>78404</t>
  </si>
  <si>
    <t>NUECES</t>
  </si>
  <si>
    <t>(361) 902-4103</t>
  </si>
  <si>
    <t>450051</t>
  </si>
  <si>
    <t>METHODIST DALLAS MEDICAL CENTER</t>
  </si>
  <si>
    <t>1441 NORTH BECKLEY AVENUE</t>
  </si>
  <si>
    <t>75203</t>
  </si>
  <si>
    <t>(214) 947-8181</t>
  </si>
  <si>
    <t>450054</t>
  </si>
  <si>
    <t>BAYLOR SCOTT &amp; WHITE MEDICAL CENTER - TEMPLE</t>
  </si>
  <si>
    <t>2401 S  31ST ST</t>
  </si>
  <si>
    <t>TEMPLE</t>
  </si>
  <si>
    <t>76508</t>
  </si>
  <si>
    <t>BELL</t>
  </si>
  <si>
    <t>(254) 724-2111</t>
  </si>
  <si>
    <t>5</t>
  </si>
  <si>
    <t>450055</t>
  </si>
  <si>
    <t>ROLLING PLAINS MEMORIAL HOSPITAL</t>
  </si>
  <si>
    <t>200 E ARIZONA</t>
  </si>
  <si>
    <t>SWEETWATER</t>
  </si>
  <si>
    <t>79556</t>
  </si>
  <si>
    <t>NOLAN</t>
  </si>
  <si>
    <t>(325) 235-1701</t>
  </si>
  <si>
    <t>Not Available</t>
  </si>
  <si>
    <t>16</t>
  </si>
  <si>
    <t>450056</t>
  </si>
  <si>
    <t>ASCENSION SETON MEDICAL CENTER AUSTIN</t>
  </si>
  <si>
    <t>1201 W 38TH ST</t>
  </si>
  <si>
    <t>AUSTIN</t>
  </si>
  <si>
    <t>78705</t>
  </si>
  <si>
    <t>TRAVIS</t>
  </si>
  <si>
    <t>(512) 324-1000</t>
  </si>
  <si>
    <t>450058</t>
  </si>
  <si>
    <t>BAPTIST MEDICAL CENTER</t>
  </si>
  <si>
    <t>111 DALLAS STREET</t>
  </si>
  <si>
    <t>SAN ANTONIO</t>
  </si>
  <si>
    <t>78205</t>
  </si>
  <si>
    <t>BEXAR</t>
  </si>
  <si>
    <t>(210) 297-8256</t>
  </si>
  <si>
    <t>450064</t>
  </si>
  <si>
    <t>TEXAS HEALTH ARLINGTON MEMORIAL HOSPITAL</t>
  </si>
  <si>
    <t>800 W RANDOL MILL RD</t>
  </si>
  <si>
    <t>ARLINGTON</t>
  </si>
  <si>
    <t>76012</t>
  </si>
  <si>
    <t>(817) 548-6200</t>
  </si>
  <si>
    <t>450068</t>
  </si>
  <si>
    <t>MEMORIAL HERMANN - TEXAS MEDICAL CENTER</t>
  </si>
  <si>
    <t>6411 FANNIN</t>
  </si>
  <si>
    <t>77030</t>
  </si>
  <si>
    <t>(713) 704-3700</t>
  </si>
  <si>
    <t>450072</t>
  </si>
  <si>
    <t>CHI ST LUKE'S HEALTH BRAZOSPORT</t>
  </si>
  <si>
    <t>100 MEDICAL DRIVE</t>
  </si>
  <si>
    <t>LAKE JACKSON</t>
  </si>
  <si>
    <t>77566</t>
  </si>
  <si>
    <t>BRAZORIA</t>
  </si>
  <si>
    <t>(979) 297-4411</t>
  </si>
  <si>
    <t>450079</t>
  </si>
  <si>
    <t>BAYLOR SCOTT &amp; WHITE MEDICAL CENTER AT IRVING</t>
  </si>
  <si>
    <t>1901 N MACARTHUR BLVD</t>
  </si>
  <si>
    <t>IRVING</t>
  </si>
  <si>
    <t>75061</t>
  </si>
  <si>
    <t>(972) 579-8100</t>
  </si>
  <si>
    <t>450080</t>
  </si>
  <si>
    <t>TITUS REGIONAL MEDICAL CENTER</t>
  </si>
  <si>
    <t>2001 N JEFFERSON</t>
  </si>
  <si>
    <t>MOUNT PLEASANT</t>
  </si>
  <si>
    <t>75455</t>
  </si>
  <si>
    <t>TITUS</t>
  </si>
  <si>
    <t>(903) 577-6000</t>
  </si>
  <si>
    <t>450082</t>
  </si>
  <si>
    <t>CHRISTUS SPOHN HOSPITAL BEEVILLE</t>
  </si>
  <si>
    <t>1500 E HOUSTON HWY</t>
  </si>
  <si>
    <t>BEEVILLE</t>
  </si>
  <si>
    <t>78102</t>
  </si>
  <si>
    <t>BEE</t>
  </si>
  <si>
    <t>(361) 354-2000</t>
  </si>
  <si>
    <t>450083</t>
  </si>
  <si>
    <t>UT HEALTH EAST TEXAS TYLER REGIONAL HOSPITAL</t>
  </si>
  <si>
    <t>1000 SOUTH BECKHAM AVE</t>
  </si>
  <si>
    <t>TYLER</t>
  </si>
  <si>
    <t>75701</t>
  </si>
  <si>
    <t>SMITH</t>
  </si>
  <si>
    <t>(903) 597-0351</t>
  </si>
  <si>
    <t>450087</t>
  </si>
  <si>
    <t>MEDICAL CITY NORTH HILLS</t>
  </si>
  <si>
    <t>4401 BOOTH CALLOWAY ROAD</t>
  </si>
  <si>
    <t>NORTH RICHLAND HILLS</t>
  </si>
  <si>
    <t>76180</t>
  </si>
  <si>
    <t>(817) 255-1000</t>
  </si>
  <si>
    <t>450090</t>
  </si>
  <si>
    <t>NORTH TEXAS MEDICAL CENTER</t>
  </si>
  <si>
    <t>1900 HOSPITAL BLVD</t>
  </si>
  <si>
    <t>GAINESVILLE</t>
  </si>
  <si>
    <t>76240</t>
  </si>
  <si>
    <t>COOKE</t>
  </si>
  <si>
    <t>(940) 612-8600</t>
  </si>
  <si>
    <t>450092</t>
  </si>
  <si>
    <t>FORT DUNCAN MEDICAL CENTER</t>
  </si>
  <si>
    <t>3333 N FOSTER MALDONADO BLVD</t>
  </si>
  <si>
    <t>EAGLE PASS</t>
  </si>
  <si>
    <t>78852</t>
  </si>
  <si>
    <t>MAVERICK</t>
  </si>
  <si>
    <t>(830) 773-5321</t>
  </si>
  <si>
    <t>450097</t>
  </si>
  <si>
    <t>HCA HOUSTON HEALTHCARE SOUTHEAST</t>
  </si>
  <si>
    <t>4000 SPENCER HWY</t>
  </si>
  <si>
    <t>PASADENA</t>
  </si>
  <si>
    <t>77504</t>
  </si>
  <si>
    <t>(713) 359-1000</t>
  </si>
  <si>
    <t>450101</t>
  </si>
  <si>
    <t>BAYLOR SCOTT &amp; WHITE MEDICAL CENTER HILLCREST</t>
  </si>
  <si>
    <t>100 HILLCREST MEDICAL BLVD</t>
  </si>
  <si>
    <t>(254) 202-2000</t>
  </si>
  <si>
    <t>450102</t>
  </si>
  <si>
    <t>CHRISTUS MOTHER FRANCES HOSPITAL</t>
  </si>
  <si>
    <t>800 EAST DAWSON</t>
  </si>
  <si>
    <t>(903) 593-8441</t>
  </si>
  <si>
    <t>450104</t>
  </si>
  <si>
    <t>GUADALUPE REGIONAL MEDICAL CENTER</t>
  </si>
  <si>
    <t>1215 E COURT ST</t>
  </si>
  <si>
    <t>SEGUIN</t>
  </si>
  <si>
    <t>78155</t>
  </si>
  <si>
    <t>GUADALUPE</t>
  </si>
  <si>
    <t>(830) 379-2411</t>
  </si>
  <si>
    <t>Government - Local</t>
  </si>
  <si>
    <t>450107</t>
  </si>
  <si>
    <t>LAS PALMAS MEDICAL CENTER A CAMPUS OF LPDS HEALTHC</t>
  </si>
  <si>
    <t>1801 NORTH OREGON STREET</t>
  </si>
  <si>
    <t>(915) 521-1200</t>
  </si>
  <si>
    <t>450108</t>
  </si>
  <si>
    <t>CONNALLY MEMORIAL MEDICAL CENTER</t>
  </si>
  <si>
    <t>499 10TH STREET</t>
  </si>
  <si>
    <t>FLORESVILLE</t>
  </si>
  <si>
    <t>78114</t>
  </si>
  <si>
    <t>WILSON</t>
  </si>
  <si>
    <t>(830) 393-1300</t>
  </si>
  <si>
    <t>450119</t>
  </si>
  <si>
    <t>SOUTH TEXAS HEALTH SYSTEM</t>
  </si>
  <si>
    <t>1102 W TRENTON ROAD</t>
  </si>
  <si>
    <t>EDINBURG</t>
  </si>
  <si>
    <t>78539</t>
  </si>
  <si>
    <t>HIDALGO</t>
  </si>
  <si>
    <t>(956) 632-4000</t>
  </si>
  <si>
    <t>450124</t>
  </si>
  <si>
    <t>DELL SETON  MED CENTER AT THE UNIVERSITY OF TX</t>
  </si>
  <si>
    <t>601 E 15TH STREET</t>
  </si>
  <si>
    <t>78701</t>
  </si>
  <si>
    <t>(512) 324-7000</t>
  </si>
  <si>
    <t>No</t>
  </si>
  <si>
    <t>450128</t>
  </si>
  <si>
    <t>KNAPP MEDICAL CENTER</t>
  </si>
  <si>
    <t>1401 EAST EIGHT STREET</t>
  </si>
  <si>
    <t>WESLACO</t>
  </si>
  <si>
    <t>78596</t>
  </si>
  <si>
    <t>(956) 968-8567</t>
  </si>
  <si>
    <t>450132</t>
  </si>
  <si>
    <t>MEDICAL CENTER HOSPITAL</t>
  </si>
  <si>
    <t>500 W 4TH STREET</t>
  </si>
  <si>
    <t>ODESSA</t>
  </si>
  <si>
    <t>79761</t>
  </si>
  <si>
    <t>ECTOR</t>
  </si>
  <si>
    <t>(432) 640-4000</t>
  </si>
  <si>
    <t>450133</t>
  </si>
  <si>
    <t>MIDLAND MEMORIAL HOSPITAL</t>
  </si>
  <si>
    <t>400 ROSALIND REDFERN GROVER PARKWAY</t>
  </si>
  <si>
    <t>MIDLAND</t>
  </si>
  <si>
    <t>79701</t>
  </si>
  <si>
    <t>(432) 685-1111</t>
  </si>
  <si>
    <t>1</t>
  </si>
  <si>
    <t>450135</t>
  </si>
  <si>
    <t>TEXAS HEALTH HARRIS METHODIST FORT WORTH</t>
  </si>
  <si>
    <t>1301 PENNSYLVANIA AVENUE</t>
  </si>
  <si>
    <t>(817) 250-2100</t>
  </si>
  <si>
    <t>450137</t>
  </si>
  <si>
    <t>BAYLOR SCOTT AND WHITE ALL SAINTS MEDICAL CENTER</t>
  </si>
  <si>
    <t>1400 EIGHTH AVE</t>
  </si>
  <si>
    <t>(817) 926-2544</t>
  </si>
  <si>
    <t>450144</t>
  </si>
  <si>
    <t>PERMIAN REGIONAL MEDICAL CENTER ANDREWS COUNTY HO</t>
  </si>
  <si>
    <t>720 HOSPITAL DRIVE</t>
  </si>
  <si>
    <t>ANDREWS</t>
  </si>
  <si>
    <t>79714</t>
  </si>
  <si>
    <t>(432) 523-2200</t>
  </si>
  <si>
    <t>450147</t>
  </si>
  <si>
    <t>DE TAR HOSPITAL NAVARRO</t>
  </si>
  <si>
    <t>506 E SAN ANTONIO ST</t>
  </si>
  <si>
    <t>(361) 575-7441</t>
  </si>
  <si>
    <t>450148</t>
  </si>
  <si>
    <t>TEXAS HEALTH HARRIS METHODIST HOSPITAL CLEBURNE</t>
  </si>
  <si>
    <t>201 WALLS DRIVE</t>
  </si>
  <si>
    <t>CLEBURNE</t>
  </si>
  <si>
    <t>76031</t>
  </si>
  <si>
    <t>JOHNSON</t>
  </si>
  <si>
    <t>(817) 641-2251</t>
  </si>
  <si>
    <t>450152</t>
  </si>
  <si>
    <t>ADVENTHEALTH CENTRAL TEXAS</t>
  </si>
  <si>
    <t>2201 S CLEAR CREEK ROAD</t>
  </si>
  <si>
    <t>KILLEEN</t>
  </si>
  <si>
    <t>76542</t>
  </si>
  <si>
    <t>(254) 526-7523</t>
  </si>
  <si>
    <t>Voluntary non-profit - Church</t>
  </si>
  <si>
    <t>450154</t>
  </si>
  <si>
    <t>VAL VERDE REGIONAL MEDICAL CENTER</t>
  </si>
  <si>
    <t>801 BEDELL AVE</t>
  </si>
  <si>
    <t>DEL RIO</t>
  </si>
  <si>
    <t>78840</t>
  </si>
  <si>
    <t>VAL VERDE</t>
  </si>
  <si>
    <t>(830) 775-8566</t>
  </si>
  <si>
    <t>450155</t>
  </si>
  <si>
    <t>HEREFORD REGIONAL MEDICAL CENTER</t>
  </si>
  <si>
    <t>801 EAST THIRD</t>
  </si>
  <si>
    <t>HEREFORD</t>
  </si>
  <si>
    <t>79045</t>
  </si>
  <si>
    <t>DEAF SMITH</t>
  </si>
  <si>
    <t>(806) 364-2141</t>
  </si>
  <si>
    <t>450162</t>
  </si>
  <si>
    <t>GRACE SURGICAL HOSPITAL</t>
  </si>
  <si>
    <t>2412 50TH ST</t>
  </si>
  <si>
    <t>79412</t>
  </si>
  <si>
    <t>(806) 788-4000</t>
  </si>
  <si>
    <t>450163</t>
  </si>
  <si>
    <t>CHRISTUS SPOHN HOSPITAL KLEBERG</t>
  </si>
  <si>
    <t>1311 EAST GENERAL CAVAZOS BLVD</t>
  </si>
  <si>
    <t>KINGSVILLE</t>
  </si>
  <si>
    <t>78363</t>
  </si>
  <si>
    <t>KLEBERG</t>
  </si>
  <si>
    <t>(361) 595-1661</t>
  </si>
  <si>
    <t>450165</t>
  </si>
  <si>
    <t>METHODIST HOSPITAL ATASCOSA</t>
  </si>
  <si>
    <t>1905 HWY 97 EAST</t>
  </si>
  <si>
    <t>JOURDANTON</t>
  </si>
  <si>
    <t>78026</t>
  </si>
  <si>
    <t>ATASCOSA</t>
  </si>
  <si>
    <t>(830) 769-3515</t>
  </si>
  <si>
    <t>450176</t>
  </si>
  <si>
    <t>MISSION REGIONAL MEDICAL CENTER</t>
  </si>
  <si>
    <t>900 SOUTH BRYAN ROAD</t>
  </si>
  <si>
    <t>MISSION</t>
  </si>
  <si>
    <t>78572</t>
  </si>
  <si>
    <t>(956) 323-9000</t>
  </si>
  <si>
    <t>450184</t>
  </si>
  <si>
    <t>MEMORIAL HERMANN HOSPITAL SYSTEM</t>
  </si>
  <si>
    <t>1635  NORTH LOOP WEST</t>
  </si>
  <si>
    <t>77008</t>
  </si>
  <si>
    <t>(713) 448-6796</t>
  </si>
  <si>
    <t>450193</t>
  </si>
  <si>
    <t>Baylor St Lukes Medical Center</t>
  </si>
  <si>
    <t>6720 BERTNER AVE, STE MC1-266</t>
  </si>
  <si>
    <t>(832) 355-1000</t>
  </si>
  <si>
    <t>450194</t>
  </si>
  <si>
    <t>UT HEALTH EAST TEXAS JACKSONVILLE HOSPITAL</t>
  </si>
  <si>
    <t>501 S RAGSDALE</t>
  </si>
  <si>
    <t>JACKSONVILLE</t>
  </si>
  <si>
    <t>75766</t>
  </si>
  <si>
    <t>CHEROKEE</t>
  </si>
  <si>
    <t>(903) 541-5000</t>
  </si>
  <si>
    <t>450196</t>
  </si>
  <si>
    <t>PARIS REGIONAL MEDICAL CENTER</t>
  </si>
  <si>
    <t>865 DESHONG DR</t>
  </si>
  <si>
    <t>PARIS</t>
  </si>
  <si>
    <t>75460</t>
  </si>
  <si>
    <t>LAMAR</t>
  </si>
  <si>
    <t>(903) 785-4521</t>
  </si>
  <si>
    <t>450200</t>
  </si>
  <si>
    <t>WADLEY REGIONAL MEDICAL CENTER</t>
  </si>
  <si>
    <t>1000 PINE STREET</t>
  </si>
  <si>
    <t>TEXARKANA</t>
  </si>
  <si>
    <t>75501</t>
  </si>
  <si>
    <t>BOWIE</t>
  </si>
  <si>
    <t>(903) 798-8000</t>
  </si>
  <si>
    <t>450203</t>
  </si>
  <si>
    <t>MEDICAL CITY WEATHERFORD</t>
  </si>
  <si>
    <t>713 E ANDERSON ST</t>
  </si>
  <si>
    <t>WEATHERFORD</t>
  </si>
  <si>
    <t>76086</t>
  </si>
  <si>
    <t>PARKER</t>
  </si>
  <si>
    <t>(682) 582-1000</t>
  </si>
  <si>
    <t>450209</t>
  </si>
  <si>
    <t>NORTHWEST TEXAS HOSPITAL</t>
  </si>
  <si>
    <t>1501 S  COULTER ST</t>
  </si>
  <si>
    <t>AMARILLO</t>
  </si>
  <si>
    <t>79106</t>
  </si>
  <si>
    <t>POTTER</t>
  </si>
  <si>
    <t>(806) 354-1110</t>
  </si>
  <si>
    <t>450210</t>
  </si>
  <si>
    <t>UT HEALTH EAST TEXAS CARTHAGE HOSPITAL</t>
  </si>
  <si>
    <t>409 COTTAGE RD</t>
  </si>
  <si>
    <t>CARTHAGE</t>
  </si>
  <si>
    <t>75633</t>
  </si>
  <si>
    <t>PANOLA</t>
  </si>
  <si>
    <t>(903) 693-3841</t>
  </si>
  <si>
    <t>450211</t>
  </si>
  <si>
    <t>CHI ST LUKES HEALTH MEMORIAL LUFKIN</t>
  </si>
  <si>
    <t>1201 WEST FRANK STREET</t>
  </si>
  <si>
    <t>LUFKIN</t>
  </si>
  <si>
    <t>75901</t>
  </si>
  <si>
    <t>ANGELINA</t>
  </si>
  <si>
    <t>(936) 634-8111</t>
  </si>
  <si>
    <t>450213</t>
  </si>
  <si>
    <t>UNIVERSITY HEALTH SYSTEM</t>
  </si>
  <si>
    <t>4502 MEDICAL DR</t>
  </si>
  <si>
    <t>78229</t>
  </si>
  <si>
    <t>(210) 358-2637</t>
  </si>
  <si>
    <t>450222</t>
  </si>
  <si>
    <t>HCA HOUSTON HEALTHCARE CONROE</t>
  </si>
  <si>
    <t>504 MEDICAL CENTER BLVD</t>
  </si>
  <si>
    <t>CONROE</t>
  </si>
  <si>
    <t>77304</t>
  </si>
  <si>
    <t>MONTGOMERY</t>
  </si>
  <si>
    <t>(936) 539-1111</t>
  </si>
  <si>
    <t>450229</t>
  </si>
  <si>
    <t>HENDRICK MEDICAL CENTER</t>
  </si>
  <si>
    <t>1900 PINE</t>
  </si>
  <si>
    <t>ABILENE</t>
  </si>
  <si>
    <t>79601</t>
  </si>
  <si>
    <t>TAYLOR</t>
  </si>
  <si>
    <t>(325) 670-2000</t>
  </si>
  <si>
    <t>450231</t>
  </si>
  <si>
    <t>BSA HOSPITAL</t>
  </si>
  <si>
    <t>1600 WALLACE BLVD</t>
  </si>
  <si>
    <t>(806) 212-2000</t>
  </si>
  <si>
    <t>450235</t>
  </si>
  <si>
    <t>MEMORIAL HOSPITAL</t>
  </si>
  <si>
    <t>1110 NORTH SARAH DEWITT DRIVE</t>
  </si>
  <si>
    <t>GONZALES</t>
  </si>
  <si>
    <t>78629</t>
  </si>
  <si>
    <t>(830) 672-7581</t>
  </si>
  <si>
    <t>450236</t>
  </si>
  <si>
    <t>CHRISTUS MOTHER FRANCES HOSPITAL SULPHUR SPRINGS</t>
  </si>
  <si>
    <t>115 AIRPORT RD</t>
  </si>
  <si>
    <t>SULPHUR SPRINGS</t>
  </si>
  <si>
    <t>75482</t>
  </si>
  <si>
    <t>HOPKINS</t>
  </si>
  <si>
    <t>(903) 885-7671</t>
  </si>
  <si>
    <t>450237</t>
  </si>
  <si>
    <t>CHRISTUS SANTA ROSA MEDICAL CENTER</t>
  </si>
  <si>
    <t>11212 State Hwy 151</t>
  </si>
  <si>
    <t>78251</t>
  </si>
  <si>
    <t>(210) 703-8211</t>
  </si>
  <si>
    <t>450241</t>
  </si>
  <si>
    <t>FAITH COMMUNITY HOSPITAL</t>
  </si>
  <si>
    <t>215 CHISHOLM TRAIL</t>
  </si>
  <si>
    <t>JACKSBORO</t>
  </si>
  <si>
    <t>76458</t>
  </si>
  <si>
    <t>JACK</t>
  </si>
  <si>
    <t>(940) 567-6633</t>
  </si>
  <si>
    <t>450253</t>
  </si>
  <si>
    <t>BELLVILLE MEDICAL CENTER</t>
  </si>
  <si>
    <t>44 N CUMMINGS ST</t>
  </si>
  <si>
    <t>BELLVILLE</t>
  </si>
  <si>
    <t>77418</t>
  </si>
  <si>
    <t>(979) 865-3141</t>
  </si>
  <si>
    <t>450272</t>
  </si>
  <si>
    <t>CHRISTUS SANTA ROSA HOSPITAL-SAN MARCOS</t>
  </si>
  <si>
    <t>1301 WONDER WORLD DRIVE</t>
  </si>
  <si>
    <t>SAN MARCOS</t>
  </si>
  <si>
    <t>78666</t>
  </si>
  <si>
    <t>HAYS</t>
  </si>
  <si>
    <t>(512) 753-3511</t>
  </si>
  <si>
    <t>450289</t>
  </si>
  <si>
    <t>HARRIS HEALTH</t>
  </si>
  <si>
    <t>1504 TAUB LOOP</t>
  </si>
  <si>
    <t>(713) 873-2000</t>
  </si>
  <si>
    <t>450292</t>
  </si>
  <si>
    <t>TEXAS HEALTH PRESBYTERIAN HOSPITAL KAUFMAN</t>
  </si>
  <si>
    <t>850 ED HALL</t>
  </si>
  <si>
    <t>KAUFMAN</t>
  </si>
  <si>
    <t>75142</t>
  </si>
  <si>
    <t>(972) 932-7200</t>
  </si>
  <si>
    <t>450324</t>
  </si>
  <si>
    <t>TEXOMA MEDICAL CENTER</t>
  </si>
  <si>
    <t>5016 S US HIGHWAY 75</t>
  </si>
  <si>
    <t>DENISON</t>
  </si>
  <si>
    <t>75020</t>
  </si>
  <si>
    <t>GRAYSON</t>
  </si>
  <si>
    <t>(903) 416-4000</t>
  </si>
  <si>
    <t>450330</t>
  </si>
  <si>
    <t>OAKBEND MEDICAL CENTER</t>
  </si>
  <si>
    <t>1705 JACKSON ST</t>
  </si>
  <si>
    <t>RICHMOND</t>
  </si>
  <si>
    <t>77469</t>
  </si>
  <si>
    <t>FORT BEND</t>
  </si>
  <si>
    <t>(281) 341-3000</t>
  </si>
  <si>
    <t>450346</t>
  </si>
  <si>
    <t>BAPTIST BEAUMONT HOSPITAL</t>
  </si>
  <si>
    <t>3080 COLLEGE STREET</t>
  </si>
  <si>
    <t>77701</t>
  </si>
  <si>
    <t>(409) 212-5000</t>
  </si>
  <si>
    <t>450347</t>
  </si>
  <si>
    <t>HUNTSVILLE MEMORIAL HOSPITAL</t>
  </si>
  <si>
    <t>110 MEMORIAL HOSPITAL DRIVE</t>
  </si>
  <si>
    <t>HUNTSVILLE</t>
  </si>
  <si>
    <t>77340</t>
  </si>
  <si>
    <t>WALKER</t>
  </si>
  <si>
    <t>(936) 291-3411</t>
  </si>
  <si>
    <t>450351</t>
  </si>
  <si>
    <t>TEXAS HEALTH HARRIS METHODIST HOSPITAL STEPHENVILL</t>
  </si>
  <si>
    <t>411 N BELKNAP ST</t>
  </si>
  <si>
    <t>STEPHENVILLE</t>
  </si>
  <si>
    <t>76401</t>
  </si>
  <si>
    <t>ERATH</t>
  </si>
  <si>
    <t>(254) 965-1500</t>
  </si>
  <si>
    <t>450352</t>
  </si>
  <si>
    <t>HUNT REGIONAL MEDICAL CENTER</t>
  </si>
  <si>
    <t>4215 JOE RAMSEY BLVD E</t>
  </si>
  <si>
    <t>GREENVILLE</t>
  </si>
  <si>
    <t>75401</t>
  </si>
  <si>
    <t>HUNT</t>
  </si>
  <si>
    <t>(903) 408-5000</t>
  </si>
  <si>
    <t>450358</t>
  </si>
  <si>
    <t>HOUSTON METHODIST HOSPITAL</t>
  </si>
  <si>
    <t>6565 FANNIN</t>
  </si>
  <si>
    <t>(713) 790-2221</t>
  </si>
  <si>
    <t>450369</t>
  </si>
  <si>
    <t>CHILDRESS REGIONAL MEDICAL CENTER</t>
  </si>
  <si>
    <t>HWY 83 NORTH</t>
  </si>
  <si>
    <t>CHILDRESS</t>
  </si>
  <si>
    <t>79201</t>
  </si>
  <si>
    <t>(940) 937-6371</t>
  </si>
  <si>
    <t>450370</t>
  </si>
  <si>
    <t>COLUMBUS COMMUNITY HOSPITAL</t>
  </si>
  <si>
    <t>110 SHULT DR</t>
  </si>
  <si>
    <t>COLUMBUS</t>
  </si>
  <si>
    <t>78934</t>
  </si>
  <si>
    <t>COLORADO</t>
  </si>
  <si>
    <t>(979) 732-2371</t>
  </si>
  <si>
    <t>450372</t>
  </si>
  <si>
    <t>BAYLOR SCOTT &amp; WHITE MEDICAL CENTER- WAXAHACHIE</t>
  </si>
  <si>
    <t>2400 N INTERSTATE HIGHWAY 35E</t>
  </si>
  <si>
    <t>WAXAHACHIE</t>
  </si>
  <si>
    <t>75165</t>
  </si>
  <si>
    <t>ELLIS</t>
  </si>
  <si>
    <t>(972) 923-7000</t>
  </si>
  <si>
    <t>450379</t>
  </si>
  <si>
    <t>DALLAS MEDICAL CENTER</t>
  </si>
  <si>
    <t>7 MEDICAL PARKWAY</t>
  </si>
  <si>
    <t>75234</t>
  </si>
  <si>
    <t>(972) 247-1000</t>
  </si>
  <si>
    <t>450388</t>
  </si>
  <si>
    <t>METHODIST HOSPITAL</t>
  </si>
  <si>
    <t>7700 FLOYD CURL DR</t>
  </si>
  <si>
    <t>(210) 575-4000</t>
  </si>
  <si>
    <t>450389</t>
  </si>
  <si>
    <t>UT HEALTH EAST TEXAS ATHENS HOSPITAL</t>
  </si>
  <si>
    <t>2000 SOUTH PALESTINE ST</t>
  </si>
  <si>
    <t>ATHENS</t>
  </si>
  <si>
    <t>75751</t>
  </si>
  <si>
    <t>HENDERSON</t>
  </si>
  <si>
    <t>(903) 676-1000</t>
  </si>
  <si>
    <t>450395</t>
  </si>
  <si>
    <t>CHI ST LUKES HEALTH MEMORIAL LIVINGSTON</t>
  </si>
  <si>
    <t>1717 HWY 59 BYPASS</t>
  </si>
  <si>
    <t>LIVINGSTON</t>
  </si>
  <si>
    <t>77351</t>
  </si>
  <si>
    <t>POLK</t>
  </si>
  <si>
    <t>(936) 327-4381</t>
  </si>
  <si>
    <t>450399</t>
  </si>
  <si>
    <t>BROWNFIELD REGIONAL MEDICAL CENTER</t>
  </si>
  <si>
    <t>705 EAST FELT STREET</t>
  </si>
  <si>
    <t>BROWNFIELD</t>
  </si>
  <si>
    <t>79316</t>
  </si>
  <si>
    <t>TERRY</t>
  </si>
  <si>
    <t>(806) 637-8252</t>
  </si>
  <si>
    <t>450400</t>
  </si>
  <si>
    <t>PARKVIEW REGIONAL HOSPITAL</t>
  </si>
  <si>
    <t>600 SOUTH BONHAM STREET</t>
  </si>
  <si>
    <t>MEXIA</t>
  </si>
  <si>
    <t>76667</t>
  </si>
  <si>
    <t>LIMESTONE</t>
  </si>
  <si>
    <t>(254) 562-5332</t>
  </si>
  <si>
    <t>450403</t>
  </si>
  <si>
    <t>MEDICAL CENTER OF MCKINNEY</t>
  </si>
  <si>
    <t>4500 MEDICAL CENTER DRIVE</t>
  </si>
  <si>
    <t>MCKINNEY</t>
  </si>
  <si>
    <t>75069</t>
  </si>
  <si>
    <t>COLLIN</t>
  </si>
  <si>
    <t>(972) 547-8000</t>
  </si>
  <si>
    <t>450419</t>
  </si>
  <si>
    <t>TEXAS HEALTH HARRIS METHODIST HOSPITAL AZLE</t>
  </si>
  <si>
    <t>108 DENVER TRAIL</t>
  </si>
  <si>
    <t>AZLE</t>
  </si>
  <si>
    <t>76020</t>
  </si>
  <si>
    <t>(817) 444-8700</t>
  </si>
  <si>
    <t>450422</t>
  </si>
  <si>
    <t>BAYLOR SCOTT AND WHITE MEDICAL CENTER UPTOWN</t>
  </si>
  <si>
    <t>2727 EAST LEMMON AVENUE BUILDING I</t>
  </si>
  <si>
    <t>75204</t>
  </si>
  <si>
    <t>(214) 443-3000</t>
  </si>
  <si>
    <t>450424</t>
  </si>
  <si>
    <t>HOUSTON METHODIST BAYTOWN HOSPITAL</t>
  </si>
  <si>
    <t>4401 GARTH ROAD</t>
  </si>
  <si>
    <t>BAYTOWN</t>
  </si>
  <si>
    <t>77521</t>
  </si>
  <si>
    <t>(281) 420-8600</t>
  </si>
  <si>
    <t>450431</t>
  </si>
  <si>
    <t>ST DAVID'S MEDICAL CENTER</t>
  </si>
  <si>
    <t>919 E 32ND ST</t>
  </si>
  <si>
    <t>(512) 476-7111</t>
  </si>
  <si>
    <t>450447</t>
  </si>
  <si>
    <t>NAVARRO REGIONAL HOSPITAL</t>
  </si>
  <si>
    <t>3201 WEST HIGHWAY 22</t>
  </si>
  <si>
    <t>CORSICANA</t>
  </si>
  <si>
    <t>75110</t>
  </si>
  <si>
    <t>NAVARRO</t>
  </si>
  <si>
    <t>(903) 654-6800</t>
  </si>
  <si>
    <t>450451</t>
  </si>
  <si>
    <t>GLEN ROSE MEDICAL CENTER</t>
  </si>
  <si>
    <t>1021 HOLDEN STREET</t>
  </si>
  <si>
    <t>GLEN ROSE</t>
  </si>
  <si>
    <t>76043</t>
  </si>
  <si>
    <t>SOMERVELL</t>
  </si>
  <si>
    <t>(254) 897-2215</t>
  </si>
  <si>
    <t>450460</t>
  </si>
  <si>
    <t>TYLER COUNTY HOSPITAL</t>
  </si>
  <si>
    <t>1100 WEST BLUFF</t>
  </si>
  <si>
    <t>WOODVILLE</t>
  </si>
  <si>
    <t>75979</t>
  </si>
  <si>
    <t>(409) 283-8141</t>
  </si>
  <si>
    <t>450462</t>
  </si>
  <si>
    <t>TEXAS HEALTH PRESBYTERIAN HOSPITAL DALLAS</t>
  </si>
  <si>
    <t>8200 WALNUT HILL LANE</t>
  </si>
  <si>
    <t>75231</t>
  </si>
  <si>
    <t>(214) 345-6789</t>
  </si>
  <si>
    <t>450465</t>
  </si>
  <si>
    <t>MATAGORDA REGIONAL MEDICAL CENTER</t>
  </si>
  <si>
    <t>104 7TH STREET</t>
  </si>
  <si>
    <t>BAY CITY</t>
  </si>
  <si>
    <t>77414</t>
  </si>
  <si>
    <t>MATAGORDA</t>
  </si>
  <si>
    <t>(979) 245-6383</t>
  </si>
  <si>
    <t>450469</t>
  </si>
  <si>
    <t>WILSON N JONES REGIONAL MEDICAL CENTER</t>
  </si>
  <si>
    <t>500 N HIGHLAND AVENUE</t>
  </si>
  <si>
    <t>SHERMAN</t>
  </si>
  <si>
    <t>75092</t>
  </si>
  <si>
    <t>(903) 870-4611</t>
  </si>
  <si>
    <t>450475</t>
  </si>
  <si>
    <t>UT HEALTH EAST TEXAS HENDERSON HOSPITAL</t>
  </si>
  <si>
    <t>300 WILSON STREET</t>
  </si>
  <si>
    <t>75652</t>
  </si>
  <si>
    <t>RUSK</t>
  </si>
  <si>
    <t>(903) 657-7541</t>
  </si>
  <si>
    <t>450484</t>
  </si>
  <si>
    <t>WOODLAND HEIGHTS MEDICAL CENTER</t>
  </si>
  <si>
    <t>505 SOUTH JOHN REDDITT DRIVE</t>
  </si>
  <si>
    <t>75904</t>
  </si>
  <si>
    <t>(936) 634-8311</t>
  </si>
  <si>
    <t>450489</t>
  </si>
  <si>
    <t>MEDICAL ARTS HOSPITAL</t>
  </si>
  <si>
    <t>2200 N BRYAN AVE</t>
  </si>
  <si>
    <t>LAMESA</t>
  </si>
  <si>
    <t>79331</t>
  </si>
  <si>
    <t>DAWSON</t>
  </si>
  <si>
    <t>(806) 872-2183</t>
  </si>
  <si>
    <t>450508</t>
  </si>
  <si>
    <t>NACOGDOCHES MEMORIAL HOSPITAL</t>
  </si>
  <si>
    <t>1204 MOUND ST</t>
  </si>
  <si>
    <t>NACOGDOCHES</t>
  </si>
  <si>
    <t>75961</t>
  </si>
  <si>
    <t>(936) 564-4611</t>
  </si>
  <si>
    <t>450518</t>
  </si>
  <si>
    <t>THE MEDICAL CENTER OF SOUTHEAST TEXAS</t>
  </si>
  <si>
    <t>2555 JIMMY JOHNSON BLVD</t>
  </si>
  <si>
    <t>PORT ARTHUR</t>
  </si>
  <si>
    <t>77640</t>
  </si>
  <si>
    <t>(409) 853-5900</t>
  </si>
  <si>
    <t>450537</t>
  </si>
  <si>
    <t>METHODIST RICHARDSON MEDICAL CENTER</t>
  </si>
  <si>
    <t>2831 E PRESIDENT GEORGE BUSH HIGHWAY</t>
  </si>
  <si>
    <t>RICHARDSON</t>
  </si>
  <si>
    <t>75082</t>
  </si>
  <si>
    <t>(469) 204-1000</t>
  </si>
  <si>
    <t>450539</t>
  </si>
  <si>
    <t>COVENANT HOSPITAL PLAINVIEW</t>
  </si>
  <si>
    <t>2601 DIMMITT RD</t>
  </si>
  <si>
    <t>PLAINVIEW</t>
  </si>
  <si>
    <t>79072</t>
  </si>
  <si>
    <t>HALE</t>
  </si>
  <si>
    <t>(806) 296-5531</t>
  </si>
  <si>
    <t>450563</t>
  </si>
  <si>
    <t>BAYLOR SCOTT &amp; WHITE MEDICAL CENTER  GRAPEVINE</t>
  </si>
  <si>
    <t>1650 W COLLEGE ST</t>
  </si>
  <si>
    <t>GRAPEVINE</t>
  </si>
  <si>
    <t>76051</t>
  </si>
  <si>
    <t>(817) 481-1588</t>
  </si>
  <si>
    <t>450565</t>
  </si>
  <si>
    <t>PALO PINTO GENERAL HOSPITAL</t>
  </si>
  <si>
    <t>400 SOUTHWEST 25 AVE</t>
  </si>
  <si>
    <t>MINERAL WELLS</t>
  </si>
  <si>
    <t>76067</t>
  </si>
  <si>
    <t>PALO PINTO</t>
  </si>
  <si>
    <t>(940) 325-7891</t>
  </si>
  <si>
    <t>450571</t>
  </si>
  <si>
    <t>SHANNON MEDICAL CENTER</t>
  </si>
  <si>
    <t>120 E HARRIS AVE.</t>
  </si>
  <si>
    <t>SAN ANGELO</t>
  </si>
  <si>
    <t>76903</t>
  </si>
  <si>
    <t>TOM GREEN</t>
  </si>
  <si>
    <t>(325) 653-6741</t>
  </si>
  <si>
    <t>450573</t>
  </si>
  <si>
    <t>CHRISTUS JASPER MEMORIAL HOSPITAL</t>
  </si>
  <si>
    <t>1275 MARVIN HANCOCK DRIVE</t>
  </si>
  <si>
    <t>JASPER</t>
  </si>
  <si>
    <t>75951</t>
  </si>
  <si>
    <t>(409) 384-5461</t>
  </si>
  <si>
    <t>450584</t>
  </si>
  <si>
    <t>WILBARGER GENERAL HOSPITAL</t>
  </si>
  <si>
    <t>920 HILLCREST DR</t>
  </si>
  <si>
    <t>VERNON</t>
  </si>
  <si>
    <t>76384</t>
  </si>
  <si>
    <t>WILBARGER</t>
  </si>
  <si>
    <t>(940) 552-9351</t>
  </si>
  <si>
    <t>450587</t>
  </si>
  <si>
    <t>HENDRICK MEDICAL CENTER BROWNWOOD</t>
  </si>
  <si>
    <t>1501 BURNET DR</t>
  </si>
  <si>
    <t>BROWNWOOD</t>
  </si>
  <si>
    <t>76801</t>
  </si>
  <si>
    <t>BROWN</t>
  </si>
  <si>
    <t>(325) 646-8541</t>
  </si>
  <si>
    <t>450596</t>
  </si>
  <si>
    <t>LAKE GRANBURY MEDICAL CENTER</t>
  </si>
  <si>
    <t>1310 PALUXY RD</t>
  </si>
  <si>
    <t>GRANBURY</t>
  </si>
  <si>
    <t>76048</t>
  </si>
  <si>
    <t>HOOD</t>
  </si>
  <si>
    <t>(817) 573-2683</t>
  </si>
  <si>
    <t>450597</t>
  </si>
  <si>
    <t>CUERO REGIONAL HOSPITAL</t>
  </si>
  <si>
    <t>2550 N ESPLANADE</t>
  </si>
  <si>
    <t>CUERO</t>
  </si>
  <si>
    <t>77954</t>
  </si>
  <si>
    <t>DE WITT</t>
  </si>
  <si>
    <t>(361) 275-6191</t>
  </si>
  <si>
    <t>450604</t>
  </si>
  <si>
    <t>HILL COUNTRY MEMORIAL HOSPITAL</t>
  </si>
  <si>
    <t>1020 SOUTH STATE HIGHWAY 16</t>
  </si>
  <si>
    <t>FREDERICKSBURG</t>
  </si>
  <si>
    <t>78624</t>
  </si>
  <si>
    <t>GILLESPIE</t>
  </si>
  <si>
    <t>(830) 997-4353</t>
  </si>
  <si>
    <t>450610</t>
  </si>
  <si>
    <t>MEMORIAL HERMANN MEMORIAL CITY HOSPITAL</t>
  </si>
  <si>
    <t>921 GESSNER</t>
  </si>
  <si>
    <t>77024</t>
  </si>
  <si>
    <t>(713) 242-3000</t>
  </si>
  <si>
    <t>450617</t>
  </si>
  <si>
    <t>HCA HOUSTON HEALTHCARE CLEAR LAKE</t>
  </si>
  <si>
    <t>500 W MEDICAL CENTER BLVD</t>
  </si>
  <si>
    <t>WEBSTER</t>
  </si>
  <si>
    <t>77598</t>
  </si>
  <si>
    <t>(281) 332-2511</t>
  </si>
  <si>
    <t>450634</t>
  </si>
  <si>
    <t>MEDICAL CITY DENTON</t>
  </si>
  <si>
    <t>3535 SOUTH I35 EAST</t>
  </si>
  <si>
    <t>DENTON</t>
  </si>
  <si>
    <t>76210</t>
  </si>
  <si>
    <t>(940) 384-3535</t>
  </si>
  <si>
    <t>450638</t>
  </si>
  <si>
    <t>HCA HOUSTON HEALTHCARE NORTHWEST</t>
  </si>
  <si>
    <t>710 CYPRESS CREEK PARKWAY</t>
  </si>
  <si>
    <t>77090</t>
  </si>
  <si>
    <t>(281) 440-1000</t>
  </si>
  <si>
    <t>450639</t>
  </si>
  <si>
    <t>TEXAS HEALTH HARRIS METHODIST HURST-EULESS-BEDFORD</t>
  </si>
  <si>
    <t>1600 HOSPITAL PARKWAY</t>
  </si>
  <si>
    <t>BEDFORD</t>
  </si>
  <si>
    <t>76022</t>
  </si>
  <si>
    <t>(817) 848-4000</t>
  </si>
  <si>
    <t>450641</t>
  </si>
  <si>
    <t>NOCONA GENERAL HOSPITAL</t>
  </si>
  <si>
    <t>100 PARK ROAD</t>
  </si>
  <si>
    <t>NOCONA</t>
  </si>
  <si>
    <t>76255</t>
  </si>
  <si>
    <t>MONTAGUE</t>
  </si>
  <si>
    <t>(940) 825-3235</t>
  </si>
  <si>
    <t>450643</t>
  </si>
  <si>
    <t>DOCTORS HOSPITAL OF LAREDO</t>
  </si>
  <si>
    <t>10700 MCPHERSON ROAD</t>
  </si>
  <si>
    <t>78041</t>
  </si>
  <si>
    <t>(956) 523-2000</t>
  </si>
  <si>
    <t>450644</t>
  </si>
  <si>
    <t>HCA HOUSTON HEALTHCARE WEST</t>
  </si>
  <si>
    <t>12141 RICHMOND AVE</t>
  </si>
  <si>
    <t>77082</t>
  </si>
  <si>
    <t>(281) 588-8080</t>
  </si>
  <si>
    <t>450647</t>
  </si>
  <si>
    <t>MEDICAL CITY DALLAS HOSPITAL</t>
  </si>
  <si>
    <t>7777 FOREST LANE</t>
  </si>
  <si>
    <t>75230</t>
  </si>
  <si>
    <t>(972) 566-6222</t>
  </si>
  <si>
    <t>450651</t>
  </si>
  <si>
    <t>MEDICAL CITY PLANO</t>
  </si>
  <si>
    <t>3901 W 15TH ST</t>
  </si>
  <si>
    <t>PLANO</t>
  </si>
  <si>
    <t>75075</t>
  </si>
  <si>
    <t>(972) 596-6800</t>
  </si>
  <si>
    <t>450653</t>
  </si>
  <si>
    <t>SCENIC MOUNTAIN MEDICAL CENTER</t>
  </si>
  <si>
    <t>1601 W 11TH PLACE</t>
  </si>
  <si>
    <t>BIG SPRING</t>
  </si>
  <si>
    <t>79720</t>
  </si>
  <si>
    <t>HOWARD</t>
  </si>
  <si>
    <t>(432) 263-1211</t>
  </si>
  <si>
    <t>450654</t>
  </si>
  <si>
    <t>STARR COUNTY MEMORIAL HOSPITAL</t>
  </si>
  <si>
    <t>128  N FM RD 3167</t>
  </si>
  <si>
    <t>RIO GRANDE CITY</t>
  </si>
  <si>
    <t>78582</t>
  </si>
  <si>
    <t>STARR</t>
  </si>
  <si>
    <t>(956) 487-5561</t>
  </si>
  <si>
    <t>450656</t>
  </si>
  <si>
    <t>NACOGDOCHES MEDICAL CENTER</t>
  </si>
  <si>
    <t>4920 NE STALLINGS DRIVE</t>
  </si>
  <si>
    <t>75965</t>
  </si>
  <si>
    <t>(936) 569-9481</t>
  </si>
  <si>
    <t>450658</t>
  </si>
  <si>
    <t>FREESTONE MEDICAL CENTER</t>
  </si>
  <si>
    <t>125 NEWMAN ST</t>
  </si>
  <si>
    <t>FAIRFIELD</t>
  </si>
  <si>
    <t>75840</t>
  </si>
  <si>
    <t>FREESTONE</t>
  </si>
  <si>
    <t>(903) 389-1612</t>
  </si>
  <si>
    <t>450659</t>
  </si>
  <si>
    <t>HCA HOUSTON HEALTHCARE MEDICAL CENTER</t>
  </si>
  <si>
    <t>1313 HERMANN DR</t>
  </si>
  <si>
    <t>77004</t>
  </si>
  <si>
    <t>(713) 527-5019</t>
  </si>
  <si>
    <t>450661</t>
  </si>
  <si>
    <t>ODESSA REGIONAL MEDICAL CENTER</t>
  </si>
  <si>
    <t>520 E 6TH STREET</t>
  </si>
  <si>
    <t>(432) 582-8340</t>
  </si>
  <si>
    <t>450662</t>
  </si>
  <si>
    <t>VALLEY REGIONAL MEDICAL CENTER</t>
  </si>
  <si>
    <t>100 A ALTON GLOOR</t>
  </si>
  <si>
    <t>78526</t>
  </si>
  <si>
    <t>(956) 350-7000</t>
  </si>
  <si>
    <t>450668</t>
  </si>
  <si>
    <t>SIERRA MEDICAL CENTER</t>
  </si>
  <si>
    <t>1625 MEDICAL CENTER DR</t>
  </si>
  <si>
    <t>(915) 747-4000</t>
  </si>
  <si>
    <t>450669</t>
  </si>
  <si>
    <t>MEDICAL CITY LEWISVILLE</t>
  </si>
  <si>
    <t>500 WEST MAIN STREET</t>
  </si>
  <si>
    <t>LEWISVILLE</t>
  </si>
  <si>
    <t>75057</t>
  </si>
  <si>
    <t>(972) 420-1000</t>
  </si>
  <si>
    <t>450670</t>
  </si>
  <si>
    <t>HCA HOUSTON HEALTHCARE TOMBALL</t>
  </si>
  <si>
    <t>605 HOLDERRIETH</t>
  </si>
  <si>
    <t>TOMBALL</t>
  </si>
  <si>
    <t>77375</t>
  </si>
  <si>
    <t>(281) 351-7500</t>
  </si>
  <si>
    <t>450672</t>
  </si>
  <si>
    <t>MEDICAL CITY FORT WORTH</t>
  </si>
  <si>
    <t>900 EIGHTH AVENUE</t>
  </si>
  <si>
    <t>(817) 336-2100</t>
  </si>
  <si>
    <t>450674</t>
  </si>
  <si>
    <t>WOMANS HOSPITAL OF TEXAS,THE</t>
  </si>
  <si>
    <t>7600 FANNIN</t>
  </si>
  <si>
    <t>77054</t>
  </si>
  <si>
    <t>(713) 790-1234</t>
  </si>
  <si>
    <t>450675</t>
  </si>
  <si>
    <t>MEDICAL CITY ARLINGTON</t>
  </si>
  <si>
    <t>3301 MATLOCK ROAD</t>
  </si>
  <si>
    <t>76015</t>
  </si>
  <si>
    <t>(817) 465-3241</t>
  </si>
  <si>
    <t>450677</t>
  </si>
  <si>
    <t>TEXAS HEALTH HUGULEY HOSPITAL FORT WORTH SOUTH</t>
  </si>
  <si>
    <t>11801 SOUTH FREEWAY</t>
  </si>
  <si>
    <t>76115</t>
  </si>
  <si>
    <t>(817) 293-9110</t>
  </si>
  <si>
    <t>450678</t>
  </si>
  <si>
    <t>WHITE ROCK MEDICAL CENTER</t>
  </si>
  <si>
    <t>9440 POPPY DRIVE</t>
  </si>
  <si>
    <t>75218</t>
  </si>
  <si>
    <t>(214) 324-6100</t>
  </si>
  <si>
    <t>450684</t>
  </si>
  <si>
    <t>MEMORIAL HERMANN NORTHEAST HOSPITAL</t>
  </si>
  <si>
    <t>18951 MEMORIAL NORTH</t>
  </si>
  <si>
    <t>HUMBLE</t>
  </si>
  <si>
    <t>77338</t>
  </si>
  <si>
    <t>(281) 540-7700</t>
  </si>
  <si>
    <t>450686</t>
  </si>
  <si>
    <t>UNIVERSITY MEDICAL CENTER</t>
  </si>
  <si>
    <t>602 INDIANA AVENUE</t>
  </si>
  <si>
    <t>79415</t>
  </si>
  <si>
    <t>(806) 775-8200</t>
  </si>
  <si>
    <t>450688</t>
  </si>
  <si>
    <t>DALLAS REGIONAL MEDICAL CENTER</t>
  </si>
  <si>
    <t>1011 NORTH GALLOWAY AVENUE</t>
  </si>
  <si>
    <t>MESQUITE</t>
  </si>
  <si>
    <t>75149</t>
  </si>
  <si>
    <t>(214) 320-7000</t>
  </si>
  <si>
    <t>450690</t>
  </si>
  <si>
    <t>THE UNIVERSITY OF TEXAS HEALTH SCIENCE CENTER AT TYLER</t>
  </si>
  <si>
    <t>11937 US HIGHWAY 271</t>
  </si>
  <si>
    <t>75708</t>
  </si>
  <si>
    <t>(903) 877-7777</t>
  </si>
  <si>
    <t>450694</t>
  </si>
  <si>
    <t>EL CAMPO MEMORIAL HOSPITAL</t>
  </si>
  <si>
    <t>303 SANDY CORNER RD</t>
  </si>
  <si>
    <t>EL CAMPO</t>
  </si>
  <si>
    <t>77437</t>
  </si>
  <si>
    <t>WHARTON</t>
  </si>
  <si>
    <t>(979) 578-5251</t>
  </si>
  <si>
    <t>450698</t>
  </si>
  <si>
    <t>LAMB HEALTHCARE CENTER</t>
  </si>
  <si>
    <t>1500 S SUNSET</t>
  </si>
  <si>
    <t>LITTLEFIELD</t>
  </si>
  <si>
    <t>79339</t>
  </si>
  <si>
    <t>LAMB</t>
  </si>
  <si>
    <t>(806) 385-6411</t>
  </si>
  <si>
    <t>450702</t>
  </si>
  <si>
    <t>LONGVIEW REGIONAL MEDICAL CENTER</t>
  </si>
  <si>
    <t>2901 N FOURTH ST</t>
  </si>
  <si>
    <t>75605</t>
  </si>
  <si>
    <t>(903) 758-1818</t>
  </si>
  <si>
    <t>450709</t>
  </si>
  <si>
    <t>HOUSTON METHODIST CLEAR LAKE HOSPITAL</t>
  </si>
  <si>
    <t>18300 ST JOHN DRIVE</t>
  </si>
  <si>
    <t>NASSAU BAY</t>
  </si>
  <si>
    <t>77058</t>
  </si>
  <si>
    <t>(281) 333-5503</t>
  </si>
  <si>
    <t>450711</t>
  </si>
  <si>
    <t>RIO GRANDE REGIONAL HOSPITAL</t>
  </si>
  <si>
    <t>101 E RIDGE RD</t>
  </si>
  <si>
    <t>MCALLEN</t>
  </si>
  <si>
    <t>78503</t>
  </si>
  <si>
    <t>(956) 632-6000</t>
  </si>
  <si>
    <t>450713</t>
  </si>
  <si>
    <t>ST DAVID'S SOUTH AUSTIN MEDICAL CENTER</t>
  </si>
  <si>
    <t>901 WEST BEN WHITE BLVD</t>
  </si>
  <si>
    <t>78704</t>
  </si>
  <si>
    <t>(512) 448-7107</t>
  </si>
  <si>
    <t>450718</t>
  </si>
  <si>
    <t>ROUND ROCK MEDICAL CENTER</t>
  </si>
  <si>
    <t>2400 ROUND ROCK AVE</t>
  </si>
  <si>
    <t>ROUND ROCK</t>
  </si>
  <si>
    <t>78681</t>
  </si>
  <si>
    <t>WILLIAMSON</t>
  </si>
  <si>
    <t>(512) 341-1000</t>
  </si>
  <si>
    <t>450723</t>
  </si>
  <si>
    <t>METHODIST CHARLTON MEDICAL CENTER</t>
  </si>
  <si>
    <t>3500 W WHEATLAND ROAD</t>
  </si>
  <si>
    <t>75237</t>
  </si>
  <si>
    <t>(214) 947-7777</t>
  </si>
  <si>
    <t>450730</t>
  </si>
  <si>
    <t>CARROLLTON REGIONAL MEDICAL CENTER</t>
  </si>
  <si>
    <t>4343 NORTH JOSEY LANE</t>
  </si>
  <si>
    <t>CARROLLTON</t>
  </si>
  <si>
    <t>75010</t>
  </si>
  <si>
    <t>(972) 394-2255</t>
  </si>
  <si>
    <t>450742</t>
  </si>
  <si>
    <t>BAYLOR SCOTT AND WHITE MEDICAL CENTER LAKE POINTE</t>
  </si>
  <si>
    <t>6800 SCENIC DR</t>
  </si>
  <si>
    <t>ROWLETT</t>
  </si>
  <si>
    <t>75088</t>
  </si>
  <si>
    <t>(972) 412-2273</t>
  </si>
  <si>
    <t>450743</t>
  </si>
  <si>
    <t>TEXAS HEALTH PRESBYTERIAN HOSPITAL DENTON</t>
  </si>
  <si>
    <t>3000 N I-35</t>
  </si>
  <si>
    <t>76201</t>
  </si>
  <si>
    <t>(940) 898-7000</t>
  </si>
  <si>
    <t>450747</t>
  </si>
  <si>
    <t>PALESTINE REGIONAL MEDICAL CENTER</t>
  </si>
  <si>
    <t>2900 S LOOP 256</t>
  </si>
  <si>
    <t>PALESTINE</t>
  </si>
  <si>
    <t>75801</t>
  </si>
  <si>
    <t>ANDERSON</t>
  </si>
  <si>
    <t>(903) 731-1000</t>
  </si>
  <si>
    <t>450755</t>
  </si>
  <si>
    <t>COVENANT HOSPITAL LEVELLAND</t>
  </si>
  <si>
    <t>1900 COLLEGE AVE</t>
  </si>
  <si>
    <t>LEVELLAND</t>
  </si>
  <si>
    <t>79336</t>
  </si>
  <si>
    <t>HOCKLEY</t>
  </si>
  <si>
    <t>(806) 894-4963</t>
  </si>
  <si>
    <t>450771</t>
  </si>
  <si>
    <t>TEXAS HEALTH PRESBYTERIAN HOSPITAL PLANO</t>
  </si>
  <si>
    <t>6200 W PARKER RD</t>
  </si>
  <si>
    <t>75093</t>
  </si>
  <si>
    <t>(972) 981-8000</t>
  </si>
  <si>
    <t>450774</t>
  </si>
  <si>
    <t>TOPS SURGICAL SPECIALTY HOSPITAL</t>
  </si>
  <si>
    <t>17080 RED OAK DRIVE</t>
  </si>
  <si>
    <t>(281) 539-2900</t>
  </si>
  <si>
    <t>450775</t>
  </si>
  <si>
    <t>HCA HOUSTON HEALTHCARE KINGWOOD</t>
  </si>
  <si>
    <t>22999 US HWY 59</t>
  </si>
  <si>
    <t>KINGWOOD</t>
  </si>
  <si>
    <t>77325</t>
  </si>
  <si>
    <t>(281) 359-7500</t>
  </si>
  <si>
    <t>450779</t>
  </si>
  <si>
    <t>TEXAS HEALTH HARRIS METHODIST HOSPITAL SOUTHWEST F</t>
  </si>
  <si>
    <t>6100 HARRIS PKWY</t>
  </si>
  <si>
    <t>76132</t>
  </si>
  <si>
    <t>(817) 433-5000</t>
  </si>
  <si>
    <t>450788</t>
  </si>
  <si>
    <t>CORPUS CHRISTI MEDICAL CENTER,THE</t>
  </si>
  <si>
    <t>3315 S ALAMEDA ST</t>
  </si>
  <si>
    <t>78411</t>
  </si>
  <si>
    <t>(361) 761-1501</t>
  </si>
  <si>
    <t>450801</t>
  </si>
  <si>
    <t>CHRISTUS ST MICHAEL HEALTH SYSTEM</t>
  </si>
  <si>
    <t>2600 ST MICHAEL DR</t>
  </si>
  <si>
    <t>75503</t>
  </si>
  <si>
    <t>(903) 614-1000</t>
  </si>
  <si>
    <t>450804</t>
  </si>
  <si>
    <t>TEXAS ORTHOPEDIC HOSPITAL</t>
  </si>
  <si>
    <t>7401 SOUTH MAIN STREET</t>
  </si>
  <si>
    <t>(713) 799-8600</t>
  </si>
  <si>
    <t>450808</t>
  </si>
  <si>
    <t>NORTHWEST HILLS SURGICAL HOSPITAL</t>
  </si>
  <si>
    <t>6818 AUSTIN CTR BLVD SUITE 100</t>
  </si>
  <si>
    <t>78731</t>
  </si>
  <si>
    <t>(512) 346-1994</t>
  </si>
  <si>
    <t>450809</t>
  </si>
  <si>
    <t>NORTH AUSTIN MEDICAL CENTER</t>
  </si>
  <si>
    <t>12221 MOPAC EXPRESSWAY NORTH</t>
  </si>
  <si>
    <t>78758</t>
  </si>
  <si>
    <t>(512) 901-1000</t>
  </si>
  <si>
    <t>450820</t>
  </si>
  <si>
    <t>HOUSTON METHODIST SUGARLAND HOSPITAL</t>
  </si>
  <si>
    <t>16655 SOUTHWEST FREEWAY</t>
  </si>
  <si>
    <t>SUGAR LAND</t>
  </si>
  <si>
    <t>77479</t>
  </si>
  <si>
    <t>(281) 274-8000</t>
  </si>
  <si>
    <t>450822</t>
  </si>
  <si>
    <t>MEDICAL CITY LAS COLINAS</t>
  </si>
  <si>
    <t>6800 N MACARTHUR BLVD</t>
  </si>
  <si>
    <t>75039</t>
  </si>
  <si>
    <t>(972) 969-2000</t>
  </si>
  <si>
    <t>450825</t>
  </si>
  <si>
    <t>CORNERSTONE REGIONAL HOSPITAL</t>
  </si>
  <si>
    <t>2302 CORNERSTONE BOULEVARD</t>
  </si>
  <si>
    <t>(956) 618-4444</t>
  </si>
  <si>
    <t>450827</t>
  </si>
  <si>
    <t>KELL WEST REGIONAL HOSPITAL</t>
  </si>
  <si>
    <t>5420 KELL WEST BOULEVARD</t>
  </si>
  <si>
    <t>76310</t>
  </si>
  <si>
    <t>(940) 692-5888</t>
  </si>
  <si>
    <t>450828</t>
  </si>
  <si>
    <t>CHRISTUS SPOHN HOSPITAL ALICE</t>
  </si>
  <si>
    <t>2500 E MAIN STREET</t>
  </si>
  <si>
    <t>ALICE</t>
  </si>
  <si>
    <t>78332</t>
  </si>
  <si>
    <t>JIM WELLS</t>
  </si>
  <si>
    <t>(361) 661-8016</t>
  </si>
  <si>
    <t>450831</t>
  </si>
  <si>
    <t>SURGERY SPECIALTY HOSPITALS OF AMERICA SE HOUSTON</t>
  </si>
  <si>
    <t>4301 B VISTA</t>
  </si>
  <si>
    <t>(713) 378-3000</t>
  </si>
  <si>
    <t>450833</t>
  </si>
  <si>
    <t>ENNIS REGIONAL MEDICAL CENTER</t>
  </si>
  <si>
    <t>2201 WEST LAMPASAS STREET</t>
  </si>
  <si>
    <t>ENNIS</t>
  </si>
  <si>
    <t>75119</t>
  </si>
  <si>
    <t>(972) 875-0900</t>
  </si>
  <si>
    <t>450834</t>
  </si>
  <si>
    <t>PHYSICIANS CENTRE,THE</t>
  </si>
  <si>
    <t>3131 UNIVERSITY DRIVE EAST</t>
  </si>
  <si>
    <t>(979) 731-3100</t>
  </si>
  <si>
    <t>450840</t>
  </si>
  <si>
    <t>TEXAS HEALTH PRESBYTERIAN HOSPITAL ALLEN</t>
  </si>
  <si>
    <t>1105 CENTRAL EXPRESSWAY NORTH</t>
  </si>
  <si>
    <t>ALLEN</t>
  </si>
  <si>
    <t>75013</t>
  </si>
  <si>
    <t>(972) 747-1000</t>
  </si>
  <si>
    <t>450844</t>
  </si>
  <si>
    <t>HOUSTON METHODIST WILLOWBROOK HOSPITAL</t>
  </si>
  <si>
    <t>18220 STATE HIGHWAY 249</t>
  </si>
  <si>
    <t>77070</t>
  </si>
  <si>
    <t>(281) 477-1000</t>
  </si>
  <si>
    <t>450847</t>
  </si>
  <si>
    <t>MEMORIAL HERMANN KATY HOSPITAL</t>
  </si>
  <si>
    <t>23900 KATY FREEWAY</t>
  </si>
  <si>
    <t>KATY</t>
  </si>
  <si>
    <t>77494</t>
  </si>
  <si>
    <t>(281) 392-1111</t>
  </si>
  <si>
    <t>450848</t>
  </si>
  <si>
    <t>MEMORIAL HERMANN SUGAR LAND HOSPITAL</t>
  </si>
  <si>
    <t>17500 W GRAND PARKWAY SOUTH</t>
  </si>
  <si>
    <t>(281) 725-5000</t>
  </si>
  <si>
    <t>450851</t>
  </si>
  <si>
    <t>BAYLOR SCOTT &amp; WHITE HEART &amp; VASCULAR HOSPITAL - DALLAS</t>
  </si>
  <si>
    <t>621 NORTH HALL STREET</t>
  </si>
  <si>
    <t>75226</t>
  </si>
  <si>
    <t>(214) 820-0600</t>
  </si>
  <si>
    <t>450853</t>
  </si>
  <si>
    <t>BAYLOR SCOTT &amp; WHITE MEDICAL CENTER - FRISCO</t>
  </si>
  <si>
    <t>5601 WARREN PARKWAY</t>
  </si>
  <si>
    <t>FRISCO</t>
  </si>
  <si>
    <t>75034</t>
  </si>
  <si>
    <t>(214) 407-5000</t>
  </si>
  <si>
    <t>450855</t>
  </si>
  <si>
    <t>HARLINGEN MEDICAL CENTER</t>
  </si>
  <si>
    <t>5501 SOUTH EXPRESSWAY 77</t>
  </si>
  <si>
    <t>(956) 365-1000</t>
  </si>
  <si>
    <t>450856</t>
  </si>
  <si>
    <t>SOUTH TEXAS SPINE AND SURGICAL HOSPITAL</t>
  </si>
  <si>
    <t>18600 NORTH HARDY OAK BLVD</t>
  </si>
  <si>
    <t>78258</t>
  </si>
  <si>
    <t>(210) 404-0800</t>
  </si>
  <si>
    <t>450860</t>
  </si>
  <si>
    <t>SUGAR LAND SURGICAL HOSPITAL LLP</t>
  </si>
  <si>
    <t>16906 SOUTHWEST FREEWAY</t>
  </si>
  <si>
    <t>(281) 243-1000</t>
  </si>
  <si>
    <t>450862</t>
  </si>
  <si>
    <t>ST LUKE'S THE WOODLANDS HOSPITAL</t>
  </si>
  <si>
    <t>17200 ST LUKE'S WAY</t>
  </si>
  <si>
    <t>THE WOODLANDS</t>
  </si>
  <si>
    <t>77384</t>
  </si>
  <si>
    <t>(936) 266-4050</t>
  </si>
  <si>
    <t>450864</t>
  </si>
  <si>
    <t>BAYLOR SCOTT &amp; WHITE TEXAS SPINE &amp; JOINT HOSPITAL</t>
  </si>
  <si>
    <t>1814 ROSELAND BOULEVARD</t>
  </si>
  <si>
    <t>(903) 525-3300</t>
  </si>
  <si>
    <t>450865</t>
  </si>
  <si>
    <t>ASCENSION SETON  SOUTHWEST</t>
  </si>
  <si>
    <t>7900 FM 1826</t>
  </si>
  <si>
    <t>78737</t>
  </si>
  <si>
    <t>(512) 324-9000</t>
  </si>
  <si>
    <t>450867</t>
  </si>
  <si>
    <t>ASCENSION SETON NORTHWEST</t>
  </si>
  <si>
    <t>11113 RESEARCH BOULEVARD</t>
  </si>
  <si>
    <t>78759</t>
  </si>
  <si>
    <t>(512) 324-6000</t>
  </si>
  <si>
    <t>450869</t>
  </si>
  <si>
    <t>DOCTORS HOSPTAL AT RENAISSANCE</t>
  </si>
  <si>
    <t>5501 SOUTH MCCOLL</t>
  </si>
  <si>
    <t>(956) 362-8677</t>
  </si>
  <si>
    <t>450872</t>
  </si>
  <si>
    <t>USMD HOSPITAL AT ARLINGTON L P</t>
  </si>
  <si>
    <t>801 W INTERSTATE 20</t>
  </si>
  <si>
    <t>76017</t>
  </si>
  <si>
    <t>(817) 472-3400</t>
  </si>
  <si>
    <t>450874</t>
  </si>
  <si>
    <t>BAYLOR SURGICAL HOSPITAL AT LAS COLINAS</t>
  </si>
  <si>
    <t>400 WEST LYNDON B JOHNSON SUITE 101B</t>
  </si>
  <si>
    <t>75063</t>
  </si>
  <si>
    <t>(972) 868-4000</t>
  </si>
  <si>
    <t>450875</t>
  </si>
  <si>
    <t>QUAIL CREEK SURGICAL HOSPITAL</t>
  </si>
  <si>
    <t>6819 PLUM CREEK</t>
  </si>
  <si>
    <t>79124</t>
  </si>
  <si>
    <t>(806) 354-6100</t>
  </si>
  <si>
    <t>450876</t>
  </si>
  <si>
    <t>LUBBOCK HEART HOSPITAL LP</t>
  </si>
  <si>
    <t>4810 NORTH LOOP 289</t>
  </si>
  <si>
    <t>79416</t>
  </si>
  <si>
    <t>(806) 687-7777</t>
  </si>
  <si>
    <t>450880</t>
  </si>
  <si>
    <t>BAYLOR SCOTT AND WHITE SURGICAL HOSPITAL FORTWORTH</t>
  </si>
  <si>
    <t>1800 PARK PLACE AVENUE</t>
  </si>
  <si>
    <t>76110</t>
  </si>
  <si>
    <t>(682) 703-5600</t>
  </si>
  <si>
    <t>450883</t>
  </si>
  <si>
    <t>BAYLOR MEDICAL CENTER AT TROPHY CLUB</t>
  </si>
  <si>
    <t>2850  E STATE HIGHWAY 114</t>
  </si>
  <si>
    <t>TROPHY CLUB</t>
  </si>
  <si>
    <t>76262</t>
  </si>
  <si>
    <t>(817) 837-4600</t>
  </si>
  <si>
    <t>450885</t>
  </si>
  <si>
    <t>BAYLOR SCOTT &amp;  WHITE MEDICAL CENTER - CENTENNIAL</t>
  </si>
  <si>
    <t>12505 LEBANON ROAD</t>
  </si>
  <si>
    <t>75035</t>
  </si>
  <si>
    <t>(972) 963-3333</t>
  </si>
  <si>
    <t>450888</t>
  </si>
  <si>
    <t>TEXAS HEALTH HARRIS METHODIST HOSPITAL SOUTHLAKE</t>
  </si>
  <si>
    <t>1545 E SOUTHLAKE BLVD</t>
  </si>
  <si>
    <t>SOUTHLAKE</t>
  </si>
  <si>
    <t>76092</t>
  </si>
  <si>
    <t>(817) 748-8700</t>
  </si>
  <si>
    <t>450889</t>
  </si>
  <si>
    <t>TEXAS INSTITUTE FOR SURGERY AT PRESBYTERIAN HOSPIT</t>
  </si>
  <si>
    <t>7115 GREENVILLE AVENUE SUITE 100</t>
  </si>
  <si>
    <t>(214) 647-5300</t>
  </si>
  <si>
    <t>450890</t>
  </si>
  <si>
    <t>BAYLOR SCOTT &amp; WHITE MEDICAL CENTER PLANO</t>
  </si>
  <si>
    <t>4700 ALLIANCE BOULEVARD</t>
  </si>
  <si>
    <t>(469) 814-2000</t>
  </si>
  <si>
    <t>450891</t>
  </si>
  <si>
    <t>TEXAS HEALTH CENTER FOR DIAGNOSTICS &amp; SURGERY PLAN</t>
  </si>
  <si>
    <t>6020 W PARKER ROAD</t>
  </si>
  <si>
    <t>(972) 403-2700</t>
  </si>
  <si>
    <t>450893</t>
  </si>
  <si>
    <t>THE HEART HOSPITAL BAYLOR DENTON</t>
  </si>
  <si>
    <t>2801 SOUTH MAYHILL ROAD</t>
  </si>
  <si>
    <t>76208</t>
  </si>
  <si>
    <t>(940) 220-0600</t>
  </si>
  <si>
    <t>450895</t>
  </si>
  <si>
    <t>BAYLOR SCOTT WHITE THE HEART HOSPITAL CORINTH</t>
  </si>
  <si>
    <t>2813 S MAYHILL ROAD</t>
  </si>
  <si>
    <t>(940) 320-2300</t>
  </si>
  <si>
    <t>670005</t>
  </si>
  <si>
    <t>MEMORIAL HERMANN SURGICAL HOSPITAL KINGWOOD</t>
  </si>
  <si>
    <t>300 KINGWOOD MEDICAL DRIVE</t>
  </si>
  <si>
    <t>77339</t>
  </si>
  <si>
    <t>(281) 312-4000</t>
  </si>
  <si>
    <t>670006</t>
  </si>
  <si>
    <t>THE HOSPITAL AT WESTLAKE MEDICAL CENTER</t>
  </si>
  <si>
    <t>5656 BEE CAVES ROAD, SUITE M-302</t>
  </si>
  <si>
    <t>78746</t>
  </si>
  <si>
    <t>(512) 327-0000</t>
  </si>
  <si>
    <t>670008</t>
  </si>
  <si>
    <t>MEMORIAL HERMANN HOUSTON PHYSICIANS HOSPITAL</t>
  </si>
  <si>
    <t>333 N TEXAS AVENUE, SUITE 1000</t>
  </si>
  <si>
    <t>(281) 335-1700</t>
  </si>
  <si>
    <t>670010</t>
  </si>
  <si>
    <t>MAYHILL HOSPITAL</t>
  </si>
  <si>
    <t>2809 SOUTH MAYHILL ROAD</t>
  </si>
  <si>
    <t>(940) 239-3000</t>
  </si>
  <si>
    <t>670023</t>
  </si>
  <si>
    <t>METHODIST MANSFIELD MEDICAL CENTER</t>
  </si>
  <si>
    <t>2700 E BROAD STREET</t>
  </si>
  <si>
    <t>MANSFIELD</t>
  </si>
  <si>
    <t>76063</t>
  </si>
  <si>
    <t>(682) 622-2059</t>
  </si>
  <si>
    <t>670025</t>
  </si>
  <si>
    <t>BAYLOR SCOTT &amp; WHITE THE HEART HOSPITAL PLANO</t>
  </si>
  <si>
    <t>1100 ALLIED DRIVE</t>
  </si>
  <si>
    <t>(469) 814-3278</t>
  </si>
  <si>
    <t>670031</t>
  </si>
  <si>
    <t>ST LUKE'S PATIENTS MEDICAL CENTER</t>
  </si>
  <si>
    <t>4600 EAST SAM HOUSTON PARKWAY SOUTH</t>
  </si>
  <si>
    <t>77505</t>
  </si>
  <si>
    <t>(281) 487-0700</t>
  </si>
  <si>
    <t>670034</t>
  </si>
  <si>
    <t>BAYLOR SCOTT &amp; WHITE MEDICAL CENTER - ROUND ROCK</t>
  </si>
  <si>
    <t>300 UNIVERSITY BLVD</t>
  </si>
  <si>
    <t>78664</t>
  </si>
  <si>
    <t>(512) 509-0401</t>
  </si>
  <si>
    <t>670041</t>
  </si>
  <si>
    <t>ASCENSION SETON WILLIAMSON</t>
  </si>
  <si>
    <t>201 SETON PARKWAY</t>
  </si>
  <si>
    <t>(512) 324-0000</t>
  </si>
  <si>
    <t>670043</t>
  </si>
  <si>
    <t>ASCENSION SETON CEDAR PARK</t>
  </si>
  <si>
    <t>1401 MEDICAL PARKWAY</t>
  </si>
  <si>
    <t>CEDAR PARK</t>
  </si>
  <si>
    <t>78613</t>
  </si>
  <si>
    <t>(512) 528-7000</t>
  </si>
  <si>
    <t>670044</t>
  </si>
  <si>
    <t>TEXAS HEALTH PRESBYTERIAN HOSPITAL ROCKWALL</t>
  </si>
  <si>
    <t>3150 HORIZON ROAD</t>
  </si>
  <si>
    <t>ROCKWALL</t>
  </si>
  <si>
    <t>75032</t>
  </si>
  <si>
    <t>(469) 698-1000</t>
  </si>
  <si>
    <t>670047</t>
  </si>
  <si>
    <t>THE HOSPITALS OF PROVIDENCE - EAST CAMPUS</t>
  </si>
  <si>
    <t>3280 JOE BATTLE BLVD</t>
  </si>
  <si>
    <t>79938</t>
  </si>
  <si>
    <t>(915) 856-7349</t>
  </si>
  <si>
    <t>670049</t>
  </si>
  <si>
    <t>NORTH CENTRAL SURGICAL CENTER LLP</t>
  </si>
  <si>
    <t>9301 NORTH CENTRAL EXPRESSWAY SUITE 100</t>
  </si>
  <si>
    <t>(214) 265-2810</t>
  </si>
  <si>
    <t>670053</t>
  </si>
  <si>
    <t>ST LUKE'S SUGAR LAND HOSPITAL</t>
  </si>
  <si>
    <t>1317 LAKE POINTE PARKWAY</t>
  </si>
  <si>
    <t>77478</t>
  </si>
  <si>
    <t>(281) 637-7000</t>
  </si>
  <si>
    <t>670054</t>
  </si>
  <si>
    <t>FOUNDATION SURGICAL HOSPITAL OF SAN ANTONIO</t>
  </si>
  <si>
    <t>9522 HUEBNER ROAD</t>
  </si>
  <si>
    <t>78240</t>
  </si>
  <si>
    <t>(210) 478-5400</t>
  </si>
  <si>
    <t>670055</t>
  </si>
  <si>
    <t>METHODIST HOSPITAL  STONE OAK</t>
  </si>
  <si>
    <t>1139 E SONTERRA BLVD,</t>
  </si>
  <si>
    <t>(210) 638-2101</t>
  </si>
  <si>
    <t>670056</t>
  </si>
  <si>
    <t>ASCENSION  SETON HAYS</t>
  </si>
  <si>
    <t>6001 KYLE PKWY</t>
  </si>
  <si>
    <t>KYLE</t>
  </si>
  <si>
    <t>78640</t>
  </si>
  <si>
    <t>(512) 324-5000</t>
  </si>
  <si>
    <t>670059</t>
  </si>
  <si>
    <t>CHI ST LUKES LAKESIDE HOSPITAL</t>
  </si>
  <si>
    <t>17400 ST LUKES WAY</t>
  </si>
  <si>
    <t>(936) 266-4055</t>
  </si>
  <si>
    <t>670060</t>
  </si>
  <si>
    <t>BAYLOR SCOTT AND WHITE MEDICAL CENTER SUNNYVALE</t>
  </si>
  <si>
    <t>231 SOUTH COLLINS ROAD</t>
  </si>
  <si>
    <t>SUNNYVALE</t>
  </si>
  <si>
    <t>75182</t>
  </si>
  <si>
    <t>(972) 892-3000</t>
  </si>
  <si>
    <t>670062</t>
  </si>
  <si>
    <t>BAYLOR EMERGENCY MEDICAL CENTER AT AUBREY</t>
  </si>
  <si>
    <t>26791 HIGHWAY 380</t>
  </si>
  <si>
    <t>AUBREY</t>
  </si>
  <si>
    <t>76227</t>
  </si>
  <si>
    <t>(972) 347-2525</t>
  </si>
  <si>
    <t>670067</t>
  </si>
  <si>
    <t>BAYLOR SCOTT AND WHITE ORTHOPEDIC AND SPINE HOSPI</t>
  </si>
  <si>
    <t>707 HIGHLANDER BLVD</t>
  </si>
  <si>
    <t>(817) 583-7100</t>
  </si>
  <si>
    <t>670068</t>
  </si>
  <si>
    <t>TEXAS HEALTH PRESBYTERIAN HOSPITAL FLOWER MOUND</t>
  </si>
  <si>
    <t>4400 LONG PRAIRIE ROAD</t>
  </si>
  <si>
    <t>FLOWER MOUND</t>
  </si>
  <si>
    <t>75028</t>
  </si>
  <si>
    <t>(972) 419-1530</t>
  </si>
  <si>
    <t>670069</t>
  </si>
  <si>
    <t>METHODIST MCKINNEY HOSPITAL</t>
  </si>
  <si>
    <t>8000 W ELDORADO PKWY BLDG C SUITE C</t>
  </si>
  <si>
    <t>75070</t>
  </si>
  <si>
    <t>(214) 491-5710</t>
  </si>
  <si>
    <t>670071</t>
  </si>
  <si>
    <t>TEXAS HEALTH HEART &amp; VASCULAR HOSPITAL ARLINGTON</t>
  </si>
  <si>
    <t>811 WRIGHT STREET</t>
  </si>
  <si>
    <t>(817) 960-3500</t>
  </si>
  <si>
    <t>670073</t>
  </si>
  <si>
    <t>METHODIST HOSPITAL FOR SURGERY</t>
  </si>
  <si>
    <t>17101 DALLAS PARKWAY</t>
  </si>
  <si>
    <t>ADDISON</t>
  </si>
  <si>
    <t>75001</t>
  </si>
  <si>
    <t>(469) 248-3900</t>
  </si>
  <si>
    <t>670075</t>
  </si>
  <si>
    <t>ST LUKE'S HOSPITAL AT THE VINTAGE</t>
  </si>
  <si>
    <t>20171 CHASEWOOD PARK DRIVE</t>
  </si>
  <si>
    <t>(832) 534-5000</t>
  </si>
  <si>
    <t>670076</t>
  </si>
  <si>
    <t>BAYLOR SCOTT AND WHITE SURGICAL HOSPITAL AT SHERMA</t>
  </si>
  <si>
    <t>3601 CALAIS DRIVE</t>
  </si>
  <si>
    <t>75090</t>
  </si>
  <si>
    <t>(903) 813-3728</t>
  </si>
  <si>
    <t>670077</t>
  </si>
  <si>
    <t>HOUSTON METHODIST WEST HOSPITAL</t>
  </si>
  <si>
    <t>18500 KATY FREEWAY</t>
  </si>
  <si>
    <t>77094</t>
  </si>
  <si>
    <t>(832) 522-1000</t>
  </si>
  <si>
    <t>670078</t>
  </si>
  <si>
    <t>BAPTIST NEIGHBORHOOD HOSPITAL THOUSAND OAKS</t>
  </si>
  <si>
    <t>16088 SAN PEDRO</t>
  </si>
  <si>
    <t>78232</t>
  </si>
  <si>
    <t>(210) 402-4092</t>
  </si>
  <si>
    <t>670080</t>
  </si>
  <si>
    <t>SETON MEDICAL CENTER HARKER HEIGHTS</t>
  </si>
  <si>
    <t>850 W CENTRAL TEXAS EXPRESSWAY</t>
  </si>
  <si>
    <t>HARKER HEIGHTS</t>
  </si>
  <si>
    <t>76548</t>
  </si>
  <si>
    <t>(254) 690-0900</t>
  </si>
  <si>
    <t>670082</t>
  </si>
  <si>
    <t>BAYLOR SCOTT AND WHITE  MEDICAL CENTER  MCKINNEY</t>
  </si>
  <si>
    <t>5252 WEST UNIVERSITY DRIVE</t>
  </si>
  <si>
    <t>MC KINNEY</t>
  </si>
  <si>
    <t>75071</t>
  </si>
  <si>
    <t>(469) 742-2200</t>
  </si>
  <si>
    <t>670085</t>
  </si>
  <si>
    <t>TEXAS HEALTH HARRIS METHODIST HOSPITAL ALLIANCE</t>
  </si>
  <si>
    <t>10864 TEXAS HEALTH TRAIL</t>
  </si>
  <si>
    <t>76244</t>
  </si>
  <si>
    <t>(682) 212-2004</t>
  </si>
  <si>
    <t>670088</t>
  </si>
  <si>
    <t>BAYLOR SCOTT &amp; WHITE MEDICAL CENTER- COLLEGE STATI</t>
  </si>
  <si>
    <t>700 SCOTT &amp; WHITE DRIVE</t>
  </si>
  <si>
    <t>COLLEGE STATION</t>
  </si>
  <si>
    <t>77845</t>
  </si>
  <si>
    <t>(979) 691-3701</t>
  </si>
  <si>
    <t>670090</t>
  </si>
  <si>
    <t>CRESCENT MEDICAL CENTER LANCASTER</t>
  </si>
  <si>
    <t>2600 WEST PLEASANT RUN ROAD</t>
  </si>
  <si>
    <t>LANCASTER</t>
  </si>
  <si>
    <t>75146</t>
  </si>
  <si>
    <t>(972) 230-8888</t>
  </si>
  <si>
    <t>670093</t>
  </si>
  <si>
    <t>ASPIRE HOSPITAL</t>
  </si>
  <si>
    <t>2006 SOUTH LOOP 336 WEST, SUITE 500</t>
  </si>
  <si>
    <t>(936) 647-3500</t>
  </si>
  <si>
    <t>670098</t>
  </si>
  <si>
    <t>RESOLUTE HEALTH HOSPITAL</t>
  </si>
  <si>
    <t>555 CREEKSIDE XING,</t>
  </si>
  <si>
    <t>NEW BRAUNFELS</t>
  </si>
  <si>
    <t>78130</t>
  </si>
  <si>
    <t>COMAL</t>
  </si>
  <si>
    <t>(469) 839-6778</t>
  </si>
  <si>
    <t>670102</t>
  </si>
  <si>
    <t>AD HOSPITAL EAST, LLC</t>
  </si>
  <si>
    <t>12950 EAST FREEWAY, SUITE 100</t>
  </si>
  <si>
    <t>77015</t>
  </si>
  <si>
    <t>(281) 863-2100</t>
  </si>
  <si>
    <t>670103</t>
  </si>
  <si>
    <t>MEDICAL CITY ALLIANCE</t>
  </si>
  <si>
    <t>3101 NORTH TARRANT PARKWAY</t>
  </si>
  <si>
    <t>76177</t>
  </si>
  <si>
    <t>(817) 639-1100</t>
  </si>
  <si>
    <t>670106</t>
  </si>
  <si>
    <t>HCA HOUSTON HEALTHCARE PEARLAND</t>
  </si>
  <si>
    <t>11100 SHADOW CREEK PARKWAY</t>
  </si>
  <si>
    <t>PEARLAND</t>
  </si>
  <si>
    <t>77584</t>
  </si>
  <si>
    <t>(713) 770-7000</t>
  </si>
  <si>
    <t>670107</t>
  </si>
  <si>
    <t>BAYLOR SCOTT AND WHITE EMERGENCY HOSPITAL</t>
  </si>
  <si>
    <t>12500 SOUTH FREEWAY SUITE 100</t>
  </si>
  <si>
    <t>BURLESON</t>
  </si>
  <si>
    <t>76028</t>
  </si>
  <si>
    <t>(214) 294-6250</t>
  </si>
  <si>
    <t>670108</t>
  </si>
  <si>
    <t>BAYLOR SCOTT &amp; WHITE MEDICAL CENTER - MARBLE FALLS</t>
  </si>
  <si>
    <t>810 W HIGHWAY 71</t>
  </si>
  <si>
    <t>MARBLE FALLS</t>
  </si>
  <si>
    <t>78654</t>
  </si>
  <si>
    <t>BURNET</t>
  </si>
  <si>
    <t>(254) 215-9791</t>
  </si>
  <si>
    <t>670109</t>
  </si>
  <si>
    <t>BAYTOWN MEDICAL CENTER LP</t>
  </si>
  <si>
    <t>1626 W BAKER ROAD</t>
  </si>
  <si>
    <t>(281) 837-7600</t>
  </si>
  <si>
    <t>670112</t>
  </si>
  <si>
    <t>LEGENT ORTHOPEDIC + SPINE</t>
  </si>
  <si>
    <t>5330 NORTH LOOP 1604 WEST</t>
  </si>
  <si>
    <t>78249</t>
  </si>
  <si>
    <t>(717) 620-2424</t>
  </si>
  <si>
    <t>670115</t>
  </si>
  <si>
    <t>CLEVELAND EMERGENCY HOSPITAL</t>
  </si>
  <si>
    <t>8901 FM 1960 BYPASS RD W, SUITE 105</t>
  </si>
  <si>
    <t>(281) 592-5400</t>
  </si>
  <si>
    <t>670120</t>
  </si>
  <si>
    <t>THE HOSPITALS OF PROVIDENCE TRANSMOUNTAIN CAMPUS</t>
  </si>
  <si>
    <t>2000 TRANSMOUNTAIN RD</t>
  </si>
  <si>
    <t>79911</t>
  </si>
  <si>
    <t>(915) 877-8136</t>
  </si>
  <si>
    <t>670121</t>
  </si>
  <si>
    <t>SAINT CAMILLUS MEDICAL CENTER</t>
  </si>
  <si>
    <t>1612 HURST TOWN CENTER DRIVE</t>
  </si>
  <si>
    <t>HURST</t>
  </si>
  <si>
    <t>76054</t>
  </si>
  <si>
    <t>(817) 519-3700</t>
  </si>
  <si>
    <t>670122</t>
  </si>
  <si>
    <t>HOUSTON METHODIST THE WOODLANDS HOSPITAL</t>
  </si>
  <si>
    <t>17201 INTERSTATE 45 SOUTH</t>
  </si>
  <si>
    <t>77385</t>
  </si>
  <si>
    <t>(936) 270-2000</t>
  </si>
  <si>
    <t>670124</t>
  </si>
  <si>
    <t>THE HOSPITALS OF PROVIDENCE HORIZON CITY CAMPUS</t>
  </si>
  <si>
    <t>13600 HORIZON STREET, SUITE 100</t>
  </si>
  <si>
    <t>HORIZON CITY</t>
  </si>
  <si>
    <t>79928</t>
  </si>
  <si>
    <t>(915) 407-7878</t>
  </si>
  <si>
    <t>670125</t>
  </si>
  <si>
    <t>TEXAS CENTER FOR INFECTIOUS DISEASE</t>
  </si>
  <si>
    <t>2303 SE MILITARY DR P O BOX 23340</t>
  </si>
  <si>
    <t>78223</t>
  </si>
  <si>
    <t>(210) 534-8857</t>
  </si>
  <si>
    <t>19</t>
  </si>
  <si>
    <t>670128</t>
  </si>
  <si>
    <t>BAYLOR SCOTT &amp; WHITE MEDICAL CENTER PFLUGERVILLE</t>
  </si>
  <si>
    <t>2600 EAST  PFLUGERVILLE  PARKWAY</t>
  </si>
  <si>
    <t>PFLUGERVILLE</t>
  </si>
  <si>
    <t>78660</t>
  </si>
  <si>
    <t>(512) 654-6100</t>
  </si>
  <si>
    <t>670131</t>
  </si>
  <si>
    <t>BAYLOR SCOTT &amp; WHITE MEDICAL CENTER - BUDA</t>
  </si>
  <si>
    <t>5330 OVERPASS ROAD SUITE 110</t>
  </si>
  <si>
    <t>BUDA</t>
  </si>
  <si>
    <t>78610</t>
  </si>
  <si>
    <t>(737) 999-6200</t>
  </si>
  <si>
    <t>670132</t>
  </si>
  <si>
    <t>METHODIST SOUTHLAKE MEDICAL CENTER</t>
  </si>
  <si>
    <t>421 E STATE HIGHWAY 114</t>
  </si>
  <si>
    <t>(878) 654-4400</t>
  </si>
  <si>
    <t>670134</t>
  </si>
  <si>
    <t>ALTUS LUMBERTON HOSPITAL</t>
  </si>
  <si>
    <t>220 BLANCO ST</t>
  </si>
  <si>
    <t>LUMBERTON</t>
  </si>
  <si>
    <t>77657</t>
  </si>
  <si>
    <t>HARDIN</t>
  </si>
  <si>
    <t>(409) 227-0520</t>
  </si>
  <si>
    <t>670135</t>
  </si>
  <si>
    <t>ALTUS HOUSTON HOSPITAL, LP</t>
  </si>
  <si>
    <t>6011 W SAM HOUSTON PKWY SOUTH</t>
  </si>
  <si>
    <t>77072</t>
  </si>
  <si>
    <t>(713) 773-0556</t>
  </si>
  <si>
    <t>670136</t>
  </si>
  <si>
    <t>BAYLOR SCOTT &amp; WHITE MEDICAL CENTER- AUSTIN</t>
  </si>
  <si>
    <t>5245 W US 290</t>
  </si>
  <si>
    <t>78735</t>
  </si>
  <si>
    <t>(512) 654-2100</t>
  </si>
  <si>
    <t>670260</t>
  </si>
  <si>
    <t>TEXAS HEALTH HOSPITAL FRISCO</t>
  </si>
  <si>
    <t>12400 N DALLAS PARKWAY</t>
  </si>
  <si>
    <t>75033</t>
  </si>
  <si>
    <t>(469) 495-2000</t>
  </si>
  <si>
    <t>670265</t>
  </si>
  <si>
    <t>LEGENT ORTHOPEDIC HOSPITAL</t>
  </si>
  <si>
    <t>4201 WILLIAM D TATE AVENUE</t>
  </si>
  <si>
    <t>(817) 288-1300</t>
  </si>
  <si>
    <t>670266</t>
  </si>
  <si>
    <t>TOWNSEN MEMORIAL HOSPITAL</t>
  </si>
  <si>
    <t>1475 FM 1960 BYPASS E</t>
  </si>
  <si>
    <t>(281) 369-9001</t>
  </si>
  <si>
    <t>670267</t>
  </si>
  <si>
    <t>THE WOODLANDS SPECIALTY HOSPITAL</t>
  </si>
  <si>
    <t>25440 INTERSTATE 45 NORTH</t>
  </si>
  <si>
    <t>SPRING</t>
  </si>
  <si>
    <t>77386</t>
  </si>
  <si>
    <t>(281) 602-8160</t>
  </si>
  <si>
    <t>670285</t>
  </si>
  <si>
    <t>ELITE HOSPITAL KINGWOOD</t>
  </si>
  <si>
    <t>23330 HIGHWAY 59 N</t>
  </si>
  <si>
    <t>(832) 777-6165</t>
  </si>
  <si>
    <t>670300</t>
  </si>
  <si>
    <t>METHODIST MIDLOTHIAN MEDICAL CENTER</t>
  </si>
  <si>
    <t>1201 E HIGHWAY 287</t>
  </si>
  <si>
    <t>MIDLOTHIAN</t>
  </si>
  <si>
    <t>76065</t>
  </si>
  <si>
    <t>(469) 846-2000</t>
  </si>
  <si>
    <t>670309</t>
  </si>
  <si>
    <t>TEXAS HEALTH HOSPITAL MANSFIELD</t>
  </si>
  <si>
    <t>2300 LONE STAR ROAD</t>
  </si>
  <si>
    <t>(682) 341-5000</t>
  </si>
  <si>
    <t>670314</t>
  </si>
  <si>
    <t>ST MICHAELS MEDICAL HOSPITAL LLC</t>
  </si>
  <si>
    <t>16000 SOUTHWEST FREEWAY, SUITE 100</t>
  </si>
  <si>
    <t>(281) 980-4357</t>
  </si>
  <si>
    <t>670320</t>
  </si>
  <si>
    <t>EAST HOUSTON MEDICAL CENTER</t>
  </si>
  <si>
    <t>15149 WALLISVILLE ROAD</t>
  </si>
  <si>
    <t>77049</t>
  </si>
  <si>
    <t>(281) 988-9800</t>
  </si>
  <si>
    <t>670321</t>
  </si>
  <si>
    <t>ADVANCED DALLAS HOSPITALS AND CLINICS</t>
  </si>
  <si>
    <t>7502 GREENVILLE AVENUE</t>
  </si>
  <si>
    <t>(214) 221-6000</t>
  </si>
  <si>
    <t>670322</t>
  </si>
  <si>
    <t>LEGENT SURGICAL HOSPITAL PLANO</t>
  </si>
  <si>
    <t>4100 MAPLESHADE LANE</t>
  </si>
  <si>
    <t>(972) 265-1050</t>
  </si>
  <si>
    <t>670326</t>
  </si>
  <si>
    <t>BRUSHY CREEK FAMILY HOSPITAL LLC</t>
  </si>
  <si>
    <t>230 DEER RIDGE DR</t>
  </si>
  <si>
    <t>(512) 766-1400</t>
  </si>
  <si>
    <t>670327</t>
  </si>
  <si>
    <t>EXCEPTIONAL COMMUNITY HOSPITAL LUBBOCK</t>
  </si>
  <si>
    <t>6401 SPUR 327</t>
  </si>
  <si>
    <t>79424</t>
  </si>
  <si>
    <t>(469) 341-7800</t>
  </si>
  <si>
    <t>670331</t>
  </si>
  <si>
    <t>MID COAST MEDICAL CENTER-TRINITY</t>
  </si>
  <si>
    <t>317 PROSPECT DRIVE</t>
  </si>
  <si>
    <t>TRINITY</t>
  </si>
  <si>
    <t>75862</t>
  </si>
  <si>
    <t>(936) 744-1256</t>
  </si>
  <si>
    <t>670333</t>
  </si>
  <si>
    <t>WESTOVER HILLS BAPTIST HOSPITAL</t>
  </si>
  <si>
    <t>3011 W LOOP 1604 N</t>
  </si>
  <si>
    <t>(726) 266-8100</t>
  </si>
  <si>
    <t>670335</t>
  </si>
  <si>
    <t>UT HEALTH SAN ANTONIO MULTISPECIALTY &amp; RESEARCH HO</t>
  </si>
  <si>
    <t>8311 EWING HALSELL DR</t>
  </si>
  <si>
    <t>(210) 450-7044</t>
  </si>
  <si>
    <t>670336</t>
  </si>
  <si>
    <t>BANDERA FAMILY HOSPITAL</t>
  </si>
  <si>
    <t>8703 BANDERA RD</t>
  </si>
  <si>
    <t>78250</t>
  </si>
  <si>
    <t>(210) 332-1730</t>
  </si>
  <si>
    <t>670340</t>
  </si>
  <si>
    <t>METHODIST CELINA MEDICAL CENTER</t>
  </si>
  <si>
    <t>1500 S DALLAS PARKWAY</t>
  </si>
  <si>
    <t>CELINA</t>
  </si>
  <si>
    <t>75009</t>
  </si>
  <si>
    <t>(214) 947-6452</t>
  </si>
  <si>
    <t>670342</t>
  </si>
  <si>
    <t>HOUSTON METHODIST CYPRESS HOSPITAL</t>
  </si>
  <si>
    <t>24500 NORTHWEST FWY</t>
  </si>
  <si>
    <t>CYPRESS</t>
  </si>
  <si>
    <t>77429</t>
  </si>
  <si>
    <t>(346) 618-1506</t>
  </si>
  <si>
    <t>670343</t>
  </si>
  <si>
    <t>BAYLOR SCOTT &amp; WHITE HOSPITAL BRENHAM</t>
  </si>
  <si>
    <t>700 MEDICAL PARKWAY</t>
  </si>
  <si>
    <t>BRENHAM</t>
  </si>
  <si>
    <t>77833</t>
  </si>
  <si>
    <t>WASHINGTON</t>
  </si>
  <si>
    <t>(979) 836-6173</t>
  </si>
  <si>
    <t>670345</t>
  </si>
  <si>
    <t>LEGENT NORTH HOUSTON SURGICAL HOSPITAL</t>
  </si>
  <si>
    <t>24429 TOMBALL PARKWAY</t>
  </si>
  <si>
    <t>(346) 766-0880</t>
  </si>
  <si>
    <t>670346</t>
  </si>
  <si>
    <t>BAYLOR SCOTT AND WHITE MEDICAL CENTER FRISCO AT PG</t>
  </si>
  <si>
    <t>7600 BETTER WAY</t>
  </si>
  <si>
    <t>(945) 339-0500</t>
  </si>
  <si>
    <t>Nurse_Communication_Pct</t>
  </si>
  <si>
    <t>Doctor_Communication_Pct</t>
  </si>
  <si>
    <t>Medicine_Communication_Pct</t>
  </si>
  <si>
    <t>Discharge_Info_Pct</t>
  </si>
  <si>
    <t>Hospital_Rating_9_10_Pct</t>
  </si>
  <si>
    <t>Definitely_Recommend_Pct</t>
  </si>
  <si>
    <t>Completed_Surveys_Raw</t>
  </si>
  <si>
    <t>Survey_Response_Rate_Pct</t>
  </si>
  <si>
    <t>HCAHPS_Start_Date</t>
  </si>
  <si>
    <t>HCAHPS_End_Date</t>
  </si>
  <si>
    <t>529</t>
  </si>
  <si>
    <t>750</t>
  </si>
  <si>
    <t>505</t>
  </si>
  <si>
    <t>1177</t>
  </si>
  <si>
    <t>1727</t>
  </si>
  <si>
    <t>1342</t>
  </si>
  <si>
    <t>2284</t>
  </si>
  <si>
    <t>882</t>
  </si>
  <si>
    <t>2423</t>
  </si>
  <si>
    <t>410</t>
  </si>
  <si>
    <t>387</t>
  </si>
  <si>
    <t>486</t>
  </si>
  <si>
    <t>696</t>
  </si>
  <si>
    <t>451</t>
  </si>
  <si>
    <t>261</t>
  </si>
  <si>
    <t>2414</t>
  </si>
  <si>
    <t>757</t>
  </si>
  <si>
    <t>269</t>
  </si>
  <si>
    <t>3232</t>
  </si>
  <si>
    <t>415</t>
  </si>
  <si>
    <t>1086</t>
  </si>
  <si>
    <t>1878</t>
  </si>
  <si>
    <t>112</t>
  </si>
  <si>
    <t>320</t>
  </si>
  <si>
    <t>3657</t>
  </si>
  <si>
    <t>830</t>
  </si>
  <si>
    <t>2120</t>
  </si>
  <si>
    <t>450</t>
  </si>
  <si>
    <t>753</t>
  </si>
  <si>
    <t>379</t>
  </si>
  <si>
    <t>131</t>
  </si>
  <si>
    <t>968</t>
  </si>
  <si>
    <t>487</t>
  </si>
  <si>
    <t>315</t>
  </si>
  <si>
    <t>150</t>
  </si>
  <si>
    <t>676</t>
  </si>
  <si>
    <t>1415</t>
  </si>
  <si>
    <t>514</t>
  </si>
  <si>
    <t>313</t>
  </si>
  <si>
    <t>1305</t>
  </si>
  <si>
    <t>75</t>
  </si>
  <si>
    <t>1465</t>
  </si>
  <si>
    <t>316</t>
  </si>
  <si>
    <t>409</t>
  </si>
  <si>
    <t>2232</t>
  </si>
  <si>
    <t>790</t>
  </si>
  <si>
    <t>3549</t>
  </si>
  <si>
    <t>1144</t>
  </si>
  <si>
    <t>93</t>
  </si>
  <si>
    <t>490</t>
  </si>
  <si>
    <t>347</t>
  </si>
  <si>
    <t>500</t>
  </si>
  <si>
    <t>98</t>
  </si>
  <si>
    <t>33</t>
  </si>
  <si>
    <t>62</t>
  </si>
  <si>
    <t>157</t>
  </si>
  <si>
    <t>147</t>
  </si>
  <si>
    <t>519</t>
  </si>
  <si>
    <t>1863</t>
  </si>
  <si>
    <t>129</t>
  </si>
  <si>
    <t>1125</t>
  </si>
  <si>
    <t>618</t>
  </si>
  <si>
    <t>649</t>
  </si>
  <si>
    <t>70</t>
  </si>
  <si>
    <t>509</t>
  </si>
  <si>
    <t>2306</t>
  </si>
  <si>
    <t>554</t>
  </si>
  <si>
    <t>361</t>
  </si>
  <si>
    <t>1324</t>
  </si>
  <si>
    <t>52</t>
  </si>
  <si>
    <t>357</t>
  </si>
  <si>
    <t>470</t>
  </si>
  <si>
    <t>34</t>
  </si>
  <si>
    <t>569</t>
  </si>
  <si>
    <t>524</t>
  </si>
  <si>
    <t>126</t>
  </si>
  <si>
    <t>597</t>
  </si>
  <si>
    <t>246</t>
  </si>
  <si>
    <t>1399</t>
  </si>
  <si>
    <t>318</t>
  </si>
  <si>
    <t>182</t>
  </si>
  <si>
    <t>774</t>
  </si>
  <si>
    <t>6495</t>
  </si>
  <si>
    <t>92</t>
  </si>
  <si>
    <t>124</t>
  </si>
  <si>
    <t>559</t>
  </si>
  <si>
    <t>225</t>
  </si>
  <si>
    <t>3795</t>
  </si>
  <si>
    <t>309</t>
  </si>
  <si>
    <t>145</t>
  </si>
  <si>
    <t>51</t>
  </si>
  <si>
    <t>66</t>
  </si>
  <si>
    <t>648</t>
  </si>
  <si>
    <t>210</t>
  </si>
  <si>
    <t>76</t>
  </si>
  <si>
    <t>1498</t>
  </si>
  <si>
    <t>1688</t>
  </si>
  <si>
    <t>206</t>
  </si>
  <si>
    <t>45</t>
  </si>
  <si>
    <t>32</t>
  </si>
  <si>
    <t>1746</t>
  </si>
  <si>
    <t>140</t>
  </si>
  <si>
    <t>164</t>
  </si>
  <si>
    <t>447</t>
  </si>
  <si>
    <t>141</t>
  </si>
  <si>
    <t>308</t>
  </si>
  <si>
    <t>1307</t>
  </si>
  <si>
    <t>1329</t>
  </si>
  <si>
    <t>123</t>
  </si>
  <si>
    <t>425</t>
  </si>
  <si>
    <t>69</t>
  </si>
  <si>
    <t>94</t>
  </si>
  <si>
    <t>405</t>
  </si>
  <si>
    <t>423</t>
  </si>
  <si>
    <t>737</t>
  </si>
  <si>
    <t>1020</t>
  </si>
  <si>
    <t>1105</t>
  </si>
  <si>
    <t>710</t>
  </si>
  <si>
    <t>959</t>
  </si>
  <si>
    <t>56</t>
  </si>
  <si>
    <t>435</t>
  </si>
  <si>
    <t>647</t>
  </si>
  <si>
    <t>1222</t>
  </si>
  <si>
    <t>1325</t>
  </si>
  <si>
    <t>54</t>
  </si>
  <si>
    <t>59</t>
  </si>
  <si>
    <t>605</t>
  </si>
  <si>
    <t>736</t>
  </si>
  <si>
    <t>697</t>
  </si>
  <si>
    <t>1254</t>
  </si>
  <si>
    <t>525</t>
  </si>
  <si>
    <t>588</t>
  </si>
  <si>
    <t>679</t>
  </si>
  <si>
    <t>731</t>
  </si>
  <si>
    <t>732</t>
  </si>
  <si>
    <t>1409</t>
  </si>
  <si>
    <t>533</t>
  </si>
  <si>
    <t>885</t>
  </si>
  <si>
    <t>440</t>
  </si>
  <si>
    <t>122</t>
  </si>
  <si>
    <t>109</t>
  </si>
  <si>
    <t>47</t>
  </si>
  <si>
    <t>719</t>
  </si>
  <si>
    <t>1165</t>
  </si>
  <si>
    <t>517</t>
  </si>
  <si>
    <t>539</t>
  </si>
  <si>
    <t>813</t>
  </si>
  <si>
    <t>243</t>
  </si>
  <si>
    <t>988</t>
  </si>
  <si>
    <t>198</t>
  </si>
  <si>
    <t>1361</t>
  </si>
  <si>
    <t>1103</t>
  </si>
  <si>
    <t>1539</t>
  </si>
  <si>
    <t>1284</t>
  </si>
  <si>
    <t>542</t>
  </si>
  <si>
    <t>366</t>
  </si>
  <si>
    <t>82</t>
  </si>
  <si>
    <t>977</t>
  </si>
  <si>
    <t>2929</t>
  </si>
  <si>
    <t>28</t>
  </si>
  <si>
    <t>169</t>
  </si>
  <si>
    <t>35</t>
  </si>
  <si>
    <t>193</t>
  </si>
  <si>
    <t>527</t>
  </si>
  <si>
    <t>2590</t>
  </si>
  <si>
    <t>654</t>
  </si>
  <si>
    <t>721</t>
  </si>
  <si>
    <t>602</t>
  </si>
  <si>
    <t>272</t>
  </si>
  <si>
    <t>416</t>
  </si>
  <si>
    <t>351</t>
  </si>
  <si>
    <t>39</t>
  </si>
  <si>
    <t>510</t>
  </si>
  <si>
    <t>407</t>
  </si>
  <si>
    <t>384</t>
  </si>
  <si>
    <t>3274</t>
  </si>
  <si>
    <t>133</t>
  </si>
  <si>
    <t>192</t>
  </si>
  <si>
    <t>260</t>
  </si>
  <si>
    <t>394</t>
  </si>
  <si>
    <t>311</t>
  </si>
  <si>
    <t>120</t>
  </si>
  <si>
    <t>430</t>
  </si>
  <si>
    <t>134</t>
  </si>
  <si>
    <t>734</t>
  </si>
  <si>
    <t>103</t>
  </si>
  <si>
    <t>37</t>
  </si>
  <si>
    <t>1482</t>
  </si>
  <si>
    <t>1917</t>
  </si>
  <si>
    <t>389</t>
  </si>
  <si>
    <t>1659</t>
  </si>
  <si>
    <t>427</t>
  </si>
  <si>
    <t>901</t>
  </si>
  <si>
    <t>385</t>
  </si>
  <si>
    <t>299</t>
  </si>
  <si>
    <t>83</t>
  </si>
  <si>
    <t>661</t>
  </si>
  <si>
    <t>322</t>
  </si>
  <si>
    <t>364</t>
  </si>
  <si>
    <t>79</t>
  </si>
  <si>
    <t>363</t>
  </si>
  <si>
    <t>862</t>
  </si>
  <si>
    <t>99</t>
  </si>
  <si>
    <t>278</t>
  </si>
  <si>
    <t>376</t>
  </si>
  <si>
    <t>2014</t>
  </si>
  <si>
    <t>250</t>
  </si>
  <si>
    <t>421</t>
  </si>
  <si>
    <t>1116</t>
  </si>
  <si>
    <t>1137</t>
  </si>
  <si>
    <t>44</t>
  </si>
  <si>
    <t>788</t>
  </si>
  <si>
    <t>60</t>
  </si>
  <si>
    <t>610</t>
  </si>
  <si>
    <t>293</t>
  </si>
  <si>
    <t>48</t>
  </si>
  <si>
    <t>420</t>
  </si>
  <si>
    <t>701</t>
  </si>
  <si>
    <t>2971</t>
  </si>
  <si>
    <t>90</t>
  </si>
  <si>
    <t>95</t>
  </si>
  <si>
    <t>42</t>
  </si>
  <si>
    <t>702</t>
  </si>
  <si>
    <t>115</t>
  </si>
  <si>
    <t>53</t>
  </si>
  <si>
    <t>343</t>
  </si>
  <si>
    <t>187</t>
  </si>
  <si>
    <t>Readmission_Rate_Pct</t>
  </si>
  <si>
    <t>Readmission_Comparison</t>
  </si>
  <si>
    <t>Readmission_Denominator</t>
  </si>
  <si>
    <t>Readmission_Lower_Estimate</t>
  </si>
  <si>
    <t>Readmission_Higher_Estimate</t>
  </si>
  <si>
    <t>Readmission_Footnote</t>
  </si>
  <si>
    <t>Readmission_Start_Date</t>
  </si>
  <si>
    <t>Readmission_End_Date</t>
  </si>
  <si>
    <t>No Different</t>
  </si>
  <si>
    <t>Better</t>
  </si>
  <si>
    <t>Worse</t>
  </si>
  <si>
    <t>Overall_Rating_Available</t>
  </si>
  <si>
    <t>HCAHPS_Available</t>
  </si>
  <si>
    <t>Readmission_Available</t>
  </si>
  <si>
    <t>Median Definitely Recommend</t>
  </si>
  <si>
    <t>Recommendation Q1</t>
  </si>
  <si>
    <t>Recommendation Q3</t>
  </si>
  <si>
    <t>Median Readmission Rate</t>
  </si>
  <si>
    <t>Mean Overall Rating</t>
  </si>
  <si>
    <t>Median Overall Rating</t>
  </si>
  <si>
    <t>Rating_Group</t>
  </si>
  <si>
    <t>Low_Rating_Flag</t>
  </si>
  <si>
    <t>Below_TX_Median_Recommend_Flag</t>
  </si>
  <si>
    <t>Worse_Readmission_Flag</t>
  </si>
  <si>
    <t>Signals_Available_Count</t>
  </si>
  <si>
    <t>Screening_Signal_Count</t>
  </si>
  <si>
    <t>Priority_Tier</t>
  </si>
  <si>
    <t>Recommendation_Quartile</t>
  </si>
  <si>
    <t>Recommend_vs_TX_Median</t>
  </si>
  <si>
    <t>Readmission_vs_TX_Median</t>
  </si>
  <si>
    <t>Hospitals with overall rating</t>
  </si>
  <si>
    <t>Mean overall rating</t>
  </si>
  <si>
    <t>Median overall rating</t>
  </si>
  <si>
    <t>HCAHPS coverage</t>
  </si>
  <si>
    <t>Readmission coverage</t>
  </si>
  <si>
    <t>Median readmission rate</t>
  </si>
  <si>
    <t>Percentage worse than national</t>
  </si>
  <si>
    <t>Hospitals with complete screening data</t>
  </si>
  <si>
    <t>Priority 1 hospitals</t>
  </si>
  <si>
    <t>Priority 2 hospitals</t>
  </si>
  <si>
    <t>Monitor hospitals</t>
  </si>
  <si>
    <t>No flagged signals</t>
  </si>
  <si>
    <t>Metric</t>
  </si>
  <si>
    <t>Valid N</t>
  </si>
  <si>
    <t>Missing N</t>
  </si>
  <si>
    <t>Mean</t>
  </si>
  <si>
    <t>Median</t>
  </si>
  <si>
    <t>Minimum</t>
  </si>
  <si>
    <t>Q1</t>
  </si>
  <si>
    <t>Q3</t>
  </si>
  <si>
    <t>Maximum</t>
  </si>
  <si>
    <t>Population Standard Deviation</t>
  </si>
  <si>
    <t>Overall Rating</t>
  </si>
  <si>
    <t>Nurse Communication</t>
  </si>
  <si>
    <t>Doctor Communication</t>
  </si>
  <si>
    <t>Medicine Communication</t>
  </si>
  <si>
    <t>Discharge Information</t>
  </si>
  <si>
    <t>Definitely Recommend</t>
  </si>
  <si>
    <t>Readmission Rate</t>
  </si>
  <si>
    <t>Survey Response Rate</t>
  </si>
  <si>
    <t>Row Labels</t>
  </si>
  <si>
    <t>Grand Total</t>
  </si>
  <si>
    <t>Count of Facility_ID</t>
  </si>
  <si>
    <t>TRUE</t>
  </si>
  <si>
    <t>Hospital Count</t>
  </si>
  <si>
    <t>Percent of Rated Hospitals</t>
  </si>
  <si>
    <t>Average of Definitely_Recommend_Pct</t>
  </si>
  <si>
    <t>Average of Hospital_Rating_9_10_Pct</t>
  </si>
  <si>
    <t>Average of Nurse_Communication_Pct</t>
  </si>
  <si>
    <t>Average of Doctor_Communication_Pct</t>
  </si>
  <si>
    <t>Average of Medicine_Communication_Pct</t>
  </si>
  <si>
    <t>Average of Discharge_Info_Pct</t>
  </si>
  <si>
    <t>Percentage of Reportable Hospitals</t>
  </si>
  <si>
    <t>Q1 - Lowest</t>
  </si>
  <si>
    <t>Q2</t>
  </si>
  <si>
    <t>Q4 - Highest</t>
  </si>
  <si>
    <t>Average of Readmission_Rate_Pct</t>
  </si>
  <si>
    <t>Average of Worse_Readmission_Flag</t>
  </si>
  <si>
    <t>Column Labels</t>
  </si>
  <si>
    <t>Limited data</t>
  </si>
  <si>
    <t>Monitor</t>
  </si>
  <si>
    <t>Priority 1</t>
  </si>
  <si>
    <t>Priority 2</t>
  </si>
  <si>
    <t>Relationship</t>
  </si>
  <si>
    <t>Paired N</t>
  </si>
  <si>
    <t>Correlation</t>
  </si>
  <si>
    <t>Interpretation</t>
  </si>
  <si>
    <t>Definitely Recommend vs Readmission Rate</t>
  </si>
  <si>
    <t>Overall Rating vs Definitely Recommend</t>
  </si>
  <si>
    <t>Overall Rating vs Readmission Rate</t>
  </si>
  <si>
    <t>Nurse Communication vs Readmission Rate</t>
  </si>
  <si>
    <t>Doctor Communication vs Readmission Rate</t>
  </si>
  <si>
    <t>Medicine Communication vs Readmission Rate</t>
  </si>
  <si>
    <t>Discharge Information vs Readmission Rate</t>
  </si>
  <si>
    <t>Overall Rating vs Nurse Communication</t>
  </si>
  <si>
    <t>Overall Rating vs Doctor Communication</t>
  </si>
  <si>
    <t>Overall Rating vs Medicine Communication</t>
  </si>
  <si>
    <t>Overall Rating vs Discharge Information</t>
  </si>
  <si>
    <t>Hospitals Meeting Multiple Screening Conditions</t>
  </si>
  <si>
    <t>Facility ID</t>
  </si>
  <si>
    <t>Facility Name</t>
  </si>
  <si>
    <t>Ownership</t>
  </si>
  <si>
    <t>Readmission Comparison</t>
  </si>
  <si>
    <t>Screening Signal Count</t>
  </si>
  <si>
    <t>Priority Tier</t>
  </si>
  <si>
    <t>Hospitals with Limited Screening Data</t>
  </si>
  <si>
    <t>Overall Rating Available</t>
  </si>
  <si>
    <t>HCAHPS Available</t>
  </si>
  <si>
    <t>Readmission Available</t>
  </si>
  <si>
    <t>Signals Available</t>
  </si>
  <si>
    <t>Field</t>
  </si>
  <si>
    <t>Definition</t>
  </si>
  <si>
    <t>Purpose</t>
  </si>
  <si>
    <t>1 when Definitely_Recommend_Pct is below the Texas median; 0 otherwise; blank when unavailable.</t>
  </si>
  <si>
    <t>1 when Readmission_Comparison = "Worse"; 0 for other reportable comparison categories; blank when unavailable.</t>
  </si>
  <si>
    <t>Counts how many of the three screening flags contain usable values.</t>
  </si>
  <si>
    <t>Sum of the three screening flags.</t>
  </si>
  <si>
    <t>Fewer than 3 available signals = Limited data; 3 flags = High priority; 2 = Moderate priority; 1 = Monitor; 0 = No flagged signals.</t>
  </si>
  <si>
    <t>Identifies hospitals with a low CMS Overall Rating for screening.</t>
  </si>
  <si>
    <t>Converts CMS's readmission comparison into a numeric screening indicator.</t>
  </si>
  <si>
    <t>Distinguishes complete screening data from limited data.</t>
  </si>
  <si>
    <t>Counts how many screening concerns a hospital triggers; used for prioritization, not as a validated quality score.</t>
  </si>
  <si>
    <t>Provides an interpretable screening classification.</t>
  </si>
  <si>
    <t>Identifies hospitals with below median patient recommendation performance.</t>
  </si>
  <si>
    <t>Supports comparison of readmission performance across patient recommendation quartiles.</t>
  </si>
  <si>
    <t>Valid N/Missing N</t>
  </si>
  <si>
    <t>Valid N counts hospitals with a usable numeric value for a measure; Missing N counts hospitals without one.</t>
  </si>
  <si>
    <t>Shows how much usable data supports each descriptive statistic.</t>
  </si>
  <si>
    <t>Coverage %</t>
  </si>
  <si>
    <t>Number of hospitals with an available value divided by the total number of in scope hospitals.</t>
  </si>
  <si>
    <t>Shows how completely each measure covers the analytical hospital population.</t>
  </si>
  <si>
    <t>HCAHPS Statewide Summaries</t>
  </si>
  <si>
    <t>Means, medians, and other descriptive statistics are calculated at the hospital level; hospitals are not weighted by completed survey volume.</t>
  </si>
  <si>
    <t>Quartiles</t>
  </si>
  <si>
    <t>Q1 = 25th percentile, Median/Q2 = 50th percentile, and Q3 = 75th percentile.</t>
  </si>
  <si>
    <t>Describes the distribution and identifies lower, middle, and upper portions of hospital performance.</t>
  </si>
  <si>
    <t>Standard Deviation</t>
  </si>
  <si>
    <t>Population standard deviation (STDEV.P) is calculated across available hospital-level values.</t>
  </si>
  <si>
    <t>Describes how widely hospital performance varies around the statewide mean.</t>
  </si>
  <si>
    <t>1 when Overall_Rating is 2 or lower; 0 otherwise; blank when rating is unavailable.</t>
  </si>
  <si>
    <t>Shows the share of hospitals classified as Better, No Different, or Worse among hospitals with a reportable comparison.</t>
  </si>
  <si>
    <t>Counts hospitals that have valid values for both measures included in a correlation.</t>
  </si>
  <si>
    <t>Shows how many hospitals actually contribute to each correlation result.</t>
  </si>
  <si>
    <t>Ensures that each hospital contributes equally to statewide hospital level summaries.</t>
  </si>
  <si>
    <t>Pearson correlation is calculated using only hospitals with both measures available.</t>
  </si>
  <si>
    <t>Measures the direction and strength of a linear association; correlation does not establish causation.</t>
  </si>
  <si>
    <t>All six selected HCAHPS measures have exactly the same valid N of 256, so none is less complete than the others.</t>
  </si>
  <si>
    <t>Average readmission declines from Q1 to Q4, but not perfectly. It raises slightly from 14.75% in Q3 to 14.77% in Q4. Percentage classified Worse declines, but it is not monotonic either because Q4 (1.82%) is slightly above Q3 (0%). The direction is broadly favorable as recommendation scores increase, but Q3 performs marginally better than Q4 on both average readmission and the Worse share.</t>
  </si>
  <si>
    <t>Quartile counts are reasonably similar but not identical. The unequal sizes are expected because hospitals with tied recommendation scores fall on the same side of the quartile cutoffs.</t>
  </si>
  <si>
    <t>The strongest negative relationship is Overall Rating vs Readmission Rate. Higher overall ratings tend to coexist with lower readmission rates. Again, readmission is part of the overall CMS quality framework, so this relationship should not be treated as independent confirmation.</t>
  </si>
  <si>
    <t>The weakest relationship is Nurse Communication vs Readmission Rate. It is still negative, but weak.</t>
  </si>
  <si>
    <t>The three priority 1 hospitals are HCA Houston Healthcare Conroe, Medical City Arlington, and Medical City Fort Worth.</t>
  </si>
  <si>
    <t>These unusual hospital profiles confirm that performance is multidimensional:</t>
  </si>
  <si>
    <t>There are hospitals rated four or five stars whose Definitely Recommend result is below the Texas median of 71%.</t>
  </si>
  <si>
    <t>KPI</t>
  </si>
  <si>
    <t>Display</t>
  </si>
  <si>
    <t>Hospital Ownership</t>
  </si>
  <si>
    <t>Hospital Rating 9-10</t>
  </si>
  <si>
    <t>Note: Small ownership categories should be interpreted cautiously.</t>
  </si>
  <si>
    <t>Percent of Reportable Hospitals</t>
  </si>
  <si>
    <t>Priority 1 + 2</t>
  </si>
  <si>
    <t>Priority 1 + 2 %</t>
  </si>
  <si>
    <t>Key finding: Proprietary hospitals showed the greatest concentration of screening concerns: 27 of 113 (23.9%) were classified Priority 1 or Priority 2, including all three Priority 1 hospitals. This pattern identifies a group for closer review but does not establish that ownership itself is responsible for the observed performance differences.</t>
  </si>
  <si>
    <t>Hospital</t>
  </si>
  <si>
    <t>Rating</t>
  </si>
  <si>
    <t>CMS Comparison</t>
  </si>
  <si>
    <t>Executive KPI Summary</t>
  </si>
  <si>
    <t>Texas Acute Care Hospital Quality Analysis</t>
  </si>
  <si>
    <t>CMS overall ratings, HCAHPS patient experience, and hospital wide readmissions</t>
  </si>
  <si>
    <t>Texas Benchmark Values</t>
  </si>
  <si>
    <t>Total Texas acute care hospitals</t>
  </si>
  <si>
    <t>Overall rating coverage</t>
  </si>
  <si>
    <t>Low rated hospitals</t>
  </si>
  <si>
    <t>High rated hospitals</t>
  </si>
  <si>
    <t>Median definitely recommend score</t>
  </si>
  <si>
    <t>Limited data hospitals</t>
  </si>
  <si>
    <t>Descriptive Statistics</t>
  </si>
  <si>
    <t>Relationship Analysis</t>
  </si>
  <si>
    <t>Priority Hospital Output</t>
  </si>
  <si>
    <t>Formula Documentation</t>
  </si>
  <si>
    <t>Chart 1: Overall Hospital Rating Distribution</t>
  </si>
  <si>
    <t>Chart 3: Patient Experience by Ownership</t>
  </si>
  <si>
    <t>Chart 4: Readmission Comparison Distribution</t>
  </si>
  <si>
    <t>Texas Hospital Quality: Key Findings</t>
  </si>
  <si>
    <t>Texas acute care hospitals</t>
  </si>
  <si>
    <t>Hospitals with &gt;=2 screening signals</t>
  </si>
  <si>
    <t>Priority 1 Screening Hospitals: 3 Hospitals Met All Three Screening Conditions</t>
  </si>
  <si>
    <t>Most patient experience means and medians are close, suggesting no extreme statewide skew. The survey response rate shows the most noticeable difference, with a 17.9% mean versus a 16% median.</t>
  </si>
  <si>
    <t>Finding: Missingness is concentrated especially in the overall rating rather than in HCAHPS or readmission reporting. This materially reduces the number of hospitals that can be assigned a complete screening classification.</t>
  </si>
  <si>
    <t>Finding: A relatively small group of hospitals with higher survey response rates appears to pull the mean upward. The statewide HCAHPS central tendencies are otherwise fairly stable.</t>
  </si>
  <si>
    <t>Percentage rated 4-5 stars</t>
  </si>
  <si>
    <t>Percentage rated 1-2 stars</t>
  </si>
  <si>
    <t>Median Hospital Rating 9-10</t>
  </si>
  <si>
    <t>Hospital Rating 9-10 vs Readmission Rate</t>
  </si>
  <si>
    <t xml:space="preserve">Using the three screening inputs (overall rating, definitely recommend percentage, and readmission comparison), 199 of 285 hospitals have all three available. Therefore, 86 hospitals, or 30.2% of the population, cannot be fully evaluated by the screening framework </t>
  </si>
  <si>
    <t>Key finding: Discharge Information had the strongest statewide median at 86%, while Medicine Communication was lowest at 61%. Patient recommendation also varied substantially across hospitals, indicating meaningful differences in how patients perceive their overall hospital experience.</t>
  </si>
  <si>
    <t>Key finding: Four stars was the most common rating, and 47% of rated Texas hospitals received four or five stars. Only 21% received one or two stars, while most hospitals clustered in the three and four star categories.</t>
  </si>
  <si>
    <t>Key finding: CMS classified 93.3% of reportable Texas hospitals as No Different from the national readmission result. Only 10 hospitals were Worse and 7 were Better, so the comparison category distinguishes a relatively small number of facilities.</t>
  </si>
  <si>
    <t>Key finding: Among ownership groups with meaningful sample sizes, physician owned hospitals had the strongest patient experience averages across most HCAHPS measures, while proprietary hospitals had the lowest averages across all six. These are descriptive differences and should not be interpreted as effects caused by ownership.</t>
  </si>
  <si>
    <t>Screening conditions: 1-2 star overall rating, Definitely Recommend below the Texas median of 71%, and CMS readmission comparison = Worse.</t>
  </si>
  <si>
    <t>Chart 6: Priority 1-2 Screening Results by Ownership</t>
  </si>
  <si>
    <t>The strongest positive relationship is Overall Rating vs Hospital Rating 9-10. This indicates that higher overall CMS ratings tend to occur alongside higher percentages of patients rating their hospital 9 or 10. However, patient experience contributes to the CMS overall rating methodology, so these measures are not fully independent.</t>
  </si>
  <si>
    <t>The moderate negative relationship of Definitely Recommend vs Readmission Rate connects a patient experience outcome directly with hospital wide readmission performance. It is also supported by the quartile analysis.</t>
  </si>
  <si>
    <t>Key finding: Patient recommendation had the strongest inverse relationship with readmission among the six HCAHPS measures (r = -0.301, N=250). The association is meaningful enough to visualize, but it is moderate and does not imply that patient experience causes readmission outcomes.</t>
  </si>
  <si>
    <t>There are another 34 Priority 2 hospitals, giving 37 hospitals with at least two transparent screening signals (18.6% of hospitals with complete screening data).</t>
  </si>
  <si>
    <t>Key finding: Thirty seven hospitals met at least two screening conditions, including three that met all three. These hospitals represent a focused group for additional review rather than a definitive ranking of hospital quality.</t>
  </si>
  <si>
    <t>The single largest reason for incomplete screening is the absence of an overall rating despite HCAHPS and readmission results. 51 hospitals fit that pattern.</t>
  </si>
  <si>
    <t>Finding: Thirty percent of hospitals lacked at least one screening input, most commonly the overall CMS rating. Limited data should therefore be shown separately from hospitals with complete data and no flagged signals.</t>
  </si>
  <si>
    <t>Finding: A strong overall rating does not guarantee strong patient recommendation.</t>
  </si>
  <si>
    <t>There are hospitals rated four or five stars that CMS classifies as Worse for the hospital wide readmission comparison.</t>
  </si>
  <si>
    <t>Finding: A hospital can perform strongly enough across the broader CMS framework to receive a high overall rating while still showing a specific readmission concern.</t>
  </si>
  <si>
    <t>There are hospitals rated one or two stars whose recommendation percentage is at or above 71%. One striking example is Nocona General Hospital: one star overall rating but an 88% Definitely Recommend score.</t>
  </si>
  <si>
    <t>Finding: Patient perception can be favorable even when the broader quality rating is low.</t>
  </si>
  <si>
    <t>Only one hospital fits a below median recommendation but Better readmission performance combination: Covenant Medical Center, with a 70% recommendation score and a Better readmission comparison.</t>
  </si>
  <si>
    <t>Key finding: Hospital performance is not one dimensional: dozens of hospitals combine a strong result in one domain with a weaker result in another. This supports using multiple transparent measures rather than relying on the overall CMS rating alone.</t>
  </si>
  <si>
    <t>Pivot Table 1:</t>
  </si>
  <si>
    <t>Pivot Table 2:</t>
  </si>
  <si>
    <t>Pivot Table 3:</t>
  </si>
  <si>
    <t>Pivot Table 4:</t>
  </si>
  <si>
    <t>Pivot Table 5:</t>
  </si>
  <si>
    <t>Key finding: Four stars was the most common overall rating, and 47% of rated Texas hospitals received four or five stars. Only 21% received one or two stars, while most hospitals clustered in the three and four star categories.</t>
  </si>
  <si>
    <t>A hospital lacking a complete screening classification should not be confused with one showing no performance concerns. In many cases, the limitation is reporting availability rather than favorable performance.</t>
  </si>
  <si>
    <t>Overall Rating vs Hospital Rating 9-10</t>
  </si>
  <si>
    <t>Places Definitely_Recommend_Pct into Q1-Q4 using the Texas Q1, median, and Q3 cutoffs.</t>
  </si>
  <si>
    <t>The group with the highest recommendation also has the highest Rating 9-10 result. Government-State is highest on both measures overall, but N=3. Among groups with more meaningful size, physician owned hospitals are highest on both (Definitely Recommend: 77.8% Hospital Rating 9-10: 77.9%).</t>
  </si>
  <si>
    <t>Key finding: Among ownership groups with meaningful sample sizes (at least 10 hospitals), physician owned hospitals had the strongest patient experience averages across most HCAHPS measures, while proprietary hospitals had the lowest averages across all six. These are descriptive differences and should not be interpreted as effects caused by ownership.</t>
  </si>
  <si>
    <t>Government hospital districts have the highest discharge information average.</t>
  </si>
  <si>
    <t>Smaller ownership groups show some extreme averages, but their small hospital counts (less than 10 hospitals) make those results less stable. Their high values should be treated as descriptive observations rather than evidence of a general ownership pattern.</t>
  </si>
  <si>
    <t>There are 285 hospitals total and 254 with the readmission result, so 31 hospitals lack reportable readmission data, or approximately 10.9% of the population.</t>
  </si>
  <si>
    <t>Key finding: CMS classified 93.3% of reportable Texas hospitals as “No Different” from the national readmission result. Only 10 hospitals were worse and 7 were better, so the comparison category distinguishes a relatively small number of facilities.</t>
  </si>
  <si>
    <t>Key finding: Hospitals in the lowest recommendation quartile averaged a 15.15% readmission rate versus 14.77% in the highest quartile. The overall pattern suggests a modest inverse association between patient recommendation and readmission, not a causal relationship.</t>
  </si>
  <si>
    <t>Finding: The proprietary concentration is not merely the result of that category having the largest number of hospitals. It remains the highest category after accounting for ownership group size.</t>
  </si>
  <si>
    <t>Proprietary hospitals have the highest proportion of Priority 1 or Priority 2 hospitals at 23.9%, followed by Government - Hospital District or Authority at 12.1%.</t>
  </si>
  <si>
    <t>Readmission category counts are divided only by hospitals with a non-blank Readmission_Comparison.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</si>
</sst>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
    <numFmt numFmtId="167" formatCode="0.000"/>
    <numFmt numFmtId="168" formatCode="0.00\%"/>
  </numFmts>
  <fonts count="5">
    <font>
      <sz val="11"/>
      <color theme="1"/>
      <name val="Aptos Narrow"/>
      <family val="2"/>
      <scheme val="minor"/>
    </font>
    <font>
      <sz val="10"/>
      <color theme="1"/>
      <name val="Arial Unicode MS"/>
    </font>
    <font>
      <sz val="11"/>
      <color theme="1"/>
      <name val="Aptos Narrow"/>
      <family val="2"/>
      <scheme val="minor"/>
    </font>
    <font>
      <b/>
      <sz val="11"/>
      <color theme="1"/>
      <name val="Aptos Narrow"/>
      <family val="2"/>
      <scheme val="minor"/>
    </font>
    <font>
      <b/>
      <sz val="10"/>
      <color theme="1"/>
      <name val="Arial Unicode MS"/>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31">
    <xf numFmtId="0" fontId="0" fillId="0" borderId="0" xfId="0"/>
    <xf numFmtId="14" fontId="0" fillId="0" borderId="0" xfId="0" applyNumberFormat="1"/>
    <xf numFmtId="164" fontId="0" fillId="0" borderId="0" xfId="0" applyNumberFormat="1"/>
    <xf numFmtId="0" fontId="0" fillId="0" borderId="0" xfId="0" pivotButton="1"/>
    <xf numFmtId="0" fontId="0" fillId="0" borderId="1" xfId="0" applyBorder="1"/>
    <xf numFmtId="166" fontId="0" fillId="0" borderId="1" xfId="1" applyNumberFormat="1" applyFont="1" applyBorder="1"/>
    <xf numFmtId="164" fontId="0" fillId="0" borderId="1" xfId="0" applyNumberFormat="1" applyBorder="1"/>
    <xf numFmtId="0" fontId="3" fillId="0" borderId="0" xfId="0" applyFont="1"/>
    <xf numFmtId="9" fontId="0" fillId="0" borderId="1" xfId="1" applyFont="1" applyBorder="1"/>
    <xf numFmtId="0" fontId="0" fillId="0" borderId="1" xfId="0" pivotButton="1" applyBorder="1"/>
    <xf numFmtId="0" fontId="0" fillId="0" borderId="1" xfId="0" applyBorder="1" applyAlignment="1">
      <alignment horizontal="left"/>
    </xf>
    <xf numFmtId="165" fontId="0" fillId="0" borderId="1" xfId="0" applyNumberFormat="1" applyBorder="1"/>
    <xf numFmtId="10" fontId="0" fillId="0" borderId="1" xfId="0" applyNumberFormat="1" applyBorder="1"/>
    <xf numFmtId="0" fontId="0" fillId="0" borderId="2" xfId="0" applyBorder="1" applyAlignment="1">
      <alignment horizontal="left"/>
    </xf>
    <xf numFmtId="0" fontId="0" fillId="0" borderId="3" xfId="0" applyBorder="1"/>
    <xf numFmtId="0" fontId="0" fillId="0" borderId="4" xfId="0" applyBorder="1"/>
    <xf numFmtId="0" fontId="0" fillId="0" borderId="5" xfId="0" applyBorder="1"/>
    <xf numFmtId="165" fontId="0" fillId="0" borderId="6" xfId="0" applyNumberFormat="1" applyBorder="1"/>
    <xf numFmtId="0" fontId="0" fillId="0" borderId="7" xfId="0" applyBorder="1"/>
    <xf numFmtId="0" fontId="0" fillId="0" borderId="8" xfId="0" applyBorder="1"/>
    <xf numFmtId="165" fontId="0" fillId="0" borderId="9" xfId="0" applyNumberFormat="1" applyBorder="1"/>
    <xf numFmtId="9" fontId="0" fillId="0" borderId="1" xfId="0" applyNumberFormat="1" applyBorder="1"/>
    <xf numFmtId="0" fontId="3" fillId="0" borderId="0" xfId="0" applyFont="1" applyAlignment="1">
      <alignment horizontal="left"/>
    </xf>
    <xf numFmtId="164" fontId="0" fillId="0" borderId="1" xfId="1" applyNumberFormat="1" applyFont="1" applyBorder="1"/>
    <xf numFmtId="167" fontId="0" fillId="0" borderId="1" xfId="0" applyNumberFormat="1" applyBorder="1"/>
    <xf numFmtId="0" fontId="0" fillId="0" borderId="0" xfId="0" applyAlignment="1">
      <alignment wrapText="1"/>
    </xf>
    <xf numFmtId="168" fontId="0" fillId="0" borderId="1" xfId="0" applyNumberFormat="1" applyBorder="1"/>
    <xf numFmtId="0" fontId="4" fillId="0" borderId="0" xfId="0" applyFont="1" applyAlignment="1">
      <alignment vertical="center" wrapText="1"/>
    </xf>
    <xf numFmtId="0" fontId="0" fillId="0" borderId="1" xfId="0" applyBorder="1" applyAlignment="1">
      <alignment wrapText="1"/>
    </xf>
    <xf numFmtId="0" fontId="1" fillId="0" borderId="1" xfId="0" applyFont="1" applyBorder="1" applyAlignment="1">
      <alignment wrapText="1"/>
    </xf>
    <xf numFmtId="0" fontId="0" fillId="0" borderId="0" xfId="0" applyAlignment="1">
      <alignment wrapText="1"/>
    </xf>
  </cellXfs>
  <cellStyles count="2">
    <cellStyle name="Normal" xfId="0" builtinId="0"/>
    <cellStyle name="Percent" xfId="1" builtinId="5"/>
  </cellStyles>
  <dxfs count="135">
    <dxf>
      <numFmt numFmtId="165" formatCode="0.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168"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wrapText="1"/>
    </dxf>
    <dxf>
      <alignment wrapText="0"/>
    </dxf>
    <dxf>
      <alignment wrapText="1"/>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64" formatCode="0.0\%"/>
    </dxf>
    <dxf>
      <numFmt numFmtId="164" formatCode="0.0\%"/>
    </dxf>
    <dxf>
      <numFmt numFmtId="0" formatCode="General"/>
    </dxf>
    <dxf>
      <numFmt numFmtId="164" formatCode="0.0\%"/>
    </dxf>
    <dxf>
      <numFmt numFmtId="19" formatCode="m/d/yyyy"/>
    </dxf>
    <dxf>
      <numFmt numFmtId="19" formatCode="m/d/yyyy"/>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64" formatCode="0.0\%"/>
    </dxf>
    <dxf>
      <numFmt numFmtId="164" formatCode="0.0\%"/>
    </dxf>
    <dxf>
      <numFmt numFmtId="0" formatCode="General"/>
    </dxf>
    <dxf>
      <numFmt numFmtId="164" formatCode="0.0\%"/>
    </dxf>
    <dxf>
      <numFmt numFmtId="0" formatCode="General"/>
    </dxf>
    <dxf>
      <numFmt numFmtId="19" formatCode="m/d/yyyy"/>
    </dxf>
    <dxf>
      <numFmt numFmtId="19" formatCode="m/d/yyyy"/>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Medicine Communication Trails Other Patient Experience Measures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analysis!$A$29:$A$34</c:f>
              <c:strCache>
                <c:ptCount val="6"/>
                <c:pt idx="0">
                  <c:v>Nurse Communication</c:v>
                </c:pt>
                <c:pt idx="1">
                  <c:v>Doctor Communication</c:v>
                </c:pt>
                <c:pt idx="2">
                  <c:v>Medicine Communication</c:v>
                </c:pt>
                <c:pt idx="3">
                  <c:v>Discharge Information</c:v>
                </c:pt>
                <c:pt idx="4">
                  <c:v>Hospital Rating 9-10</c:v>
                </c:pt>
                <c:pt idx="5">
                  <c:v>Definitely Recommend</c:v>
                </c:pt>
              </c:strCache>
            </c:strRef>
          </c:cat>
          <c:val>
            <c:numRef>
              <c:f>analysis!$E$29:$E$34</c:f>
              <c:numCache>
                <c:formatCode>0.0\%</c:formatCode>
                <c:ptCount val="6"/>
                <c:pt idx="0">
                  <c:v>78</c:v>
                </c:pt>
                <c:pt idx="1">
                  <c:v>78</c:v>
                </c:pt>
                <c:pt idx="2">
                  <c:v>61</c:v>
                </c:pt>
                <c:pt idx="3">
                  <c:v>86</c:v>
                </c:pt>
                <c:pt idx="4">
                  <c:v>72</c:v>
                </c:pt>
                <c:pt idx="5">
                  <c:v>71</c:v>
                </c:pt>
              </c:numCache>
            </c:numRef>
          </c:val>
          <c:extLst>
            <c:ext xmlns:c16="http://schemas.microsoft.com/office/drawing/2014/chart" uri="{C3380CC4-5D6E-409C-BE32-E72D297353CC}">
              <c16:uniqueId val="{00000000-07FF-4FF2-B042-AD4B037AC48C}"/>
            </c:ext>
          </c:extLst>
        </c:ser>
        <c:dLbls>
          <c:showLegendKey val="0"/>
          <c:showVal val="0"/>
          <c:showCatName val="0"/>
          <c:showSerName val="0"/>
          <c:showPercent val="0"/>
          <c:showBubbleSize val="0"/>
        </c:dLbls>
        <c:gapWidth val="182"/>
        <c:axId val="380673440"/>
        <c:axId val="380668640"/>
      </c:barChart>
      <c:catAx>
        <c:axId val="380673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HCAHPS Measure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68640"/>
        <c:crosses val="autoZero"/>
        <c:auto val="1"/>
        <c:lblAlgn val="ctr"/>
        <c:lblOffset val="100"/>
        <c:noMultiLvlLbl val="0"/>
      </c:catAx>
      <c:valAx>
        <c:axId val="380668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Statewid Median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7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[cms-tx-hospital-quality-excel.xlsx]dashboard-support!PivotTable1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Most Rated Texas Hospitals Received 3-4 Stars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'dashboard-support'!$B$4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'dashboard-support'!$A$5:$A$10</c:f>
              <c:strCache>
                <c:ptCount val="5"/>
                <c:pt idx="0">
                  <c:v>1</c:v>
                </c:pt>
                <c:pt idx="1">
                  <c:v>2</c:v>
                </c:pt>
                <c:pt idx="2">
                  <c:v>3</c:v>
                </c:pt>
                <c:pt idx="3">
                  <c:v>4</c:v>
                </c:pt>
                <c:pt idx="4">
                  <c:v>5</c:v>
                </c:pt>
              </c:strCache>
            </c:strRef>
          </c:cat>
          <c:val>
            <c:numRef>
              <c:f>'dashboard-support'!$B$5:$B$10</c:f>
              <c:numCache>
                <c:formatCode>General</c:formatCode>
                <c:ptCount val="5"/>
                <c:pt idx="0">
                  <c:v>6</c:v>
                </c:pt>
                <c:pt idx="1">
                  <c:v>36</c:v>
                </c:pt>
                <c:pt idx="2">
                  <c:v>64</c:v>
                </c:pt>
                <c:pt idx="3">
                  <c:v>69</c:v>
                </c:pt>
                <c:pt idx="4">
                  <c:v>25</c:v>
                </c:pt>
              </c:numCache>
            </c:numRef>
          </c:val>
          <c:extLst>
            <c:ext xmlns:c16="http://schemas.microsoft.com/office/drawing/2014/chart" uri="{C3380CC4-5D6E-409C-BE32-E72D297353CC}">
              <c16:uniqueId val="{00000000-1EB6-43FD-A3AC-50AE0D9CF051}"/>
            </c:ext>
          </c:extLst>
        </c:ser>
        <c:dLbls>
          <c:showLegendKey val="0"/>
          <c:showVal val="0"/>
          <c:showCatName val="0"/>
          <c:showSerName val="0"/>
          <c:showPercent val="0"/>
          <c:showBubbleSize val="0"/>
        </c:dLbls>
        <c:gapWidth val="219"/>
        <c:overlap val="-27"/>
        <c:axId val="2051449664"/>
        <c:axId val="2051451584"/>
      </c:barChart>
      <c:catAx>
        <c:axId val="2051449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CMS Overall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51584"/>
        <c:crosses val="autoZero"/>
        <c:auto val="1"/>
        <c:lblAlgn val="ctr"/>
        <c:lblOffset val="100"/>
        <c:noMultiLvlLbl val="0"/>
      </c:catAx>
      <c:valAx>
        <c:axId val="20514515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Number of Hospitals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4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[cms-tx-hospital-quality-excel.xlsx]dashboard-support!PivotTable2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93% of Hospitals Were “No Different” From National Readmission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'dashboard-support'!$B$26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'dashboard-support'!$A$27:$A$30</c:f>
              <c:strCache>
                <c:ptCount val="3"/>
                <c:pt idx="0">
                  <c:v>Better</c:v>
                </c:pt>
                <c:pt idx="1">
                  <c:v>No Different</c:v>
                </c:pt>
                <c:pt idx="2">
                  <c:v>Worse</c:v>
                </c:pt>
              </c:strCache>
            </c:strRef>
          </c:cat>
          <c:val>
            <c:numRef>
              <c:f>'dashboard-support'!$B$27:$B$30</c:f>
              <c:numCache>
                <c:formatCode>0.00%</c:formatCode>
                <c:ptCount val="3"/>
                <c:pt idx="0">
                  <c:v>2.7559055118110236E-2</c:v>
                </c:pt>
                <c:pt idx="1">
                  <c:v>0.93307086614173229</c:v>
                </c:pt>
                <c:pt idx="2">
                  <c:v>3.937007874015748E-2</c:v>
                </c:pt>
              </c:numCache>
            </c:numRef>
          </c:val>
          <c:extLst>
            <c:ext xmlns:c16="http://schemas.microsoft.com/office/drawing/2014/chart" uri="{C3380CC4-5D6E-409C-BE32-E72D297353CC}">
              <c16:uniqueId val="{00000000-9A07-4605-AA31-C60D79922CF0}"/>
            </c:ext>
          </c:extLst>
        </c:ser>
        <c:dLbls>
          <c:showLegendKey val="0"/>
          <c:showVal val="0"/>
          <c:showCatName val="0"/>
          <c:showSerName val="0"/>
          <c:showPercent val="0"/>
          <c:showBubbleSize val="0"/>
        </c:dLbls>
        <c:gapWidth val="182"/>
        <c:axId val="702925472"/>
        <c:axId val="702924512"/>
      </c:barChart>
      <c:catAx>
        <c:axId val="702925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CMS Readmission Comparison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924512"/>
        <c:crosses val="autoZero"/>
        <c:auto val="1"/>
        <c:lblAlgn val="ctr"/>
        <c:lblOffset val="100"/>
        <c:noMultiLvlLbl val="0"/>
      </c:catAx>
      <c:valAx>
        <c:axId val="702924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of Reportable Hospitals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92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Higher Patient Recommendation Is Modestly Associated With Lower Readmission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26967371210177"/>
          <c:y val="0.16198116169436774"/>
          <c:w val="0.85338644086803506"/>
          <c:h val="0.74123344100142674"/>
        </c:manualLayout>
      </c:layout>
      <c:scatterChart>
        <c:scatterStyle val="lineMarker"/>
        <c:varyColors val="0"/>
        <c:ser>
          <c:idx val="0"/>
          <c:order val="0"/>
          <c:tx>
            <c:strRef>
              <c:f>'merged-cleaned'!$Y$1</c:f>
              <c:strCache>
                <c:ptCount val="1"/>
                <c:pt idx="0">
                  <c:v>Readmission_Rate_Pct</c:v>
                </c:pt>
              </c:strCache>
            </c:strRef>
          </c:tx>
          <c:spPr>
            <a:ln w="38100" cap="rnd">
              <a:noFill/>
              <a:round/>
            </a:ln>
            <a:effectLst/>
          </c:spPr>
          <c:marker>
            <c:symbol val="circle"/>
            <c:size val="3"/>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'merged-cleaned'!$T$2:$T$286</c:f>
              <c:numCache>
                <c:formatCode>0.0\%</c:formatCode>
                <c:ptCount val="285"/>
                <c:pt idx="0">
                  <c:v>54</c:v>
                </c:pt>
                <c:pt idx="1">
                  <c:v>80</c:v>
                </c:pt>
                <c:pt idx="2">
                  <c:v>71</c:v>
                </c:pt>
                <c:pt idx="3">
                  <c:v>66</c:v>
                </c:pt>
                <c:pt idx="4">
                  <c:v>70</c:v>
                </c:pt>
                <c:pt idx="5">
                  <c:v>72</c:v>
                </c:pt>
                <c:pt idx="6">
                  <c:v>74</c:v>
                </c:pt>
                <c:pt idx="7">
                  <c:v>73</c:v>
                </c:pt>
                <c:pt idx="8">
                  <c:v>70</c:v>
                </c:pt>
                <c:pt idx="9">
                  <c:v>58</c:v>
                </c:pt>
                <c:pt idx="10">
                  <c:v>59</c:v>
                </c:pt>
                <c:pt idx="11">
                  <c:v>71</c:v>
                </c:pt>
                <c:pt idx="12">
                  <c:v>63</c:v>
                </c:pt>
                <c:pt idx="13">
                  <c:v>67</c:v>
                </c:pt>
                <c:pt idx="14">
                  <c:v>56</c:v>
                </c:pt>
                <c:pt idx="15">
                  <c:v>70</c:v>
                </c:pt>
                <c:pt idx="16">
                  <c:v>70</c:v>
                </c:pt>
                <c:pt idx="17">
                  <c:v>72</c:v>
                </c:pt>
                <c:pt idx="18">
                  <c:v>85</c:v>
                </c:pt>
                <c:pt idx="19">
                  <c:v>72</c:v>
                </c:pt>
                <c:pt idx="20">
                  <c:v>75</c:v>
                </c:pt>
                <c:pt idx="21">
                  <c:v>73</c:v>
                </c:pt>
                <c:pt idx="22">
                  <c:v>74</c:v>
                </c:pt>
                <c:pt idx="23">
                  <c:v>67</c:v>
                </c:pt>
                <c:pt idx="24">
                  <c:v>63</c:v>
                </c:pt>
                <c:pt idx="25">
                  <c:v>71</c:v>
                </c:pt>
                <c:pt idx="26">
                  <c:v>71</c:v>
                </c:pt>
                <c:pt idx="27">
                  <c:v>66</c:v>
                </c:pt>
                <c:pt idx="28">
                  <c:v>77</c:v>
                </c:pt>
                <c:pt idx="29">
                  <c:v>70</c:v>
                </c:pt>
                <c:pt idx="30">
                  <c:v>56</c:v>
                </c:pt>
                <c:pt idx="31">
                  <c:v>67</c:v>
                </c:pt>
                <c:pt idx="32">
                  <c:v>67</c:v>
                </c:pt>
                <c:pt idx="33">
                  <c:v>69</c:v>
                </c:pt>
                <c:pt idx="34">
                  <c:v>57</c:v>
                </c:pt>
                <c:pt idx="35">
                  <c:v>62</c:v>
                </c:pt>
                <c:pt idx="36">
                  <c:v>78</c:v>
                </c:pt>
                <c:pt idx="37">
                  <c:v>74</c:v>
                </c:pt>
                <c:pt idx="38">
                  <c:v>81</c:v>
                </c:pt>
                <c:pt idx="39">
                  <c:v>60</c:v>
                </c:pt>
                <c:pt idx="40">
                  <c:v>82</c:v>
                </c:pt>
                <c:pt idx="41">
                  <c:v>68</c:v>
                </c:pt>
                <c:pt idx="42">
                  <c:v>79</c:v>
                </c:pt>
                <c:pt idx="43">
                  <c:v>63</c:v>
                </c:pt>
                <c:pt idx="44">
                  <c:v>71</c:v>
                </c:pt>
                <c:pt idx="45">
                  <c:v>66</c:v>
                </c:pt>
                <c:pt idx="46">
                  <c:v>76</c:v>
                </c:pt>
                <c:pt idx="47">
                  <c:v>73</c:v>
                </c:pt>
                <c:pt idx="48">
                  <c:v>84</c:v>
                </c:pt>
                <c:pt idx="49">
                  <c:v>65</c:v>
                </c:pt>
                <c:pt idx="50">
                  <c:v>72</c:v>
                </c:pt>
                <c:pt idx="51">
                  <c:v>68</c:v>
                </c:pt>
                <c:pt idx="52">
                  <c:v>60</c:v>
                </c:pt>
                <c:pt idx="53">
                  <c:v>77</c:v>
                </c:pt>
                <c:pt idx="54">
                  <c:v>86</c:v>
                </c:pt>
                <c:pt idx="55">
                  <c:v>60</c:v>
                </c:pt>
                <c:pt idx="56">
                  <c:v>71</c:v>
                </c:pt>
                <c:pt idx="57">
                  <c:v>70</c:v>
                </c:pt>
                <c:pt idx="58">
                  <c:v>71</c:v>
                </c:pt>
                <c:pt idx="59">
                  <c:v>64</c:v>
                </c:pt>
                <c:pt idx="60">
                  <c:v>75</c:v>
                </c:pt>
                <c:pt idx="61">
                  <c:v>55</c:v>
                </c:pt>
                <c:pt idx="63">
                  <c:v>64</c:v>
                </c:pt>
                <c:pt idx="64">
                  <c:v>66</c:v>
                </c:pt>
                <c:pt idx="65">
                  <c:v>74</c:v>
                </c:pt>
                <c:pt idx="66">
                  <c:v>72</c:v>
                </c:pt>
                <c:pt idx="67">
                  <c:v>76</c:v>
                </c:pt>
                <c:pt idx="68">
                  <c:v>57</c:v>
                </c:pt>
                <c:pt idx="69">
                  <c:v>65</c:v>
                </c:pt>
                <c:pt idx="70">
                  <c:v>76</c:v>
                </c:pt>
                <c:pt idx="71">
                  <c:v>72</c:v>
                </c:pt>
                <c:pt idx="72">
                  <c:v>76</c:v>
                </c:pt>
                <c:pt idx="73">
                  <c:v>70</c:v>
                </c:pt>
                <c:pt idx="74">
                  <c:v>69</c:v>
                </c:pt>
                <c:pt idx="76">
                  <c:v>69</c:v>
                </c:pt>
                <c:pt idx="77">
                  <c:v>71</c:v>
                </c:pt>
                <c:pt idx="78">
                  <c:v>71</c:v>
                </c:pt>
                <c:pt idx="79">
                  <c:v>67</c:v>
                </c:pt>
                <c:pt idx="80">
                  <c:v>59</c:v>
                </c:pt>
                <c:pt idx="81">
                  <c:v>69</c:v>
                </c:pt>
                <c:pt idx="82">
                  <c:v>63</c:v>
                </c:pt>
                <c:pt idx="83">
                  <c:v>74</c:v>
                </c:pt>
                <c:pt idx="84">
                  <c:v>63</c:v>
                </c:pt>
                <c:pt idx="85">
                  <c:v>82</c:v>
                </c:pt>
                <c:pt idx="86">
                  <c:v>92</c:v>
                </c:pt>
                <c:pt idx="87">
                  <c:v>73</c:v>
                </c:pt>
                <c:pt idx="88">
                  <c:v>78</c:v>
                </c:pt>
                <c:pt idx="89">
                  <c:v>62</c:v>
                </c:pt>
                <c:pt idx="90">
                  <c:v>67</c:v>
                </c:pt>
                <c:pt idx="91">
                  <c:v>70</c:v>
                </c:pt>
                <c:pt idx="92">
                  <c:v>61</c:v>
                </c:pt>
                <c:pt idx="93">
                  <c:v>68</c:v>
                </c:pt>
                <c:pt idx="94">
                  <c:v>88</c:v>
                </c:pt>
                <c:pt idx="95">
                  <c:v>68</c:v>
                </c:pt>
                <c:pt idx="96">
                  <c:v>65</c:v>
                </c:pt>
                <c:pt idx="97">
                  <c:v>80</c:v>
                </c:pt>
                <c:pt idx="98">
                  <c:v>78</c:v>
                </c:pt>
                <c:pt idx="99">
                  <c:v>75</c:v>
                </c:pt>
                <c:pt idx="100">
                  <c:v>56</c:v>
                </c:pt>
                <c:pt idx="101">
                  <c:v>91</c:v>
                </c:pt>
                <c:pt idx="102">
                  <c:v>83</c:v>
                </c:pt>
                <c:pt idx="103">
                  <c:v>71</c:v>
                </c:pt>
                <c:pt idx="104">
                  <c:v>63</c:v>
                </c:pt>
                <c:pt idx="105">
                  <c:v>61</c:v>
                </c:pt>
                <c:pt idx="106">
                  <c:v>68</c:v>
                </c:pt>
                <c:pt idx="107">
                  <c:v>68</c:v>
                </c:pt>
                <c:pt idx="109">
                  <c:v>74</c:v>
                </c:pt>
                <c:pt idx="110">
                  <c:v>55</c:v>
                </c:pt>
                <c:pt idx="111">
                  <c:v>79</c:v>
                </c:pt>
                <c:pt idx="112">
                  <c:v>71</c:v>
                </c:pt>
                <c:pt idx="113">
                  <c:v>79</c:v>
                </c:pt>
                <c:pt idx="114">
                  <c:v>64</c:v>
                </c:pt>
                <c:pt idx="115">
                  <c:v>65</c:v>
                </c:pt>
                <c:pt idx="116">
                  <c:v>77</c:v>
                </c:pt>
                <c:pt idx="117">
                  <c:v>67</c:v>
                </c:pt>
                <c:pt idx="118">
                  <c:v>55</c:v>
                </c:pt>
                <c:pt idx="119">
                  <c:v>51</c:v>
                </c:pt>
                <c:pt idx="120">
                  <c:v>68</c:v>
                </c:pt>
                <c:pt idx="121">
                  <c:v>73</c:v>
                </c:pt>
                <c:pt idx="122">
                  <c:v>69</c:v>
                </c:pt>
                <c:pt idx="123">
                  <c:v>61</c:v>
                </c:pt>
                <c:pt idx="124">
                  <c:v>67</c:v>
                </c:pt>
                <c:pt idx="125">
                  <c:v>58</c:v>
                </c:pt>
                <c:pt idx="126">
                  <c:v>73</c:v>
                </c:pt>
                <c:pt idx="127">
                  <c:v>88</c:v>
                </c:pt>
                <c:pt idx="128">
                  <c:v>68</c:v>
                </c:pt>
                <c:pt idx="129">
                  <c:v>56</c:v>
                </c:pt>
                <c:pt idx="130">
                  <c:v>67</c:v>
                </c:pt>
                <c:pt idx="131">
                  <c:v>66</c:v>
                </c:pt>
                <c:pt idx="132">
                  <c:v>53</c:v>
                </c:pt>
                <c:pt idx="133">
                  <c:v>63</c:v>
                </c:pt>
                <c:pt idx="134">
                  <c:v>71</c:v>
                </c:pt>
                <c:pt idx="136">
                  <c:v>62</c:v>
                </c:pt>
                <c:pt idx="137">
                  <c:v>61</c:v>
                </c:pt>
                <c:pt idx="138">
                  <c:v>66</c:v>
                </c:pt>
                <c:pt idx="139">
                  <c:v>64</c:v>
                </c:pt>
                <c:pt idx="140">
                  <c:v>70</c:v>
                </c:pt>
                <c:pt idx="141">
                  <c:v>61</c:v>
                </c:pt>
                <c:pt idx="142">
                  <c:v>66</c:v>
                </c:pt>
                <c:pt idx="143">
                  <c:v>68</c:v>
                </c:pt>
                <c:pt idx="144">
                  <c:v>58</c:v>
                </c:pt>
                <c:pt idx="145">
                  <c:v>71</c:v>
                </c:pt>
                <c:pt idx="147">
                  <c:v>70</c:v>
                </c:pt>
                <c:pt idx="148">
                  <c:v>79</c:v>
                </c:pt>
                <c:pt idx="149">
                  <c:v>59</c:v>
                </c:pt>
                <c:pt idx="150">
                  <c:v>82</c:v>
                </c:pt>
                <c:pt idx="151">
                  <c:v>56</c:v>
                </c:pt>
                <c:pt idx="152">
                  <c:v>68</c:v>
                </c:pt>
                <c:pt idx="153">
                  <c:v>73</c:v>
                </c:pt>
                <c:pt idx="154">
                  <c:v>85</c:v>
                </c:pt>
                <c:pt idx="155">
                  <c:v>66</c:v>
                </c:pt>
                <c:pt idx="156">
                  <c:v>68</c:v>
                </c:pt>
                <c:pt idx="157">
                  <c:v>70</c:v>
                </c:pt>
                <c:pt idx="158">
                  <c:v>67</c:v>
                </c:pt>
                <c:pt idx="159">
                  <c:v>58</c:v>
                </c:pt>
                <c:pt idx="160">
                  <c:v>67</c:v>
                </c:pt>
                <c:pt idx="161">
                  <c:v>79</c:v>
                </c:pt>
                <c:pt idx="162">
                  <c:v>59</c:v>
                </c:pt>
                <c:pt idx="163">
                  <c:v>77</c:v>
                </c:pt>
                <c:pt idx="164">
                  <c:v>72</c:v>
                </c:pt>
                <c:pt idx="165">
                  <c:v>84</c:v>
                </c:pt>
                <c:pt idx="166">
                  <c:v>53</c:v>
                </c:pt>
                <c:pt idx="167">
                  <c:v>79</c:v>
                </c:pt>
                <c:pt idx="168">
                  <c:v>66</c:v>
                </c:pt>
                <c:pt idx="169">
                  <c:v>69</c:v>
                </c:pt>
                <c:pt idx="170">
                  <c:v>83</c:v>
                </c:pt>
                <c:pt idx="171">
                  <c:v>78</c:v>
                </c:pt>
                <c:pt idx="172">
                  <c:v>70</c:v>
                </c:pt>
                <c:pt idx="173">
                  <c:v>80</c:v>
                </c:pt>
                <c:pt idx="174">
                  <c:v>67</c:v>
                </c:pt>
                <c:pt idx="175">
                  <c:v>74</c:v>
                </c:pt>
                <c:pt idx="176">
                  <c:v>73</c:v>
                </c:pt>
                <c:pt idx="177">
                  <c:v>64</c:v>
                </c:pt>
                <c:pt idx="179">
                  <c:v>81</c:v>
                </c:pt>
                <c:pt idx="180">
                  <c:v>86</c:v>
                </c:pt>
                <c:pt idx="181">
                  <c:v>77</c:v>
                </c:pt>
                <c:pt idx="182">
                  <c:v>78</c:v>
                </c:pt>
                <c:pt idx="183">
                  <c:v>70</c:v>
                </c:pt>
                <c:pt idx="184">
                  <c:v>69</c:v>
                </c:pt>
                <c:pt idx="185">
                  <c:v>88</c:v>
                </c:pt>
                <c:pt idx="186">
                  <c:v>79</c:v>
                </c:pt>
                <c:pt idx="187">
                  <c:v>76</c:v>
                </c:pt>
                <c:pt idx="188">
                  <c:v>85</c:v>
                </c:pt>
                <c:pt idx="189">
                  <c:v>88</c:v>
                </c:pt>
                <c:pt idx="190">
                  <c:v>78</c:v>
                </c:pt>
                <c:pt idx="191">
                  <c:v>87</c:v>
                </c:pt>
                <c:pt idx="192">
                  <c:v>87</c:v>
                </c:pt>
                <c:pt idx="193">
                  <c:v>70</c:v>
                </c:pt>
                <c:pt idx="194">
                  <c:v>71</c:v>
                </c:pt>
                <c:pt idx="195">
                  <c:v>66</c:v>
                </c:pt>
                <c:pt idx="196">
                  <c:v>76</c:v>
                </c:pt>
                <c:pt idx="197">
                  <c:v>90</c:v>
                </c:pt>
                <c:pt idx="198">
                  <c:v>83</c:v>
                </c:pt>
                <c:pt idx="199">
                  <c:v>76</c:v>
                </c:pt>
                <c:pt idx="200">
                  <c:v>73</c:v>
                </c:pt>
                <c:pt idx="201">
                  <c:v>75</c:v>
                </c:pt>
                <c:pt idx="202">
                  <c:v>90</c:v>
                </c:pt>
                <c:pt idx="203">
                  <c:v>89</c:v>
                </c:pt>
                <c:pt idx="204">
                  <c:v>83</c:v>
                </c:pt>
                <c:pt idx="205">
                  <c:v>88</c:v>
                </c:pt>
                <c:pt idx="206">
                  <c:v>86</c:v>
                </c:pt>
                <c:pt idx="208">
                  <c:v>79</c:v>
                </c:pt>
                <c:pt idx="209">
                  <c:v>68</c:v>
                </c:pt>
                <c:pt idx="210">
                  <c:v>88</c:v>
                </c:pt>
                <c:pt idx="212">
                  <c:v>83</c:v>
                </c:pt>
                <c:pt idx="213">
                  <c:v>89</c:v>
                </c:pt>
                <c:pt idx="214">
                  <c:v>65</c:v>
                </c:pt>
                <c:pt idx="215">
                  <c:v>78</c:v>
                </c:pt>
                <c:pt idx="216">
                  <c:v>72</c:v>
                </c:pt>
                <c:pt idx="217">
                  <c:v>62</c:v>
                </c:pt>
                <c:pt idx="218">
                  <c:v>80</c:v>
                </c:pt>
                <c:pt idx="219">
                  <c:v>57</c:v>
                </c:pt>
                <c:pt idx="220">
                  <c:v>80</c:v>
                </c:pt>
                <c:pt idx="221">
                  <c:v>61</c:v>
                </c:pt>
                <c:pt idx="222">
                  <c:v>84</c:v>
                </c:pt>
                <c:pt idx="223">
                  <c:v>71</c:v>
                </c:pt>
                <c:pt idx="224">
                  <c:v>65</c:v>
                </c:pt>
                <c:pt idx="225">
                  <c:v>77</c:v>
                </c:pt>
                <c:pt idx="226">
                  <c:v>50</c:v>
                </c:pt>
                <c:pt idx="227">
                  <c:v>70</c:v>
                </c:pt>
                <c:pt idx="228">
                  <c:v>82</c:v>
                </c:pt>
                <c:pt idx="229">
                  <c:v>79</c:v>
                </c:pt>
                <c:pt idx="230">
                  <c:v>88</c:v>
                </c:pt>
                <c:pt idx="231">
                  <c:v>86</c:v>
                </c:pt>
                <c:pt idx="232">
                  <c:v>83</c:v>
                </c:pt>
                <c:pt idx="233">
                  <c:v>78</c:v>
                </c:pt>
                <c:pt idx="234">
                  <c:v>86</c:v>
                </c:pt>
                <c:pt idx="235">
                  <c:v>83</c:v>
                </c:pt>
                <c:pt idx="236">
                  <c:v>81</c:v>
                </c:pt>
                <c:pt idx="237">
                  <c:v>73</c:v>
                </c:pt>
                <c:pt idx="238">
                  <c:v>78</c:v>
                </c:pt>
                <c:pt idx="239">
                  <c:v>73</c:v>
                </c:pt>
                <c:pt idx="240">
                  <c:v>82</c:v>
                </c:pt>
                <c:pt idx="241">
                  <c:v>49</c:v>
                </c:pt>
                <c:pt idx="243">
                  <c:v>75</c:v>
                </c:pt>
                <c:pt idx="244">
                  <c:v>58</c:v>
                </c:pt>
                <c:pt idx="245">
                  <c:v>70</c:v>
                </c:pt>
                <c:pt idx="246">
                  <c:v>60</c:v>
                </c:pt>
                <c:pt idx="247">
                  <c:v>71</c:v>
                </c:pt>
                <c:pt idx="248">
                  <c:v>79</c:v>
                </c:pt>
                <c:pt idx="250">
                  <c:v>84</c:v>
                </c:pt>
                <c:pt idx="252">
                  <c:v>64</c:v>
                </c:pt>
                <c:pt idx="254">
                  <c:v>84</c:v>
                </c:pt>
                <c:pt idx="255">
                  <c:v>85</c:v>
                </c:pt>
                <c:pt idx="257">
                  <c:v>77</c:v>
                </c:pt>
                <c:pt idx="258">
                  <c:v>87</c:v>
                </c:pt>
                <c:pt idx="259">
                  <c:v>90</c:v>
                </c:pt>
                <c:pt idx="260">
                  <c:v>93</c:v>
                </c:pt>
                <c:pt idx="262">
                  <c:v>85</c:v>
                </c:pt>
                <c:pt idx="263">
                  <c:v>80</c:v>
                </c:pt>
                <c:pt idx="264">
                  <c:v>75</c:v>
                </c:pt>
                <c:pt idx="265">
                  <c:v>67</c:v>
                </c:pt>
                <c:pt idx="266">
                  <c:v>59</c:v>
                </c:pt>
                <c:pt idx="268">
                  <c:v>82</c:v>
                </c:pt>
                <c:pt idx="269">
                  <c:v>80</c:v>
                </c:pt>
                <c:pt idx="273">
                  <c:v>77</c:v>
                </c:pt>
              </c:numCache>
            </c:numRef>
          </c:xVal>
          <c:yVal>
            <c:numRef>
              <c:f>'merged-cleaned'!$Y$2:$Y$286</c:f>
              <c:numCache>
                <c:formatCode>0.0\%</c:formatCode>
                <c:ptCount val="285"/>
                <c:pt idx="0">
                  <c:v>15.3</c:v>
                </c:pt>
                <c:pt idx="1">
                  <c:v>15</c:v>
                </c:pt>
                <c:pt idx="2">
                  <c:v>15.6</c:v>
                </c:pt>
                <c:pt idx="3">
                  <c:v>14.9</c:v>
                </c:pt>
                <c:pt idx="4">
                  <c:v>14.7</c:v>
                </c:pt>
                <c:pt idx="5">
                  <c:v>16</c:v>
                </c:pt>
                <c:pt idx="6">
                  <c:v>13.9</c:v>
                </c:pt>
                <c:pt idx="7">
                  <c:v>14.7</c:v>
                </c:pt>
                <c:pt idx="8">
                  <c:v>15.4</c:v>
                </c:pt>
                <c:pt idx="9">
                  <c:v>15.4</c:v>
                </c:pt>
                <c:pt idx="10">
                  <c:v>15.1</c:v>
                </c:pt>
                <c:pt idx="11">
                  <c:v>16.399999999999999</c:v>
                </c:pt>
                <c:pt idx="12">
                  <c:v>14.6</c:v>
                </c:pt>
                <c:pt idx="13">
                  <c:v>15.1</c:v>
                </c:pt>
                <c:pt idx="14">
                  <c:v>15.2</c:v>
                </c:pt>
                <c:pt idx="15">
                  <c:v>14.3</c:v>
                </c:pt>
                <c:pt idx="16">
                  <c:v>13.5</c:v>
                </c:pt>
                <c:pt idx="17">
                  <c:v>14.2</c:v>
                </c:pt>
                <c:pt idx="18">
                  <c:v>15.9</c:v>
                </c:pt>
                <c:pt idx="19">
                  <c:v>14.4</c:v>
                </c:pt>
                <c:pt idx="20">
                  <c:v>14.1</c:v>
                </c:pt>
                <c:pt idx="21">
                  <c:v>14.9</c:v>
                </c:pt>
                <c:pt idx="22">
                  <c:v>15.2</c:v>
                </c:pt>
                <c:pt idx="23">
                  <c:v>14.3</c:v>
                </c:pt>
                <c:pt idx="24">
                  <c:v>14.3</c:v>
                </c:pt>
                <c:pt idx="25">
                  <c:v>15.3</c:v>
                </c:pt>
                <c:pt idx="26">
                  <c:v>14.6</c:v>
                </c:pt>
                <c:pt idx="27">
                  <c:v>15.1</c:v>
                </c:pt>
                <c:pt idx="28">
                  <c:v>14.8</c:v>
                </c:pt>
                <c:pt idx="29">
                  <c:v>15.2</c:v>
                </c:pt>
                <c:pt idx="30">
                  <c:v>15.4</c:v>
                </c:pt>
                <c:pt idx="31">
                  <c:v>15.4</c:v>
                </c:pt>
                <c:pt idx="32">
                  <c:v>15.3</c:v>
                </c:pt>
                <c:pt idx="33">
                  <c:v>14.9</c:v>
                </c:pt>
                <c:pt idx="34">
                  <c:v>15</c:v>
                </c:pt>
                <c:pt idx="35">
                  <c:v>15.6</c:v>
                </c:pt>
                <c:pt idx="36">
                  <c:v>14.7</c:v>
                </c:pt>
                <c:pt idx="37">
                  <c:v>13.6</c:v>
                </c:pt>
                <c:pt idx="38">
                  <c:v>16</c:v>
                </c:pt>
                <c:pt idx="39">
                  <c:v>15.5</c:v>
                </c:pt>
                <c:pt idx="40">
                  <c:v>15.3</c:v>
                </c:pt>
                <c:pt idx="41">
                  <c:v>15.9</c:v>
                </c:pt>
                <c:pt idx="42">
                  <c:v>14.9</c:v>
                </c:pt>
                <c:pt idx="43">
                  <c:v>14.4</c:v>
                </c:pt>
                <c:pt idx="44">
                  <c:v>15</c:v>
                </c:pt>
                <c:pt idx="45">
                  <c:v>14.9</c:v>
                </c:pt>
                <c:pt idx="46">
                  <c:v>14.4</c:v>
                </c:pt>
                <c:pt idx="47">
                  <c:v>15.8</c:v>
                </c:pt>
                <c:pt idx="48">
                  <c:v>15</c:v>
                </c:pt>
                <c:pt idx="49">
                  <c:v>14.5</c:v>
                </c:pt>
                <c:pt idx="50">
                  <c:v>14.5</c:v>
                </c:pt>
                <c:pt idx="51">
                  <c:v>15.9</c:v>
                </c:pt>
                <c:pt idx="52">
                  <c:v>14.7</c:v>
                </c:pt>
                <c:pt idx="53">
                  <c:v>14.5</c:v>
                </c:pt>
                <c:pt idx="54">
                  <c:v>14.2</c:v>
                </c:pt>
                <c:pt idx="55">
                  <c:v>14.9</c:v>
                </c:pt>
                <c:pt idx="56">
                  <c:v>14.5</c:v>
                </c:pt>
                <c:pt idx="57">
                  <c:v>15.2</c:v>
                </c:pt>
                <c:pt idx="58">
                  <c:v>14.8</c:v>
                </c:pt>
                <c:pt idx="59">
                  <c:v>14.5</c:v>
                </c:pt>
                <c:pt idx="60">
                  <c:v>14.7</c:v>
                </c:pt>
                <c:pt idx="61">
                  <c:v>15.4</c:v>
                </c:pt>
                <c:pt idx="63">
                  <c:v>15</c:v>
                </c:pt>
                <c:pt idx="64">
                  <c:v>14.2</c:v>
                </c:pt>
                <c:pt idx="65">
                  <c:v>14.4</c:v>
                </c:pt>
                <c:pt idx="66">
                  <c:v>16</c:v>
                </c:pt>
                <c:pt idx="67">
                  <c:v>15.1</c:v>
                </c:pt>
                <c:pt idx="68">
                  <c:v>16.899999999999999</c:v>
                </c:pt>
                <c:pt idx="69">
                  <c:v>15.1</c:v>
                </c:pt>
                <c:pt idx="70">
                  <c:v>14.8</c:v>
                </c:pt>
                <c:pt idx="71">
                  <c:v>15.3</c:v>
                </c:pt>
                <c:pt idx="72">
                  <c:v>13.7</c:v>
                </c:pt>
                <c:pt idx="73">
                  <c:v>14.4</c:v>
                </c:pt>
                <c:pt idx="74">
                  <c:v>14.8</c:v>
                </c:pt>
                <c:pt idx="75">
                  <c:v>15.6</c:v>
                </c:pt>
                <c:pt idx="76">
                  <c:v>14.2</c:v>
                </c:pt>
                <c:pt idx="77">
                  <c:v>15.1</c:v>
                </c:pt>
                <c:pt idx="78">
                  <c:v>14.9</c:v>
                </c:pt>
                <c:pt idx="79">
                  <c:v>16.100000000000001</c:v>
                </c:pt>
                <c:pt idx="80">
                  <c:v>16.100000000000001</c:v>
                </c:pt>
                <c:pt idx="81">
                  <c:v>15.8</c:v>
                </c:pt>
                <c:pt idx="82">
                  <c:v>15.4</c:v>
                </c:pt>
                <c:pt idx="83">
                  <c:v>14.8</c:v>
                </c:pt>
                <c:pt idx="84">
                  <c:v>16.2</c:v>
                </c:pt>
                <c:pt idx="85">
                  <c:v>14.2</c:v>
                </c:pt>
                <c:pt idx="86">
                  <c:v>14.5</c:v>
                </c:pt>
                <c:pt idx="87">
                  <c:v>14.9</c:v>
                </c:pt>
                <c:pt idx="88">
                  <c:v>15.6</c:v>
                </c:pt>
                <c:pt idx="89">
                  <c:v>13.7</c:v>
                </c:pt>
                <c:pt idx="90">
                  <c:v>15.8</c:v>
                </c:pt>
                <c:pt idx="91">
                  <c:v>16.2</c:v>
                </c:pt>
                <c:pt idx="92">
                  <c:v>14.5</c:v>
                </c:pt>
                <c:pt idx="93">
                  <c:v>15</c:v>
                </c:pt>
                <c:pt idx="94">
                  <c:v>14.9</c:v>
                </c:pt>
                <c:pt idx="95">
                  <c:v>15.7</c:v>
                </c:pt>
                <c:pt idx="96">
                  <c:v>14.8</c:v>
                </c:pt>
                <c:pt idx="97">
                  <c:v>14.7</c:v>
                </c:pt>
                <c:pt idx="98">
                  <c:v>13.9</c:v>
                </c:pt>
                <c:pt idx="99">
                  <c:v>15</c:v>
                </c:pt>
                <c:pt idx="100">
                  <c:v>16.600000000000001</c:v>
                </c:pt>
                <c:pt idx="101">
                  <c:v>14.7</c:v>
                </c:pt>
                <c:pt idx="102">
                  <c:v>14.9</c:v>
                </c:pt>
                <c:pt idx="103">
                  <c:v>13.8</c:v>
                </c:pt>
                <c:pt idx="104">
                  <c:v>14.2</c:v>
                </c:pt>
                <c:pt idx="105">
                  <c:v>14.6</c:v>
                </c:pt>
                <c:pt idx="106">
                  <c:v>14.3</c:v>
                </c:pt>
                <c:pt idx="107">
                  <c:v>16.399999999999999</c:v>
                </c:pt>
                <c:pt idx="108">
                  <c:v>14.6</c:v>
                </c:pt>
                <c:pt idx="109">
                  <c:v>15.4</c:v>
                </c:pt>
                <c:pt idx="110">
                  <c:v>15.2</c:v>
                </c:pt>
                <c:pt idx="111">
                  <c:v>15.3</c:v>
                </c:pt>
                <c:pt idx="112">
                  <c:v>14.4</c:v>
                </c:pt>
                <c:pt idx="113">
                  <c:v>15</c:v>
                </c:pt>
                <c:pt idx="114">
                  <c:v>15.1</c:v>
                </c:pt>
                <c:pt idx="115">
                  <c:v>14.5</c:v>
                </c:pt>
                <c:pt idx="116">
                  <c:v>15</c:v>
                </c:pt>
                <c:pt idx="117">
                  <c:v>14.8</c:v>
                </c:pt>
                <c:pt idx="118">
                  <c:v>15.4</c:v>
                </c:pt>
                <c:pt idx="119">
                  <c:v>14.8</c:v>
                </c:pt>
                <c:pt idx="120">
                  <c:v>14.6</c:v>
                </c:pt>
                <c:pt idx="121">
                  <c:v>14.4</c:v>
                </c:pt>
                <c:pt idx="122">
                  <c:v>14.5</c:v>
                </c:pt>
                <c:pt idx="123">
                  <c:v>16.2</c:v>
                </c:pt>
                <c:pt idx="124">
                  <c:v>15.5</c:v>
                </c:pt>
                <c:pt idx="125">
                  <c:v>15.6</c:v>
                </c:pt>
                <c:pt idx="126">
                  <c:v>15.2</c:v>
                </c:pt>
                <c:pt idx="127">
                  <c:v>15.9</c:v>
                </c:pt>
                <c:pt idx="128">
                  <c:v>15.9</c:v>
                </c:pt>
                <c:pt idx="129">
                  <c:v>15.6</c:v>
                </c:pt>
                <c:pt idx="130">
                  <c:v>15.5</c:v>
                </c:pt>
                <c:pt idx="131">
                  <c:v>16.5</c:v>
                </c:pt>
                <c:pt idx="132">
                  <c:v>15.1</c:v>
                </c:pt>
                <c:pt idx="133">
                  <c:v>15.1</c:v>
                </c:pt>
                <c:pt idx="134">
                  <c:v>15.9</c:v>
                </c:pt>
                <c:pt idx="135">
                  <c:v>14.3</c:v>
                </c:pt>
                <c:pt idx="136">
                  <c:v>14.9</c:v>
                </c:pt>
                <c:pt idx="137">
                  <c:v>14.3</c:v>
                </c:pt>
                <c:pt idx="138">
                  <c:v>15</c:v>
                </c:pt>
                <c:pt idx="139">
                  <c:v>14.7</c:v>
                </c:pt>
                <c:pt idx="140">
                  <c:v>15.4</c:v>
                </c:pt>
                <c:pt idx="141">
                  <c:v>15.6</c:v>
                </c:pt>
                <c:pt idx="142">
                  <c:v>16.899999999999999</c:v>
                </c:pt>
                <c:pt idx="143">
                  <c:v>14.7</c:v>
                </c:pt>
                <c:pt idx="144">
                  <c:v>16.2</c:v>
                </c:pt>
                <c:pt idx="145">
                  <c:v>14.2</c:v>
                </c:pt>
                <c:pt idx="146">
                  <c:v>16.399999999999999</c:v>
                </c:pt>
                <c:pt idx="147">
                  <c:v>15</c:v>
                </c:pt>
                <c:pt idx="148">
                  <c:v>14.6</c:v>
                </c:pt>
                <c:pt idx="149">
                  <c:v>14.8</c:v>
                </c:pt>
                <c:pt idx="150">
                  <c:v>14.5</c:v>
                </c:pt>
                <c:pt idx="151">
                  <c:v>14.7</c:v>
                </c:pt>
                <c:pt idx="153">
                  <c:v>15.9</c:v>
                </c:pt>
                <c:pt idx="154">
                  <c:v>15.2</c:v>
                </c:pt>
                <c:pt idx="155">
                  <c:v>14.2</c:v>
                </c:pt>
                <c:pt idx="156">
                  <c:v>15.2</c:v>
                </c:pt>
                <c:pt idx="157">
                  <c:v>15</c:v>
                </c:pt>
                <c:pt idx="158">
                  <c:v>15.5</c:v>
                </c:pt>
                <c:pt idx="159">
                  <c:v>16.5</c:v>
                </c:pt>
                <c:pt idx="160">
                  <c:v>15.6</c:v>
                </c:pt>
                <c:pt idx="161">
                  <c:v>14.5</c:v>
                </c:pt>
                <c:pt idx="162">
                  <c:v>15.5</c:v>
                </c:pt>
                <c:pt idx="163">
                  <c:v>14.6</c:v>
                </c:pt>
                <c:pt idx="164">
                  <c:v>14.9</c:v>
                </c:pt>
                <c:pt idx="165">
                  <c:v>14.4</c:v>
                </c:pt>
                <c:pt idx="166">
                  <c:v>15.8</c:v>
                </c:pt>
                <c:pt idx="167">
                  <c:v>13.8</c:v>
                </c:pt>
                <c:pt idx="168">
                  <c:v>14.5</c:v>
                </c:pt>
                <c:pt idx="169">
                  <c:v>14.8</c:v>
                </c:pt>
                <c:pt idx="170">
                  <c:v>14.1</c:v>
                </c:pt>
                <c:pt idx="171">
                  <c:v>14.4</c:v>
                </c:pt>
                <c:pt idx="172">
                  <c:v>14.4</c:v>
                </c:pt>
                <c:pt idx="173">
                  <c:v>14.6</c:v>
                </c:pt>
                <c:pt idx="174">
                  <c:v>14.7</c:v>
                </c:pt>
                <c:pt idx="176">
                  <c:v>14.4</c:v>
                </c:pt>
                <c:pt idx="177">
                  <c:v>14.4</c:v>
                </c:pt>
                <c:pt idx="179">
                  <c:v>14.8</c:v>
                </c:pt>
                <c:pt idx="180">
                  <c:v>15.1</c:v>
                </c:pt>
                <c:pt idx="181">
                  <c:v>14.6</c:v>
                </c:pt>
                <c:pt idx="182">
                  <c:v>14.8</c:v>
                </c:pt>
                <c:pt idx="183">
                  <c:v>15.2</c:v>
                </c:pt>
                <c:pt idx="184">
                  <c:v>16.100000000000001</c:v>
                </c:pt>
                <c:pt idx="185">
                  <c:v>15.2</c:v>
                </c:pt>
                <c:pt idx="186">
                  <c:v>15.1</c:v>
                </c:pt>
                <c:pt idx="187">
                  <c:v>14.6</c:v>
                </c:pt>
                <c:pt idx="188">
                  <c:v>14.4</c:v>
                </c:pt>
                <c:pt idx="190">
                  <c:v>14.6</c:v>
                </c:pt>
                <c:pt idx="191">
                  <c:v>13.4</c:v>
                </c:pt>
                <c:pt idx="192">
                  <c:v>14.8</c:v>
                </c:pt>
                <c:pt idx="193">
                  <c:v>14.4</c:v>
                </c:pt>
                <c:pt idx="194">
                  <c:v>15.6</c:v>
                </c:pt>
                <c:pt idx="195">
                  <c:v>14.8</c:v>
                </c:pt>
                <c:pt idx="196">
                  <c:v>14.9</c:v>
                </c:pt>
                <c:pt idx="197">
                  <c:v>14.3</c:v>
                </c:pt>
                <c:pt idx="198">
                  <c:v>15.4</c:v>
                </c:pt>
                <c:pt idx="199">
                  <c:v>14.8</c:v>
                </c:pt>
                <c:pt idx="200">
                  <c:v>14.6</c:v>
                </c:pt>
                <c:pt idx="201">
                  <c:v>13.9</c:v>
                </c:pt>
                <c:pt idx="202">
                  <c:v>15</c:v>
                </c:pt>
                <c:pt idx="203">
                  <c:v>14.6</c:v>
                </c:pt>
                <c:pt idx="204">
                  <c:v>15.1</c:v>
                </c:pt>
                <c:pt idx="205">
                  <c:v>15</c:v>
                </c:pt>
                <c:pt idx="206">
                  <c:v>15</c:v>
                </c:pt>
                <c:pt idx="208">
                  <c:v>14.8</c:v>
                </c:pt>
                <c:pt idx="209">
                  <c:v>14.2</c:v>
                </c:pt>
                <c:pt idx="210">
                  <c:v>13.8</c:v>
                </c:pt>
                <c:pt idx="212">
                  <c:v>15</c:v>
                </c:pt>
                <c:pt idx="213">
                  <c:v>14.1</c:v>
                </c:pt>
                <c:pt idx="214">
                  <c:v>14.6</c:v>
                </c:pt>
                <c:pt idx="215">
                  <c:v>13.9</c:v>
                </c:pt>
                <c:pt idx="216">
                  <c:v>14.4</c:v>
                </c:pt>
                <c:pt idx="217">
                  <c:v>15.6</c:v>
                </c:pt>
                <c:pt idx="218">
                  <c:v>14.6</c:v>
                </c:pt>
                <c:pt idx="219">
                  <c:v>15.1</c:v>
                </c:pt>
                <c:pt idx="220">
                  <c:v>14.2</c:v>
                </c:pt>
                <c:pt idx="221">
                  <c:v>15.5</c:v>
                </c:pt>
                <c:pt idx="222">
                  <c:v>14.2</c:v>
                </c:pt>
                <c:pt idx="223">
                  <c:v>15.4</c:v>
                </c:pt>
                <c:pt idx="224">
                  <c:v>14.4</c:v>
                </c:pt>
                <c:pt idx="225">
                  <c:v>14.4</c:v>
                </c:pt>
                <c:pt idx="226">
                  <c:v>15.4</c:v>
                </c:pt>
                <c:pt idx="227">
                  <c:v>15.1</c:v>
                </c:pt>
                <c:pt idx="228">
                  <c:v>14.6</c:v>
                </c:pt>
                <c:pt idx="229">
                  <c:v>13.9</c:v>
                </c:pt>
                <c:pt idx="230">
                  <c:v>15.4</c:v>
                </c:pt>
                <c:pt idx="231">
                  <c:v>14.3</c:v>
                </c:pt>
                <c:pt idx="232">
                  <c:v>14.4</c:v>
                </c:pt>
                <c:pt idx="233">
                  <c:v>15</c:v>
                </c:pt>
                <c:pt idx="234">
                  <c:v>14.9</c:v>
                </c:pt>
                <c:pt idx="235">
                  <c:v>15.1</c:v>
                </c:pt>
                <c:pt idx="236">
                  <c:v>15</c:v>
                </c:pt>
                <c:pt idx="237">
                  <c:v>16.3</c:v>
                </c:pt>
                <c:pt idx="238">
                  <c:v>15.5</c:v>
                </c:pt>
                <c:pt idx="239">
                  <c:v>13.9</c:v>
                </c:pt>
                <c:pt idx="240">
                  <c:v>14.9</c:v>
                </c:pt>
                <c:pt idx="241">
                  <c:v>14.9</c:v>
                </c:pt>
                <c:pt idx="243">
                  <c:v>15.3</c:v>
                </c:pt>
                <c:pt idx="244">
                  <c:v>15.3</c:v>
                </c:pt>
                <c:pt idx="245">
                  <c:v>15.9</c:v>
                </c:pt>
                <c:pt idx="246">
                  <c:v>15.2</c:v>
                </c:pt>
                <c:pt idx="248">
                  <c:v>14.1</c:v>
                </c:pt>
                <c:pt idx="250">
                  <c:v>14.4</c:v>
                </c:pt>
                <c:pt idx="252">
                  <c:v>15.3</c:v>
                </c:pt>
                <c:pt idx="254">
                  <c:v>13.6</c:v>
                </c:pt>
                <c:pt idx="255">
                  <c:v>14.8</c:v>
                </c:pt>
                <c:pt idx="257">
                  <c:v>14.8</c:v>
                </c:pt>
                <c:pt idx="258">
                  <c:v>14.8</c:v>
                </c:pt>
                <c:pt idx="259">
                  <c:v>15.1</c:v>
                </c:pt>
                <c:pt idx="260">
                  <c:v>14.8</c:v>
                </c:pt>
                <c:pt idx="262">
                  <c:v>15.3</c:v>
                </c:pt>
                <c:pt idx="263">
                  <c:v>15.2</c:v>
                </c:pt>
                <c:pt idx="264">
                  <c:v>15.3</c:v>
                </c:pt>
                <c:pt idx="266">
                  <c:v>15</c:v>
                </c:pt>
                <c:pt idx="268">
                  <c:v>14.4</c:v>
                </c:pt>
                <c:pt idx="269">
                  <c:v>15.3</c:v>
                </c:pt>
              </c:numCache>
            </c:numRef>
          </c:yVal>
          <c:smooth val="0"/>
          <c:extLst>
            <c:ext xmlns:c16="http://schemas.microsoft.com/office/drawing/2014/chart" uri="{C3380CC4-5D6E-409C-BE32-E72D297353CC}">
              <c16:uniqueId val="{00000002-B35E-4AA4-A45F-4E2F07DFDAEC}"/>
            </c:ext>
          </c:extLst>
        </c:ser>
        <c:dLbls>
          <c:showLegendKey val="0"/>
          <c:showVal val="0"/>
          <c:showCatName val="0"/>
          <c:showSerName val="0"/>
          <c:showPercent val="0"/>
          <c:showBubbleSize val="0"/>
        </c:dLbls>
        <c:axId val="1654790016"/>
        <c:axId val="1654791456"/>
      </c:scatterChart>
      <c:valAx>
        <c:axId val="1654790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Patients Who Would Definitely Recommend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791456"/>
        <c:crosses val="autoZero"/>
        <c:crossBetween val="midCat"/>
      </c:valAx>
      <c:valAx>
        <c:axId val="1654791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Hospital-Wide Readmission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7900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Patient Experience Differs Across Hospital Ownership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'dashboard-support'!$B$14</c:f>
              <c:strCache>
                <c:ptCount val="1"/>
                <c:pt idx="0">
                  <c:v>Definitely Recommend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'dashboard-support'!$A$15:$A$22</c:f>
              <c:strCache>
                <c:ptCount val="8"/>
                <c:pt idx="0">
                  <c:v>Government - Hospital District or Authority</c:v>
                </c:pt>
                <c:pt idx="1">
                  <c:v>Government - Local</c:v>
                </c:pt>
                <c:pt idx="2">
                  <c:v>Government - State</c:v>
                </c:pt>
                <c:pt idx="3">
                  <c:v>Physician</c:v>
                </c:pt>
                <c:pt idx="4">
                  <c:v>Proprietary</c:v>
                </c:pt>
                <c:pt idx="5">
                  <c:v>Voluntary non-profit - Church</c:v>
                </c:pt>
                <c:pt idx="6">
                  <c:v>Voluntary non-profit - Other</c:v>
                </c:pt>
                <c:pt idx="7">
                  <c:v>Voluntary non-profit - Private</c:v>
                </c:pt>
              </c:strCache>
            </c:strRef>
          </c:cat>
          <c:val>
            <c:numRef>
              <c:f>'dashboard-support'!$B$15:$B$22</c:f>
              <c:numCache>
                <c:formatCode>0.0\%</c:formatCode>
                <c:ptCount val="8"/>
                <c:pt idx="0">
                  <c:v>72.599999999999994</c:v>
                </c:pt>
                <c:pt idx="1">
                  <c:v>74.5</c:v>
                </c:pt>
                <c:pt idx="2">
                  <c:v>79.666666666666671</c:v>
                </c:pt>
                <c:pt idx="3">
                  <c:v>77.75</c:v>
                </c:pt>
                <c:pt idx="4">
                  <c:v>69.226804123711347</c:v>
                </c:pt>
                <c:pt idx="5">
                  <c:v>68.2</c:v>
                </c:pt>
                <c:pt idx="6">
                  <c:v>72.818181818181813</c:v>
                </c:pt>
                <c:pt idx="7">
                  <c:v>73.034090909090907</c:v>
                </c:pt>
              </c:numCache>
            </c:numRef>
          </c:val>
          <c:extLst>
            <c:ext xmlns:c16="http://schemas.microsoft.com/office/drawing/2014/chart" uri="{C3380CC4-5D6E-409C-BE32-E72D297353CC}">
              <c16:uniqueId val="{00000000-6DF3-4430-859C-D502E5441960}"/>
            </c:ext>
          </c:extLst>
        </c:ser>
        <c:ser>
          <c:idx val="1"/>
          <c:order val="1"/>
          <c:tx>
            <c:strRef>
              <c:f>'dashboard-support'!$C$14</c:f>
              <c:strCache>
                <c:ptCount val="1"/>
                <c:pt idx="0">
                  <c:v>Hospital Rating 9-10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'dashboard-support'!$A$15:$A$22</c:f>
              <c:strCache>
                <c:ptCount val="8"/>
                <c:pt idx="0">
                  <c:v>Government - Hospital District or Authority</c:v>
                </c:pt>
                <c:pt idx="1">
                  <c:v>Government - Local</c:v>
                </c:pt>
                <c:pt idx="2">
                  <c:v>Government - State</c:v>
                </c:pt>
                <c:pt idx="3">
                  <c:v>Physician</c:v>
                </c:pt>
                <c:pt idx="4">
                  <c:v>Proprietary</c:v>
                </c:pt>
                <c:pt idx="5">
                  <c:v>Voluntary non-profit - Church</c:v>
                </c:pt>
                <c:pt idx="6">
                  <c:v>Voluntary non-profit - Other</c:v>
                </c:pt>
                <c:pt idx="7">
                  <c:v>Voluntary non-profit - Private</c:v>
                </c:pt>
              </c:strCache>
            </c:strRef>
          </c:cat>
          <c:val>
            <c:numRef>
              <c:f>'dashboard-support'!$C$15:$C$22</c:f>
              <c:numCache>
                <c:formatCode>0.0\%</c:formatCode>
                <c:ptCount val="8"/>
                <c:pt idx="0">
                  <c:v>75.13333333333334</c:v>
                </c:pt>
                <c:pt idx="1">
                  <c:v>78</c:v>
                </c:pt>
                <c:pt idx="2">
                  <c:v>79.333333333333329</c:v>
                </c:pt>
                <c:pt idx="3">
                  <c:v>77.900000000000006</c:v>
                </c:pt>
                <c:pt idx="4">
                  <c:v>69.670103092783506</c:v>
                </c:pt>
                <c:pt idx="5">
                  <c:v>72</c:v>
                </c:pt>
                <c:pt idx="6">
                  <c:v>73</c:v>
                </c:pt>
                <c:pt idx="7">
                  <c:v>73.545454545454547</c:v>
                </c:pt>
              </c:numCache>
            </c:numRef>
          </c:val>
          <c:extLst>
            <c:ext xmlns:c16="http://schemas.microsoft.com/office/drawing/2014/chart" uri="{C3380CC4-5D6E-409C-BE32-E72D297353CC}">
              <c16:uniqueId val="{00000001-6DF3-4430-859C-D502E5441960}"/>
            </c:ext>
          </c:extLst>
        </c:ser>
        <c:dLbls>
          <c:showLegendKey val="0"/>
          <c:showVal val="0"/>
          <c:showCatName val="0"/>
          <c:showSerName val="0"/>
          <c:showPercent val="0"/>
          <c:showBubbleSize val="0"/>
        </c:dLbls>
        <c:gapWidth val="182"/>
        <c:axId val="311382688"/>
        <c:axId val="311386528"/>
      </c:barChart>
      <c:catAx>
        <c:axId val="3113826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Hospital Ownership</a:t>
                </a:r>
                <a:r>
                  <a:rPr lang="en-US" baseline="0"/>
                  <a:t> Group</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86528"/>
        <c:crosses val="autoZero"/>
        <c:auto val="1"/>
        <c:lblAlgn val="ctr"/>
        <c:lblOffset val="100"/>
        <c:noMultiLvlLbl val="0"/>
      </c:catAx>
      <c:valAx>
        <c:axId val="311386528"/>
        <c:scaling>
          <c:orientation val="minMax"/>
          <c:min val="6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HCAHPS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8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Proprietary Hospitals Had the Highest Share of Priority 1-2 Screening Results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'dashboard-support'!$D$34</c:f>
              <c:strCache>
                <c:ptCount val="1"/>
                <c:pt idx="0">
                  <c:v>Priority 1 + 2 %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'dashboard-support'!$A$35:$A$42</c:f>
              <c:strCache>
                <c:ptCount val="8"/>
                <c:pt idx="0">
                  <c:v>Proprietary</c:v>
                </c:pt>
                <c:pt idx="1">
                  <c:v>Voluntary non-profit - Private</c:v>
                </c:pt>
                <c:pt idx="2">
                  <c:v>Government - Hospital District or Authority</c:v>
                </c:pt>
                <c:pt idx="3">
                  <c:v>Physician</c:v>
                </c:pt>
                <c:pt idx="4">
                  <c:v>Government - Local</c:v>
                </c:pt>
                <c:pt idx="5">
                  <c:v>Government - State</c:v>
                </c:pt>
                <c:pt idx="6">
                  <c:v>Voluntary non-profit - Church</c:v>
                </c:pt>
                <c:pt idx="7">
                  <c:v>Voluntary non-profit - Other</c:v>
                </c:pt>
              </c:strCache>
            </c:strRef>
          </c:cat>
          <c:val>
            <c:numRef>
              <c:f>'dashboard-support'!$D$35:$D$42</c:f>
              <c:numCache>
                <c:formatCode>0.0%</c:formatCode>
                <c:ptCount val="8"/>
                <c:pt idx="0">
                  <c:v>0.23893805309734514</c:v>
                </c:pt>
                <c:pt idx="1">
                  <c:v>5.434782608695652E-2</c:v>
                </c:pt>
                <c:pt idx="2">
                  <c:v>0.12121212121212122</c:v>
                </c:pt>
                <c:pt idx="3">
                  <c:v>4.3478260869565216E-2</c:v>
                </c:pt>
                <c:pt idx="4">
                  <c:v>0</c:v>
                </c:pt>
                <c:pt idx="5">
                  <c:v>0</c:v>
                </c:pt>
                <c:pt idx="6">
                  <c:v>0</c:v>
                </c:pt>
                <c:pt idx="7">
                  <c:v>0</c:v>
                </c:pt>
              </c:numCache>
            </c:numRef>
          </c:val>
          <c:extLst>
            <c:ext xmlns:c16="http://schemas.microsoft.com/office/drawing/2014/chart" uri="{C3380CC4-5D6E-409C-BE32-E72D297353CC}">
              <c16:uniqueId val="{00000000-2B1F-447D-9FDA-6A44159D10DA}"/>
            </c:ext>
          </c:extLst>
        </c:ser>
        <c:dLbls>
          <c:showLegendKey val="0"/>
          <c:showVal val="0"/>
          <c:showCatName val="0"/>
          <c:showSerName val="0"/>
          <c:showPercent val="0"/>
          <c:showBubbleSize val="0"/>
        </c:dLbls>
        <c:gapWidth val="182"/>
        <c:axId val="682505231"/>
        <c:axId val="682501871"/>
      </c:barChart>
      <c:catAx>
        <c:axId val="6825052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Hospital Ownership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501871"/>
        <c:crosses val="autoZero"/>
        <c:auto val="1"/>
        <c:lblAlgn val="ctr"/>
        <c:lblOffset val="100"/>
        <c:noMultiLvlLbl val="0"/>
      </c:catAx>
      <c:valAx>
        <c:axId val="682501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Priority 1–2 Hospitals Within Ownership Group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50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xdr:colOff>
      <xdr:row>8</xdr:row>
      <xdr:rowOff>0</xdr:rowOff>
    </xdr:from>
    <xdr:to>
      <xdr:col>17</xdr:col>
      <xdr:colOff>-1</xdr:colOff>
      <xdr:row>24</xdr:row>
      <xdr:rowOff>0</xdr:rowOff>
    </xdr:to>
    <xdr:graphicFrame macro="">
      <xdr:nvGraphicFramePr>
        <xdr:cNvPr id="6" name="Chart 5" descr="Median favorable HCAHPS results across Texas hospitals ranged from 61% for Medicine Communication to 86% for Discharge Information; Nurse and Doctor Communication were 78%, Rating 9-10 was 72%, and Definitely Recommend was 71%.">
          <a:extLst>
            <a:ext uri="{FF2B5EF4-FFF2-40B4-BE49-F238E27FC236}">
              <a16:creationId xmlns:a16="http://schemas.microsoft.com/office/drawing/2014/main" id="{34B5FE44-5C24-4C86-829B-AD036593E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0</xdr:rowOff>
    </xdr:from>
    <xdr:to>
      <xdr:col>6</xdr:col>
      <xdr:colOff>0</xdr:colOff>
      <xdr:row>24</xdr:row>
      <xdr:rowOff>0</xdr:rowOff>
    </xdr:to>
    <xdr:graphicFrame macro="">
      <xdr:nvGraphicFramePr>
        <xdr:cNvPr id="3" name="Chart 2" descr="Distribution of 200 rated Texas acute care hospitals: 6 received one star, 36 two stars, 64 three stars, 69 four stars, and 25 five stars.">
          <a:extLst>
            <a:ext uri="{FF2B5EF4-FFF2-40B4-BE49-F238E27FC236}">
              <a16:creationId xmlns:a16="http://schemas.microsoft.com/office/drawing/2014/main" id="{2C07957A-9F73-46A2-AF41-DDD1BFEE4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5</xdr:col>
      <xdr:colOff>612117</xdr:colOff>
      <xdr:row>44</xdr:row>
      <xdr:rowOff>0</xdr:rowOff>
    </xdr:to>
    <xdr:graphicFrame macro="">
      <xdr:nvGraphicFramePr>
        <xdr:cNvPr id="5" name="Chart 4" descr="Of 254 hospitals with a CMS readmission comparison, 237 were No Different from national performance, 10 were Worse, and 7 were Better.">
          <a:extLst>
            <a:ext uri="{FF2B5EF4-FFF2-40B4-BE49-F238E27FC236}">
              <a16:creationId xmlns:a16="http://schemas.microsoft.com/office/drawing/2014/main" id="{F75A4D4D-CD77-4603-A5A5-4A4F88D84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xdr:colOff>
      <xdr:row>28</xdr:row>
      <xdr:rowOff>390</xdr:rowOff>
    </xdr:from>
    <xdr:to>
      <xdr:col>17</xdr:col>
      <xdr:colOff>0</xdr:colOff>
      <xdr:row>53</xdr:row>
      <xdr:rowOff>0</xdr:rowOff>
    </xdr:to>
    <xdr:graphicFrame macro="">
      <xdr:nvGraphicFramePr>
        <xdr:cNvPr id="9" name="Chart 8" descr="Scatterplot of 250 Texas hospitals showing a moderate negative association between patient recommendation and hospital wide readmission rate, with correlation r equals negative 0.301.">
          <a:extLst>
            <a:ext uri="{FF2B5EF4-FFF2-40B4-BE49-F238E27FC236}">
              <a16:creationId xmlns:a16="http://schemas.microsoft.com/office/drawing/2014/main" id="{5AED5178-F915-4AFD-8757-E7B4D4BBF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58</xdr:row>
      <xdr:rowOff>0</xdr:rowOff>
    </xdr:from>
    <xdr:to>
      <xdr:col>6</xdr:col>
      <xdr:colOff>0</xdr:colOff>
      <xdr:row>82</xdr:row>
      <xdr:rowOff>0</xdr:rowOff>
    </xdr:to>
    <xdr:graphicFrame macro="">
      <xdr:nvGraphicFramePr>
        <xdr:cNvPr id="2" name="Chart 1" descr="Among ownership groups with meaningful sample sizes, physician owned hospitals had the strongest patient experience averages across most HCAHPS measures, while proprietary hospitals had the lowest averages across all six. These are descriptive differences and should not be interpreted as effects caused by ownership.">
          <a:extLst>
            <a:ext uri="{FF2B5EF4-FFF2-40B4-BE49-F238E27FC236}">
              <a16:creationId xmlns:a16="http://schemas.microsoft.com/office/drawing/2014/main" id="{4074C30D-83B3-49C8-9A63-301E9120E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58</xdr:row>
      <xdr:rowOff>0</xdr:rowOff>
    </xdr:from>
    <xdr:to>
      <xdr:col>17</xdr:col>
      <xdr:colOff>0</xdr:colOff>
      <xdr:row>74</xdr:row>
      <xdr:rowOff>3101</xdr:rowOff>
    </xdr:to>
    <xdr:graphicFrame macro="">
      <xdr:nvGraphicFramePr>
        <xdr:cNvPr id="7" name="Chart 6" descr="Percentage of hospitals classified Priority 1 or Priority 2 by ownership. Proprietary hospitals were highest at 23.9%, followed by Government Hospital District or Authority at 12.1%, Voluntary Non-profit Private at 5.4%, and Physician at 4.3%.">
          <a:extLst>
            <a:ext uri="{FF2B5EF4-FFF2-40B4-BE49-F238E27FC236}">
              <a16:creationId xmlns:a16="http://schemas.microsoft.com/office/drawing/2014/main" id="{1487694B-7F36-4BF4-8FB4-63C1526F4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0.43686</cdr:x>
      <cdr:y>0.42139</cdr:y>
    </cdr:from>
    <cdr:to>
      <cdr:x>0.56314</cdr:x>
      <cdr:y>0.57861</cdr:y>
    </cdr:to>
    <cdr:sp macro="" textlink="">
      <cdr:nvSpPr>
        <cdr:cNvPr id="3" name="TextBox 2">
          <a:extLst xmlns:a="http://schemas.openxmlformats.org/drawingml/2006/main">
            <a:ext uri="{FF2B5EF4-FFF2-40B4-BE49-F238E27FC236}">
              <a16:creationId xmlns:a16="http://schemas.microsoft.com/office/drawing/2014/main" id="{EAB901BB-CAAB-B383-2D22-B986292A5721}"/>
            </a:ext>
          </a:extLst>
        </cdr:cNvPr>
        <cdr:cNvSpPr txBox="1"/>
      </cdr:nvSpPr>
      <cdr:spPr>
        <a:xfrm xmlns:a="http://schemas.openxmlformats.org/drawingml/2006/main">
          <a:off x="3163253" y="245081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0.13032</cdr:x>
      <cdr:y>0.09897</cdr:y>
    </cdr:from>
    <cdr:to>
      <cdr:x>0.8</cdr:x>
      <cdr:y>0.16349</cdr:y>
    </cdr:to>
    <cdr:sp macro="" textlink="">
      <cdr:nvSpPr>
        <cdr:cNvPr id="4" name="TextBox 3">
          <a:extLst xmlns:a="http://schemas.openxmlformats.org/drawingml/2006/main">
            <a:ext uri="{FF2B5EF4-FFF2-40B4-BE49-F238E27FC236}">
              <a16:creationId xmlns:a16="http://schemas.microsoft.com/office/drawing/2014/main" id="{B926179B-BE8D-515F-EAAB-913A1A6F4A82}"/>
            </a:ext>
          </a:extLst>
        </cdr:cNvPr>
        <cdr:cNvSpPr txBox="1"/>
      </cdr:nvSpPr>
      <cdr:spPr>
        <a:xfrm xmlns:a="http://schemas.openxmlformats.org/drawingml/2006/main">
          <a:off x="793288" y="455058"/>
          <a:ext cx="4076504" cy="29665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l"/>
          <a:r>
            <a:rPr lang="en-US" sz="1100" kern="1200"/>
            <a:t>r = -0.301 | N = 250</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inton vu" refreshedDate="46248.582674189813" createdVersion="8" refreshedVersion="8" minRefreshableVersion="3" recordCount="285" xr:uid="{82D7A7EF-9201-4F5F-B199-2AD264D994EE}">
  <cacheSource type="worksheet">
    <worksheetSource name="tblMergedCleaned"/>
  </cacheSource>
  <cacheFields count="45">
    <cacheField name="Facility_ID" numFmtId="0">
      <sharedItems count="285">
        <s v="450002"/>
        <s v="450007"/>
        <s v="450010"/>
        <s v="450011"/>
        <s v="450015"/>
        <s v="450018"/>
        <s v="450021"/>
        <s v="450023"/>
        <s v="450024"/>
        <s v="450028"/>
        <s v="450029"/>
        <s v="450032"/>
        <s v="450033"/>
        <s v="450034"/>
        <s v="450035"/>
        <s v="450039"/>
        <s v="450040"/>
        <s v="450042"/>
        <s v="450044"/>
        <s v="450046"/>
        <s v="450051"/>
        <s v="450054"/>
        <s v="450055"/>
        <s v="450056"/>
        <s v="450058"/>
        <s v="450064"/>
        <s v="450068"/>
        <s v="450072"/>
        <s v="450079"/>
        <s v="450080"/>
        <s v="450082"/>
        <s v="450083"/>
        <s v="450087"/>
        <s v="450090"/>
        <s v="450092"/>
        <s v="450097"/>
        <s v="450101"/>
        <s v="450102"/>
        <s v="450104"/>
        <s v="450107"/>
        <s v="450108"/>
        <s v="450119"/>
        <s v="450124"/>
        <s v="450128"/>
        <s v="450132"/>
        <s v="450133"/>
        <s v="450135"/>
        <s v="450137"/>
        <s v="450144"/>
        <s v="450147"/>
        <s v="450148"/>
        <s v="450152"/>
        <s v="450154"/>
        <s v="450155"/>
        <s v="450162"/>
        <s v="450163"/>
        <s v="450165"/>
        <s v="450176"/>
        <s v="450184"/>
        <s v="450193"/>
        <s v="450194"/>
        <s v="450196"/>
        <s v="450200"/>
        <s v="450203"/>
        <s v="450209"/>
        <s v="450210"/>
        <s v="450211"/>
        <s v="450213"/>
        <s v="450222"/>
        <s v="450229"/>
        <s v="450231"/>
        <s v="450235"/>
        <s v="450236"/>
        <s v="450237"/>
        <s v="450241"/>
        <s v="450253"/>
        <s v="450272"/>
        <s v="450289"/>
        <s v="450292"/>
        <s v="450324"/>
        <s v="450330"/>
        <s v="450346"/>
        <s v="450347"/>
        <s v="450351"/>
        <s v="450352"/>
        <s v="450358"/>
        <s v="450369"/>
        <s v="450370"/>
        <s v="450372"/>
        <s v="450379"/>
        <s v="450388"/>
        <s v="450389"/>
        <s v="450395"/>
        <s v="450399"/>
        <s v="450400"/>
        <s v="450403"/>
        <s v="450419"/>
        <s v="450422"/>
        <s v="450424"/>
        <s v="450431"/>
        <s v="450447"/>
        <s v="450451"/>
        <s v="450460"/>
        <s v="450462"/>
        <s v="450465"/>
        <s v="450469"/>
        <s v="450475"/>
        <s v="450484"/>
        <s v="450489"/>
        <s v="450508"/>
        <s v="450518"/>
        <s v="450537"/>
        <s v="450539"/>
        <s v="450563"/>
        <s v="450565"/>
        <s v="450571"/>
        <s v="450573"/>
        <s v="450584"/>
        <s v="450587"/>
        <s v="450596"/>
        <s v="450597"/>
        <s v="450604"/>
        <s v="450610"/>
        <s v="450617"/>
        <s v="450634"/>
        <s v="450638"/>
        <s v="450639"/>
        <s v="450641"/>
        <s v="450643"/>
        <s v="450644"/>
        <s v="450647"/>
        <s v="450651"/>
        <s v="450653"/>
        <s v="450654"/>
        <s v="450656"/>
        <s v="450658"/>
        <s v="450659"/>
        <s v="450661"/>
        <s v="450662"/>
        <s v="450668"/>
        <s v="450669"/>
        <s v="450670"/>
        <s v="450672"/>
        <s v="450674"/>
        <s v="450675"/>
        <s v="450677"/>
        <s v="450678"/>
        <s v="450684"/>
        <s v="450686"/>
        <s v="450688"/>
        <s v="450690"/>
        <s v="450694"/>
        <s v="450698"/>
        <s v="450702"/>
        <s v="450709"/>
        <s v="450711"/>
        <s v="450713"/>
        <s v="450718"/>
        <s v="450723"/>
        <s v="450730"/>
        <s v="450742"/>
        <s v="450743"/>
        <s v="450747"/>
        <s v="450755"/>
        <s v="450771"/>
        <s v="450774"/>
        <s v="450775"/>
        <s v="450779"/>
        <s v="450788"/>
        <s v="450801"/>
        <s v="450804"/>
        <s v="450808"/>
        <s v="450809"/>
        <s v="450820"/>
        <s v="450822"/>
        <s v="450825"/>
        <s v="450827"/>
        <s v="450828"/>
        <s v="450831"/>
        <s v="450833"/>
        <s v="450834"/>
        <s v="450840"/>
        <s v="450844"/>
        <s v="450847"/>
        <s v="450848"/>
        <s v="450851"/>
        <s v="450853"/>
        <s v="450855"/>
        <s v="450856"/>
        <s v="450860"/>
        <s v="450862"/>
        <s v="450864"/>
        <s v="450865"/>
        <s v="450867"/>
        <s v="450869"/>
        <s v="450872"/>
        <s v="450874"/>
        <s v="450875"/>
        <s v="450876"/>
        <s v="450880"/>
        <s v="450883"/>
        <s v="450885"/>
        <s v="450888"/>
        <s v="450889"/>
        <s v="450890"/>
        <s v="450891"/>
        <s v="450893"/>
        <s v="450895"/>
        <s v="670005"/>
        <s v="670006"/>
        <s v="670008"/>
        <s v="670010"/>
        <s v="670023"/>
        <s v="670025"/>
        <s v="670031"/>
        <s v="670034"/>
        <s v="670041"/>
        <s v="670043"/>
        <s v="670044"/>
        <s v="670047"/>
        <s v="670049"/>
        <s v="670053"/>
        <s v="670054"/>
        <s v="670055"/>
        <s v="670056"/>
        <s v="670059"/>
        <s v="670060"/>
        <s v="670062"/>
        <s v="670067"/>
        <s v="670068"/>
        <s v="670069"/>
        <s v="670071"/>
        <s v="670073"/>
        <s v="670075"/>
        <s v="670076"/>
        <s v="670077"/>
        <s v="670078"/>
        <s v="670080"/>
        <s v="670082"/>
        <s v="670085"/>
        <s v="670088"/>
        <s v="670090"/>
        <s v="670093"/>
        <s v="670098"/>
        <s v="670102"/>
        <s v="670103"/>
        <s v="670106"/>
        <s v="670107"/>
        <s v="670108"/>
        <s v="670109"/>
        <s v="670112"/>
        <s v="670115"/>
        <s v="670120"/>
        <s v="670121"/>
        <s v="670122"/>
        <s v="670124"/>
        <s v="670125"/>
        <s v="670128"/>
        <s v="670131"/>
        <s v="670132"/>
        <s v="670134"/>
        <s v="670135"/>
        <s v="670136"/>
        <s v="670260"/>
        <s v="670265"/>
        <s v="670266"/>
        <s v="670267"/>
        <s v="670285"/>
        <s v="670300"/>
        <s v="670309"/>
        <s v="670314"/>
        <s v="670320"/>
        <s v="670321"/>
        <s v="670322"/>
        <s v="670326"/>
        <s v="670327"/>
        <s v="670331"/>
        <s v="670333"/>
        <s v="670335"/>
        <s v="670336"/>
        <s v="670340"/>
        <s v="670342"/>
        <s v="670343"/>
        <s v="670345"/>
        <s v="670346"/>
      </sharedItems>
    </cacheField>
    <cacheField name="Facility_Name" numFmtId="0">
      <sharedItems/>
    </cacheField>
    <cacheField name="Address" numFmtId="0">
      <sharedItems/>
    </cacheField>
    <cacheField name="City" numFmtId="0">
      <sharedItems/>
    </cacheField>
    <cacheField name="State" numFmtId="0">
      <sharedItems/>
    </cacheField>
    <cacheField name="ZIP_Code" numFmtId="0">
      <sharedItems/>
    </cacheField>
    <cacheField name="County" numFmtId="0">
      <sharedItems/>
    </cacheField>
    <cacheField name="Telephone_Number" numFmtId="0">
      <sharedItems/>
    </cacheField>
    <cacheField name="Hospital_Type" numFmtId="0">
      <sharedItems/>
    </cacheField>
    <cacheField name="Hospital_Ownership" numFmtId="0">
      <sharedItems count="8">
        <s v="Proprietary"/>
        <s v="Voluntary non-profit - Private"/>
        <s v="Government - Hospital District or Authority"/>
        <s v="Government - State"/>
        <s v="Voluntary non-profit - Other"/>
        <s v="Physician"/>
        <s v="Government - Local"/>
        <s v="Voluntary non-profit - Church"/>
      </sharedItems>
    </cacheField>
    <cacheField name="Emergency_Services" numFmtId="0">
      <sharedItems/>
    </cacheField>
    <cacheField name="Overall_Rating" numFmtId="0">
      <sharedItems containsString="0" containsBlank="1" containsNumber="1" containsInteger="1" minValue="1" maxValue="5" count="6">
        <n v="2"/>
        <n v="4"/>
        <n v="3"/>
        <n v="5"/>
        <m/>
        <n v="1"/>
      </sharedItems>
    </cacheField>
    <cacheField name="Overall_Rating_Raw" numFmtId="0">
      <sharedItems/>
    </cacheField>
    <cacheField name="Overall_Rating_Footnote" numFmtId="0">
      <sharedItems/>
    </cacheField>
    <cacheField name="Nurse_Communication_Pct" numFmtId="164">
      <sharedItems containsString="0" containsBlank="1" containsNumber="1" containsInteger="1" minValue="63" maxValue="96"/>
    </cacheField>
    <cacheField name="Doctor_Communication_Pct" numFmtId="164">
      <sharedItems containsString="0" containsBlank="1" containsNumber="1" containsInteger="1" minValue="67" maxValue="98"/>
    </cacheField>
    <cacheField name="Medicine_Communication_Pct" numFmtId="164">
      <sharedItems containsString="0" containsBlank="1" containsNumber="1" containsInteger="1" minValue="41" maxValue="91"/>
    </cacheField>
    <cacheField name="Discharge_Info_Pct" numFmtId="164">
      <sharedItems containsString="0" containsBlank="1" containsNumber="1" containsInteger="1" minValue="70" maxValue="97"/>
    </cacheField>
    <cacheField name="Hospital_Rating_9_10_Pct" numFmtId="164">
      <sharedItems containsString="0" containsBlank="1" containsNumber="1" containsInteger="1" minValue="52" maxValue="93"/>
    </cacheField>
    <cacheField name="Definitely_Recommend_Pct" numFmtId="164">
      <sharedItems containsString="0" containsBlank="1" containsNumber="1" containsInteger="1" minValue="49" maxValue="93"/>
    </cacheField>
    <cacheField name="Completed_Surveys_Raw" numFmtId="0">
      <sharedItems/>
    </cacheField>
    <cacheField name="Survey_Response_Rate_Pct" numFmtId="164">
      <sharedItems containsString="0" containsBlank="1" containsNumber="1" containsInteger="1" minValue="5" maxValue="44"/>
    </cacheField>
    <cacheField name="HCAHPS_Start_Date" numFmtId="14">
      <sharedItems containsSemiMixedTypes="0" containsNonDate="0" containsDate="1" containsString="0" minDate="2024-07-01T00:00:00" maxDate="2024-07-02T00:00:00"/>
    </cacheField>
    <cacheField name="HCAHPS_End_Date" numFmtId="14">
      <sharedItems containsSemiMixedTypes="0" containsNonDate="0" containsDate="1" containsString="0" minDate="2025-06-30T00:00:00" maxDate="2025-07-01T00:00:00"/>
    </cacheField>
    <cacheField name="Readmission_Rate_Pct" numFmtId="164">
      <sharedItems containsString="0" containsBlank="1" containsNumber="1" minValue="13.4" maxValue="16.899999999999999"/>
    </cacheField>
    <cacheField name="Readmission_Comparison" numFmtId="0">
      <sharedItems containsBlank="1" count="4">
        <s v="No Different"/>
        <s v="Better"/>
        <s v="Worse"/>
        <m/>
      </sharedItems>
    </cacheField>
    <cacheField name="Readmission_Denominator" numFmtId="0">
      <sharedItems containsString="0" containsBlank="1" containsNumber="1" containsInteger="1" minValue="31" maxValue="12978"/>
    </cacheField>
    <cacheField name="Readmission_Lower_Estimate" numFmtId="164">
      <sharedItems containsString="0" containsBlank="1" containsNumber="1" minValue="11" maxValue="15.8"/>
    </cacheField>
    <cacheField name="Readmission_Higher_Estimate" numFmtId="164">
      <sharedItems containsString="0" containsBlank="1" containsNumber="1" minValue="14.4" maxValue="19.100000000000001"/>
    </cacheField>
    <cacheField name="Readmission_Footnote" numFmtId="0">
      <sharedItems/>
    </cacheField>
    <cacheField name="Readmission_Start_Date" numFmtId="14">
      <sharedItems containsSemiMixedTypes="0" containsNonDate="0" containsDate="1" containsString="0" minDate="2023-07-01T00:00:00" maxDate="2023-07-02T00:00:00"/>
    </cacheField>
    <cacheField name="Readmission_End_Date" numFmtId="14">
      <sharedItems containsSemiMixedTypes="0" containsNonDate="0" containsDate="1" containsString="0" minDate="2024-06-30T00:00:00" maxDate="2024-07-01T00:00:00"/>
    </cacheField>
    <cacheField name="Overall_Rating_Available" numFmtId="0">
      <sharedItems count="2">
        <b v="1"/>
        <b v="0"/>
      </sharedItems>
    </cacheField>
    <cacheField name="HCAHPS_Available" numFmtId="0">
      <sharedItems count="2">
        <b v="1"/>
        <b v="0"/>
      </sharedItems>
    </cacheField>
    <cacheField name="Readmission_Available" numFmtId="0">
      <sharedItems count="2">
        <b v="1"/>
        <b v="0"/>
      </sharedItems>
    </cacheField>
    <cacheField name="Rating_Group" numFmtId="0">
      <sharedItems/>
    </cacheField>
    <cacheField name="Low_Rating_Flag" numFmtId="0">
      <sharedItems containsMixedTypes="1" containsNumber="1" containsInteger="1" minValue="0" maxValue="1"/>
    </cacheField>
    <cacheField name="Below_TX_Median_Recommend_Flag" numFmtId="0">
      <sharedItems containsMixedTypes="1" containsNumber="1" containsInteger="1" minValue="0" maxValue="1"/>
    </cacheField>
    <cacheField name="Worse_Readmission_Flag" numFmtId="0">
      <sharedItems containsMixedTypes="1" containsNumber="1" containsInteger="1" minValue="0" maxValue="1"/>
    </cacheField>
    <cacheField name="Signals_Available_Count" numFmtId="0">
      <sharedItems containsSemiMixedTypes="0" containsString="0" containsNumber="1" containsInteger="1" minValue="0" maxValue="3"/>
    </cacheField>
    <cacheField name="Screening_Signal_Count" numFmtId="0">
      <sharedItems containsSemiMixedTypes="0" containsString="0" containsNumber="1" containsInteger="1" minValue="0" maxValue="3"/>
    </cacheField>
    <cacheField name="Priority_Tier" numFmtId="0">
      <sharedItems count="5">
        <s v="Priority 2"/>
        <s v="No flagged signals"/>
        <s v="Monitor"/>
        <s v="Limited data"/>
        <s v="Priority 1"/>
      </sharedItems>
    </cacheField>
    <cacheField name="Recommendation_Quartile" numFmtId="0">
      <sharedItems count="5">
        <s v="Q1 - Lowest"/>
        <s v="Q4 - Highest"/>
        <s v="Q2"/>
        <s v="Q3"/>
        <s v="Unavailable"/>
      </sharedItems>
    </cacheField>
    <cacheField name="Recommend_vs_TX_Median" numFmtId="164">
      <sharedItems containsMixedTypes="1" containsNumber="1" containsInteger="1" minValue="-22" maxValue="22"/>
    </cacheField>
    <cacheField name="Readmission_vs_TX_Median" numFmtId="164">
      <sharedItems containsMixedTypes="1" containsNumber="1" minValue="-1.5" maxValue="1.999999999999998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5">
  <r>
    <x v="0"/>
    <s v="THE HOSPITALS OF PROVIDENCE - MEMORIAL CAMPUS"/>
    <s v="2001 N OREGON ST"/>
    <s v="EL PASO"/>
    <s v="TX"/>
    <s v="79902"/>
    <s v="EL PASO"/>
    <s v="(915) 577-6011"/>
    <s v="Acute Care Hospitals"/>
    <x v="0"/>
    <s v="Yes"/>
    <x v="0"/>
    <s v="2"/>
    <s v=""/>
    <n v="64"/>
    <n v="68"/>
    <n v="54"/>
    <n v="82"/>
    <n v="52"/>
    <n v="54"/>
    <s v="529"/>
    <n v="10"/>
    <d v="2024-07-01T00:00:00"/>
    <d v="2025-06-30T00:00:00"/>
    <n v="15.3"/>
    <x v="0"/>
    <n v="628"/>
    <n v="13.9"/>
    <n v="17"/>
    <s v=""/>
    <d v="2023-07-01T00:00:00"/>
    <d v="2024-06-30T00:00:00"/>
    <x v="0"/>
    <x v="0"/>
    <x v="0"/>
    <s v="Low (1-2)"/>
    <n v="1"/>
    <n v="1"/>
    <n v="0"/>
    <n v="3"/>
    <n v="2"/>
    <x v="0"/>
    <x v="0"/>
    <n v="-17"/>
    <n v="0.40000000000000036"/>
  </r>
  <r>
    <x v="1"/>
    <s v="PETERSON REGIONAL MEDICAL CENTER"/>
    <s v="551 HILL COUNTRY DRIVE"/>
    <s v="KERRVILLE"/>
    <s v="TX"/>
    <s v="78028"/>
    <s v="KERR"/>
    <s v="(830) 896-4200"/>
    <s v="Acute Care Hospitals"/>
    <x v="1"/>
    <s v="Yes"/>
    <x v="1"/>
    <s v="4"/>
    <s v=""/>
    <n v="81"/>
    <n v="78"/>
    <n v="64"/>
    <n v="91"/>
    <n v="81"/>
    <n v="80"/>
    <s v="750"/>
    <n v="22"/>
    <d v="2024-07-01T00:00:00"/>
    <d v="2025-06-30T00:00:00"/>
    <n v="15"/>
    <x v="0"/>
    <n v="1340"/>
    <n v="13.7"/>
    <n v="16.399999999999999"/>
    <s v=""/>
    <d v="2023-07-01T00:00:00"/>
    <d v="2024-06-30T00:00:00"/>
    <x v="0"/>
    <x v="0"/>
    <x v="0"/>
    <s v="High (4-5)"/>
    <n v="0"/>
    <n v="0"/>
    <n v="0"/>
    <n v="3"/>
    <n v="0"/>
    <x v="1"/>
    <x v="1"/>
    <n v="9"/>
    <n v="9.9999999999999645E-2"/>
  </r>
  <r>
    <x v="2"/>
    <s v="UNITED REGIONAL HEALTH CARE SYSTEM"/>
    <s v="1600 11TH STREET"/>
    <s v="WICHITA FALLS"/>
    <s v="TX"/>
    <s v="76301"/>
    <s v="WICHITA"/>
    <s v="(940) 764-7000"/>
    <s v="Acute Care Hospitals"/>
    <x v="1"/>
    <s v="Yes"/>
    <x v="2"/>
    <s v="3"/>
    <s v=""/>
    <n v="79"/>
    <n v="75"/>
    <n v="58"/>
    <n v="87"/>
    <n v="71"/>
    <n v="71"/>
    <s v="505"/>
    <n v="20"/>
    <d v="2024-07-01T00:00:00"/>
    <d v="2025-06-30T00:00:00"/>
    <n v="15.6"/>
    <x v="0"/>
    <n v="3943"/>
    <n v="14.7"/>
    <n v="16.399999999999999"/>
    <s v=""/>
    <d v="2023-07-01T00:00:00"/>
    <d v="2024-06-30T00:00:00"/>
    <x v="0"/>
    <x v="0"/>
    <x v="0"/>
    <s v="Middle (3)"/>
    <n v="0"/>
    <n v="0"/>
    <n v="0"/>
    <n v="3"/>
    <n v="0"/>
    <x v="1"/>
    <x v="2"/>
    <n v="0"/>
    <n v="0.69999999999999929"/>
  </r>
  <r>
    <x v="3"/>
    <s v="CHI ST JOSEPH HEALTH REGIONAL HOSPITAL"/>
    <s v="2801 FRANCISCAN DR"/>
    <s v="BRYAN"/>
    <s v="TX"/>
    <s v="77802"/>
    <s v="BRAZOS"/>
    <s v="(979) 776-3912"/>
    <s v="Acute Care Hospitals"/>
    <x v="1"/>
    <s v="Yes"/>
    <x v="0"/>
    <s v="2"/>
    <s v=""/>
    <n v="77"/>
    <n v="77"/>
    <n v="61"/>
    <n v="83"/>
    <n v="66"/>
    <n v="66"/>
    <s v="1177"/>
    <n v="13"/>
    <d v="2024-07-01T00:00:00"/>
    <d v="2025-06-30T00:00:00"/>
    <n v="14.9"/>
    <x v="0"/>
    <n v="2792"/>
    <n v="13.9"/>
    <n v="15.9"/>
    <s v=""/>
    <d v="2023-07-01T00:00:00"/>
    <d v="2024-06-30T00:00:00"/>
    <x v="0"/>
    <x v="0"/>
    <x v="0"/>
    <s v="Low (1-2)"/>
    <n v="1"/>
    <n v="1"/>
    <n v="0"/>
    <n v="3"/>
    <n v="2"/>
    <x v="0"/>
    <x v="0"/>
    <n v="-5"/>
    <n v="0"/>
  </r>
  <r>
    <x v="4"/>
    <s v="PARKLAND HEALTH &amp; HOSPITAL SYSTEM"/>
    <s v="5200 HARRY HINES BLVD"/>
    <s v="DALLAS"/>
    <s v="TX"/>
    <s v="75235"/>
    <s v="DALLAS"/>
    <s v="(214) 590-8000"/>
    <s v="Acute Care Hospitals"/>
    <x v="2"/>
    <s v="Yes"/>
    <x v="2"/>
    <s v="3"/>
    <s v=""/>
    <n v="73"/>
    <n v="76"/>
    <n v="56"/>
    <n v="85"/>
    <n v="70"/>
    <n v="70"/>
    <s v="1727"/>
    <n v="6"/>
    <d v="2024-07-01T00:00:00"/>
    <d v="2025-06-30T00:00:00"/>
    <n v="14.7"/>
    <x v="0"/>
    <n v="893"/>
    <n v="13.5"/>
    <n v="16.100000000000001"/>
    <s v=""/>
    <d v="2023-07-01T00:00:00"/>
    <d v="2024-06-30T00:00:00"/>
    <x v="0"/>
    <x v="0"/>
    <x v="0"/>
    <s v="Middle (3)"/>
    <n v="0"/>
    <n v="1"/>
    <n v="0"/>
    <n v="3"/>
    <n v="1"/>
    <x v="2"/>
    <x v="2"/>
    <n v="-1"/>
    <n v="-0.20000000000000107"/>
  </r>
  <r>
    <x v="5"/>
    <s v="UNIVERSITY OF TEXAS MEDICAL BRANCH GALVESTON"/>
    <s v="301 UNIVERSITY BOULEVARD"/>
    <s v="GALVESTON"/>
    <s v="TX"/>
    <s v="77555"/>
    <s v="GALVESTON"/>
    <s v="(409) 772-1011"/>
    <s v="Acute Care Hospitals"/>
    <x v="3"/>
    <s v="Yes"/>
    <x v="2"/>
    <s v="3"/>
    <s v=""/>
    <n v="77"/>
    <n v="76"/>
    <n v="61"/>
    <n v="85"/>
    <n v="74"/>
    <n v="72"/>
    <s v="1342"/>
    <n v="11"/>
    <d v="2024-07-01T00:00:00"/>
    <d v="2025-06-30T00:00:00"/>
    <n v="16"/>
    <x v="0"/>
    <n v="3474"/>
    <n v="15"/>
    <n v="16.899999999999999"/>
    <s v=""/>
    <d v="2023-07-01T00:00:00"/>
    <d v="2024-06-30T00:00:00"/>
    <x v="0"/>
    <x v="0"/>
    <x v="0"/>
    <s v="Middle (3)"/>
    <n v="0"/>
    <n v="0"/>
    <n v="0"/>
    <n v="3"/>
    <n v="0"/>
    <x v="1"/>
    <x v="3"/>
    <n v="1"/>
    <n v="1.0999999999999996"/>
  </r>
  <r>
    <x v="6"/>
    <s v="BAYLOR UNIVERSITY MEDICAL CENTER"/>
    <s v="3500 GASTON AVE"/>
    <s v="DALLAS"/>
    <s v="TX"/>
    <s v="75246"/>
    <s v="DALLAS"/>
    <s v="(214) 820-8082"/>
    <s v="Acute Care Hospitals"/>
    <x v="1"/>
    <s v="Yes"/>
    <x v="1"/>
    <s v="4"/>
    <s v=""/>
    <n v="78"/>
    <n v="80"/>
    <n v="60"/>
    <n v="87"/>
    <n v="71"/>
    <n v="74"/>
    <s v="2284"/>
    <n v="12"/>
    <d v="2024-07-01T00:00:00"/>
    <d v="2025-06-30T00:00:00"/>
    <n v="13.9"/>
    <x v="1"/>
    <n v="4591"/>
    <n v="13.1"/>
    <n v="14.7"/>
    <s v=""/>
    <d v="2023-07-01T00:00:00"/>
    <d v="2024-06-30T00:00:00"/>
    <x v="0"/>
    <x v="0"/>
    <x v="0"/>
    <s v="High (4-5)"/>
    <n v="0"/>
    <n v="0"/>
    <n v="0"/>
    <n v="3"/>
    <n v="0"/>
    <x v="1"/>
    <x v="3"/>
    <n v="3"/>
    <n v="-1"/>
  </r>
  <r>
    <x v="7"/>
    <s v="CITIZENS MEDICAL CENTER"/>
    <s v="2701 HOSPITAL DRIVE"/>
    <s v="VICTORIA"/>
    <s v="TX"/>
    <s v="77901"/>
    <s v="VICTORIA"/>
    <s v="(361) 573-9181"/>
    <s v="Acute Care Hospitals"/>
    <x v="4"/>
    <s v="Yes"/>
    <x v="2"/>
    <s v="3"/>
    <s v=""/>
    <n v="80"/>
    <n v="79"/>
    <n v="61"/>
    <n v="83"/>
    <n v="73"/>
    <n v="73"/>
    <s v="882"/>
    <n v="19"/>
    <d v="2024-07-01T00:00:00"/>
    <d v="2025-06-30T00:00:00"/>
    <n v="14.7"/>
    <x v="0"/>
    <n v="1380"/>
    <n v="13.5"/>
    <n v="16.100000000000001"/>
    <s v=""/>
    <d v="2023-07-01T00:00:00"/>
    <d v="2024-06-30T00:00:00"/>
    <x v="0"/>
    <x v="0"/>
    <x v="0"/>
    <s v="Middle (3)"/>
    <n v="0"/>
    <n v="0"/>
    <n v="0"/>
    <n v="3"/>
    <n v="0"/>
    <x v="1"/>
    <x v="3"/>
    <n v="2"/>
    <n v="-0.20000000000000107"/>
  </r>
  <r>
    <x v="8"/>
    <s v="UNIVERSITY MEDICAL CENTER OF EL PASO"/>
    <s v="4815 ALAMEDA AVE"/>
    <s v="EL PASO"/>
    <s v="TX"/>
    <s v="79905"/>
    <s v="EL PASO"/>
    <s v="(915) 521-7602"/>
    <s v="Acute Care Hospitals"/>
    <x v="5"/>
    <s v="Yes"/>
    <x v="2"/>
    <s v="3"/>
    <s v=""/>
    <n v="73"/>
    <n v="75"/>
    <n v="56"/>
    <n v="84"/>
    <n v="68"/>
    <n v="70"/>
    <s v="2423"/>
    <n v="24"/>
    <d v="2024-07-01T00:00:00"/>
    <d v="2025-06-30T00:00:00"/>
    <n v="15.4"/>
    <x v="0"/>
    <n v="906"/>
    <n v="14.1"/>
    <n v="16.8"/>
    <s v=""/>
    <d v="2023-07-01T00:00:00"/>
    <d v="2024-06-30T00:00:00"/>
    <x v="0"/>
    <x v="0"/>
    <x v="0"/>
    <s v="Middle (3)"/>
    <n v="0"/>
    <n v="1"/>
    <n v="0"/>
    <n v="3"/>
    <n v="1"/>
    <x v="2"/>
    <x v="2"/>
    <n v="-1"/>
    <n v="0.5"/>
  </r>
  <r>
    <x v="9"/>
    <s v="VALLEY BAPTIST MEDICAL CENTER- BROWNSVILLE"/>
    <s v="1040 W JEFFERSON ST"/>
    <s v="BROWNSVILLE"/>
    <s v="TX"/>
    <s v="78520"/>
    <s v="CAMERON"/>
    <s v="(956) 544-1400"/>
    <s v="Acute Care Hospitals"/>
    <x v="0"/>
    <s v="Yes"/>
    <x v="2"/>
    <s v="3"/>
    <s v=""/>
    <n v="66"/>
    <n v="69"/>
    <n v="51"/>
    <n v="81"/>
    <n v="58"/>
    <n v="58"/>
    <s v="410"/>
    <n v="8"/>
    <d v="2024-07-01T00:00:00"/>
    <d v="2025-06-30T00:00:00"/>
    <n v="15.4"/>
    <x v="0"/>
    <n v="710"/>
    <n v="14"/>
    <n v="16.899999999999999"/>
    <s v=""/>
    <d v="2023-07-01T00:00:00"/>
    <d v="2024-06-30T00:00:00"/>
    <x v="0"/>
    <x v="0"/>
    <x v="0"/>
    <s v="Middle (3)"/>
    <n v="0"/>
    <n v="1"/>
    <n v="0"/>
    <n v="3"/>
    <n v="1"/>
    <x v="2"/>
    <x v="0"/>
    <n v="-13"/>
    <n v="0.5"/>
  </r>
  <r>
    <x v="10"/>
    <s v="LAREDO MEDICAL CENTER"/>
    <s v="1700 EAST SAUNDERS"/>
    <s v="LAREDO"/>
    <s v="TX"/>
    <s v="78044"/>
    <s v="WEBB"/>
    <s v="(956) 796-5000"/>
    <s v="Acute Care Hospitals"/>
    <x v="0"/>
    <s v="Yes"/>
    <x v="1"/>
    <s v="4"/>
    <s v=""/>
    <n v="74"/>
    <n v="75"/>
    <n v="56"/>
    <n v="80"/>
    <n v="59"/>
    <n v="59"/>
    <s v="387"/>
    <n v="7"/>
    <d v="2024-07-01T00:00:00"/>
    <d v="2025-06-30T00:00:00"/>
    <n v="15.1"/>
    <x v="0"/>
    <n v="1371"/>
    <n v="13.9"/>
    <n v="16.2"/>
    <s v=""/>
    <d v="2023-07-01T00:00:00"/>
    <d v="2024-06-30T00:00:00"/>
    <x v="0"/>
    <x v="0"/>
    <x v="0"/>
    <s v="High (4-5)"/>
    <n v="0"/>
    <n v="1"/>
    <n v="0"/>
    <n v="3"/>
    <n v="1"/>
    <x v="2"/>
    <x v="0"/>
    <n v="-12"/>
    <n v="0.19999999999999929"/>
  </r>
  <r>
    <x v="11"/>
    <s v="CHRISTUS GOOD SHEPHERD MEDICAL CENTER"/>
    <s v="700 E MARSHALL AVE"/>
    <s v="LONGVIEW"/>
    <s v="TX"/>
    <s v="75601"/>
    <s v="GREGG"/>
    <s v="(903) 927-6712"/>
    <s v="Acute Care Hospitals"/>
    <x v="1"/>
    <s v="Yes"/>
    <x v="1"/>
    <s v="4"/>
    <s v=""/>
    <n v="81"/>
    <n v="78"/>
    <n v="67"/>
    <n v="85"/>
    <n v="72"/>
    <n v="71"/>
    <s v="486"/>
    <n v="15"/>
    <d v="2024-07-01T00:00:00"/>
    <d v="2025-06-30T00:00:00"/>
    <n v="16.399999999999999"/>
    <x v="2"/>
    <n v="2659"/>
    <n v="15.4"/>
    <n v="17.399999999999999"/>
    <s v=""/>
    <d v="2023-07-01T00:00:00"/>
    <d v="2024-06-30T00:00:00"/>
    <x v="0"/>
    <x v="0"/>
    <x v="0"/>
    <s v="High (4-5)"/>
    <n v="0"/>
    <n v="0"/>
    <n v="1"/>
    <n v="3"/>
    <n v="1"/>
    <x v="2"/>
    <x v="2"/>
    <n v="0"/>
    <n v="1.4999999999999982"/>
  </r>
  <r>
    <x v="12"/>
    <s v="VHS HARLINGEN HOSPITAL COMPANY LLC"/>
    <s v="2101 PEASE ST"/>
    <s v="HARLINGEN"/>
    <s v="TX"/>
    <s v="78550"/>
    <s v="CAMERON"/>
    <s v="(956) 389-1100"/>
    <s v="Acute Care Hospitals"/>
    <x v="0"/>
    <s v="Yes"/>
    <x v="0"/>
    <s v="2"/>
    <s v=""/>
    <n v="74"/>
    <n v="75"/>
    <n v="62"/>
    <n v="83"/>
    <n v="63"/>
    <n v="63"/>
    <s v="696"/>
    <n v="11"/>
    <d v="2024-07-01T00:00:00"/>
    <d v="2025-06-30T00:00:00"/>
    <n v="14.6"/>
    <x v="0"/>
    <n v="1371"/>
    <n v="13.5"/>
    <n v="15.9"/>
    <s v=""/>
    <d v="2023-07-01T00:00:00"/>
    <d v="2024-06-30T00:00:00"/>
    <x v="0"/>
    <x v="0"/>
    <x v="0"/>
    <s v="Low (1-2)"/>
    <n v="1"/>
    <n v="1"/>
    <n v="0"/>
    <n v="3"/>
    <n v="2"/>
    <x v="0"/>
    <x v="0"/>
    <n v="-8"/>
    <n v="-0.30000000000000071"/>
  </r>
  <r>
    <x v="13"/>
    <s v="CHRISTUS SOUTHEAST TEXAS- ST ELIZABETH"/>
    <s v="2830 CALDER AVENUE"/>
    <s v="BEAUMONT"/>
    <s v="TX"/>
    <s v="77702"/>
    <s v="JEFFERSON"/>
    <s v="(409) 892-7171"/>
    <s v="Acute Care Hospitals"/>
    <x v="1"/>
    <s v="Yes"/>
    <x v="1"/>
    <s v="4"/>
    <s v=""/>
    <n v="76"/>
    <n v="76"/>
    <n v="60"/>
    <n v="83"/>
    <n v="66"/>
    <n v="67"/>
    <s v="451"/>
    <n v="13"/>
    <d v="2024-07-01T00:00:00"/>
    <d v="2025-06-30T00:00:00"/>
    <n v="15.1"/>
    <x v="0"/>
    <n v="2272"/>
    <n v="14.1"/>
    <n v="16.2"/>
    <s v=""/>
    <d v="2023-07-01T00:00:00"/>
    <d v="2024-06-30T00:00:00"/>
    <x v="0"/>
    <x v="0"/>
    <x v="0"/>
    <s v="High (4-5)"/>
    <n v="0"/>
    <n v="1"/>
    <n v="0"/>
    <n v="3"/>
    <n v="1"/>
    <x v="2"/>
    <x v="2"/>
    <n v="-4"/>
    <n v="0.19999999999999929"/>
  </r>
  <r>
    <x v="14"/>
    <s v="ST JOSEPH MEDICAL CENTER"/>
    <s v="1401 ST. JOSEPH PARKWAY"/>
    <s v="HOUSTON"/>
    <s v="TX"/>
    <s v="77002"/>
    <s v="HARRIS"/>
    <s v="(713) 757-1000"/>
    <s v="Acute Care Hospitals"/>
    <x v="5"/>
    <s v="Yes"/>
    <x v="2"/>
    <s v="3"/>
    <s v=""/>
    <n v="74"/>
    <n v="74"/>
    <n v="56"/>
    <n v="77"/>
    <n v="60"/>
    <n v="56"/>
    <s v="261"/>
    <n v="5"/>
    <d v="2024-07-01T00:00:00"/>
    <d v="2025-06-30T00:00:00"/>
    <n v="15.2"/>
    <x v="0"/>
    <n v="112"/>
    <n v="13.7"/>
    <n v="17"/>
    <s v=""/>
    <d v="2023-07-01T00:00:00"/>
    <d v="2024-06-30T00:00:00"/>
    <x v="0"/>
    <x v="0"/>
    <x v="0"/>
    <s v="Middle (3)"/>
    <n v="0"/>
    <n v="1"/>
    <n v="0"/>
    <n v="3"/>
    <n v="1"/>
    <x v="2"/>
    <x v="0"/>
    <n v="-15"/>
    <n v="0.29999999999999893"/>
  </r>
  <r>
    <x v="15"/>
    <s v="JPS HEALTH NETWORK"/>
    <s v="1500 S MAIN ST"/>
    <s v="FORT WORTH"/>
    <s v="TX"/>
    <s v="76104"/>
    <s v="TARRANT"/>
    <s v="(817) 921-3431"/>
    <s v="Acute Care Hospitals"/>
    <x v="2"/>
    <s v="Yes"/>
    <x v="1"/>
    <s v="4"/>
    <s v=""/>
    <n v="75"/>
    <n v="78"/>
    <n v="57"/>
    <n v="84"/>
    <n v="69"/>
    <n v="70"/>
    <s v="2414"/>
    <n v="22"/>
    <d v="2024-07-01T00:00:00"/>
    <d v="2025-06-30T00:00:00"/>
    <n v="14.3"/>
    <x v="0"/>
    <n v="702"/>
    <n v="13"/>
    <n v="15.7"/>
    <s v=""/>
    <d v="2023-07-01T00:00:00"/>
    <d v="2024-06-30T00:00:00"/>
    <x v="0"/>
    <x v="0"/>
    <x v="0"/>
    <s v="High (4-5)"/>
    <n v="0"/>
    <n v="1"/>
    <n v="0"/>
    <n v="3"/>
    <n v="1"/>
    <x v="2"/>
    <x v="2"/>
    <n v="-1"/>
    <n v="-0.59999999999999964"/>
  </r>
  <r>
    <x v="16"/>
    <s v="COVENANT MEDICAL CENTER"/>
    <s v="3615 19TH STREET"/>
    <s v="LUBBOCK"/>
    <s v="TX"/>
    <s v="79410"/>
    <s v="LUBBOCK"/>
    <s v="(806) 725-4431"/>
    <s v="Acute Care Hospitals"/>
    <x v="1"/>
    <s v="Yes"/>
    <x v="2"/>
    <s v="3"/>
    <s v=""/>
    <n v="76"/>
    <n v="75"/>
    <n v="60"/>
    <n v="85"/>
    <n v="69"/>
    <n v="70"/>
    <s v="757"/>
    <n v="18"/>
    <d v="2024-07-01T00:00:00"/>
    <d v="2025-06-30T00:00:00"/>
    <n v="13.5"/>
    <x v="1"/>
    <n v="3522"/>
    <n v="12.7"/>
    <n v="14.5"/>
    <s v=""/>
    <d v="2023-07-01T00:00:00"/>
    <d v="2024-06-30T00:00:00"/>
    <x v="0"/>
    <x v="0"/>
    <x v="0"/>
    <s v="Middle (3)"/>
    <n v="0"/>
    <n v="1"/>
    <n v="0"/>
    <n v="3"/>
    <n v="1"/>
    <x v="2"/>
    <x v="2"/>
    <n v="-1"/>
    <n v="-1.4000000000000004"/>
  </r>
  <r>
    <x v="17"/>
    <s v="ASCENSION PROVIDENCE"/>
    <s v="6901 MEDICAL PARKWAY"/>
    <s v="WACO"/>
    <s v="TX"/>
    <s v="76712"/>
    <s v="MC LENNAN"/>
    <s v="(254) 751-4000"/>
    <s v="Acute Care Hospitals"/>
    <x v="1"/>
    <s v="Yes"/>
    <x v="0"/>
    <s v="2"/>
    <s v="29"/>
    <n v="76"/>
    <n v="80"/>
    <n v="61"/>
    <n v="87"/>
    <n v="73"/>
    <n v="72"/>
    <s v="269"/>
    <n v="15"/>
    <d v="2024-07-01T00:00:00"/>
    <d v="2025-06-30T00:00:00"/>
    <n v="14.2"/>
    <x v="0"/>
    <n v="1091"/>
    <n v="13"/>
    <n v="15.1"/>
    <s v="29"/>
    <d v="2023-07-01T00:00:00"/>
    <d v="2024-06-30T00:00:00"/>
    <x v="0"/>
    <x v="0"/>
    <x v="0"/>
    <s v="Low (1-2)"/>
    <n v="1"/>
    <n v="0"/>
    <n v="0"/>
    <n v="3"/>
    <n v="1"/>
    <x v="2"/>
    <x v="3"/>
    <n v="1"/>
    <n v="-0.70000000000000107"/>
  </r>
  <r>
    <x v="18"/>
    <s v="UT OF TEXAS  SOUTHWESTERN UNIVERSITY HOSPITAL - WILLIAM P. CLEMENTS JR."/>
    <s v="6201 HARRY HINES BLVD"/>
    <s v="DALLAS"/>
    <s v="TX"/>
    <s v="75390"/>
    <s v="DALLAS"/>
    <s v="(214) 633-5555"/>
    <s v="Acute Care Hospitals"/>
    <x v="3"/>
    <s v="Yes"/>
    <x v="1"/>
    <s v="4"/>
    <s v=""/>
    <n v="80"/>
    <n v="83"/>
    <n v="63"/>
    <n v="90"/>
    <n v="83"/>
    <n v="85"/>
    <s v="3232"/>
    <n v="16"/>
    <d v="2024-07-01T00:00:00"/>
    <d v="2025-06-30T00:00:00"/>
    <n v="15.9"/>
    <x v="2"/>
    <n v="5428"/>
    <n v="15.1"/>
    <n v="16.7"/>
    <s v=""/>
    <d v="2023-07-01T00:00:00"/>
    <d v="2024-06-30T00:00:00"/>
    <x v="0"/>
    <x v="0"/>
    <x v="0"/>
    <s v="High (4-5)"/>
    <n v="0"/>
    <n v="0"/>
    <n v="1"/>
    <n v="3"/>
    <n v="1"/>
    <x v="2"/>
    <x v="1"/>
    <n v="14"/>
    <n v="1"/>
  </r>
  <r>
    <x v="19"/>
    <s v="CHRISTUS SPOHN HOSPITAL CORPUS CHRISTI"/>
    <s v="600 ELIZABETH STREET"/>
    <s v="CORPUS CHRISTI"/>
    <s v="TX"/>
    <s v="78404"/>
    <s v="NUECES"/>
    <s v="(361) 902-4103"/>
    <s v="Acute Care Hospitals"/>
    <x v="1"/>
    <s v="Yes"/>
    <x v="2"/>
    <s v="3"/>
    <s v=""/>
    <n v="74"/>
    <n v="74"/>
    <n v="56"/>
    <n v="82"/>
    <n v="71"/>
    <n v="72"/>
    <s v="415"/>
    <n v="12"/>
    <d v="2024-07-01T00:00:00"/>
    <d v="2025-06-30T00:00:00"/>
    <n v="14.4"/>
    <x v="0"/>
    <n v="2388"/>
    <n v="13.5"/>
    <n v="15.5"/>
    <s v=""/>
    <d v="2023-07-01T00:00:00"/>
    <d v="2024-06-30T00:00:00"/>
    <x v="0"/>
    <x v="0"/>
    <x v="0"/>
    <s v="Middle (3)"/>
    <n v="0"/>
    <n v="0"/>
    <n v="0"/>
    <n v="3"/>
    <n v="0"/>
    <x v="1"/>
    <x v="3"/>
    <n v="1"/>
    <n v="-0.5"/>
  </r>
  <r>
    <x v="20"/>
    <s v="METHODIST DALLAS MEDICAL CENTER"/>
    <s v="1441 NORTH BECKLEY AVENUE"/>
    <s v="DALLAS"/>
    <s v="TX"/>
    <s v="75203"/>
    <s v="DALLAS"/>
    <s v="(214) 947-8181"/>
    <s v="Acute Care Hospitals"/>
    <x v="4"/>
    <s v="Yes"/>
    <x v="2"/>
    <s v="3"/>
    <s v=""/>
    <n v="78"/>
    <n v="78"/>
    <n v="60"/>
    <n v="87"/>
    <n v="76"/>
    <n v="75"/>
    <s v="1086"/>
    <n v="13"/>
    <d v="2024-07-01T00:00:00"/>
    <d v="2025-06-30T00:00:00"/>
    <n v="14.1"/>
    <x v="0"/>
    <n v="1227"/>
    <n v="13"/>
    <n v="15.3"/>
    <s v=""/>
    <d v="2023-07-01T00:00:00"/>
    <d v="2024-06-30T00:00:00"/>
    <x v="0"/>
    <x v="0"/>
    <x v="0"/>
    <s v="Middle (3)"/>
    <n v="0"/>
    <n v="0"/>
    <n v="0"/>
    <n v="3"/>
    <n v="0"/>
    <x v="1"/>
    <x v="3"/>
    <n v="4"/>
    <n v="-0.80000000000000071"/>
  </r>
  <r>
    <x v="21"/>
    <s v="BAYLOR SCOTT &amp; WHITE MEDICAL CENTER - TEMPLE"/>
    <s v="2401 S  31ST ST"/>
    <s v="TEMPLE"/>
    <s v="TX"/>
    <s v="76508"/>
    <s v="BELL"/>
    <s v="(254) 724-2111"/>
    <s v="Acute Care Hospitals"/>
    <x v="1"/>
    <s v="Yes"/>
    <x v="3"/>
    <s v="5"/>
    <s v=""/>
    <n v="79"/>
    <n v="80"/>
    <n v="62"/>
    <n v="88"/>
    <n v="74"/>
    <n v="73"/>
    <s v="1878"/>
    <n v="15"/>
    <d v="2024-07-01T00:00:00"/>
    <d v="2025-06-30T00:00:00"/>
    <n v="14.9"/>
    <x v="0"/>
    <n v="4120"/>
    <n v="14.2"/>
    <n v="15.9"/>
    <s v=""/>
    <d v="2023-07-01T00:00:00"/>
    <d v="2024-06-30T00:00:00"/>
    <x v="0"/>
    <x v="0"/>
    <x v="0"/>
    <s v="High (4-5)"/>
    <n v="0"/>
    <n v="0"/>
    <n v="0"/>
    <n v="3"/>
    <n v="0"/>
    <x v="1"/>
    <x v="3"/>
    <n v="2"/>
    <n v="0"/>
  </r>
  <r>
    <x v="22"/>
    <s v="ROLLING PLAINS MEMORIAL HOSPITAL"/>
    <s v="200 E ARIZONA"/>
    <s v="SWEETWATER"/>
    <s v="TX"/>
    <s v="79556"/>
    <s v="NOLAN"/>
    <s v="(325) 235-1701"/>
    <s v="Acute Care Hospitals"/>
    <x v="2"/>
    <s v="Yes"/>
    <x v="4"/>
    <s v="Not Available"/>
    <s v="16"/>
    <n v="82"/>
    <n v="86"/>
    <n v="64"/>
    <n v="87"/>
    <n v="82"/>
    <n v="74"/>
    <s v="112"/>
    <n v="17"/>
    <d v="2024-07-01T00:00:00"/>
    <d v="2025-06-30T00:00:00"/>
    <n v="15.2"/>
    <x v="0"/>
    <n v="132"/>
    <n v="13.5"/>
    <n v="17"/>
    <s v=""/>
    <d v="2023-07-01T00:00:00"/>
    <d v="2024-06-30T00:00:00"/>
    <x v="1"/>
    <x v="0"/>
    <x v="0"/>
    <s v="Unavailable"/>
    <s v=""/>
    <n v="0"/>
    <n v="0"/>
    <n v="2"/>
    <n v="0"/>
    <x v="3"/>
    <x v="3"/>
    <n v="3"/>
    <n v="0.29999999999999893"/>
  </r>
  <r>
    <x v="23"/>
    <s v="ASCENSION SETON MEDICAL CENTER AUSTIN"/>
    <s v="1201 W 38TH ST"/>
    <s v="AUSTIN"/>
    <s v="TX"/>
    <s v="78705"/>
    <s v="TRAVIS"/>
    <s v="(512) 324-1000"/>
    <s v="Acute Care Hospitals"/>
    <x v="1"/>
    <s v="Yes"/>
    <x v="2"/>
    <s v="3"/>
    <s v="29"/>
    <n v="77"/>
    <n v="76"/>
    <n v="56"/>
    <n v="83"/>
    <n v="66"/>
    <n v="67"/>
    <s v="320"/>
    <n v="14"/>
    <d v="2024-07-01T00:00:00"/>
    <d v="2025-06-30T00:00:00"/>
    <n v="14.3"/>
    <x v="0"/>
    <n v="1134"/>
    <n v="13"/>
    <n v="15.1"/>
    <s v="29"/>
    <d v="2023-07-01T00:00:00"/>
    <d v="2024-06-30T00:00:00"/>
    <x v="0"/>
    <x v="0"/>
    <x v="0"/>
    <s v="Middle (3)"/>
    <n v="0"/>
    <n v="1"/>
    <n v="0"/>
    <n v="3"/>
    <n v="1"/>
    <x v="2"/>
    <x v="2"/>
    <n v="-4"/>
    <n v="-0.59999999999999964"/>
  </r>
  <r>
    <x v="24"/>
    <s v="BAPTIST MEDICAL CENTER"/>
    <s v="111 DALLAS STREET"/>
    <s v="SAN ANTONIO"/>
    <s v="TX"/>
    <s v="78205"/>
    <s v="BEXAR"/>
    <s v="(210) 297-8256"/>
    <s v="Acute Care Hospitals"/>
    <x v="0"/>
    <s v="Yes"/>
    <x v="2"/>
    <s v="3"/>
    <s v=""/>
    <n v="75"/>
    <n v="75"/>
    <n v="59"/>
    <n v="83"/>
    <n v="66"/>
    <n v="63"/>
    <s v="3657"/>
    <n v="12"/>
    <d v="2024-07-01T00:00:00"/>
    <d v="2025-06-30T00:00:00"/>
    <n v="14.3"/>
    <x v="0"/>
    <n v="5603"/>
    <n v="13.5"/>
    <n v="15.1"/>
    <s v=""/>
    <d v="2023-07-01T00:00:00"/>
    <d v="2024-06-30T00:00:00"/>
    <x v="0"/>
    <x v="0"/>
    <x v="0"/>
    <s v="Middle (3)"/>
    <n v="0"/>
    <n v="1"/>
    <n v="0"/>
    <n v="3"/>
    <n v="1"/>
    <x v="2"/>
    <x v="0"/>
    <n v="-8"/>
    <n v="-0.59999999999999964"/>
  </r>
  <r>
    <x v="25"/>
    <s v="TEXAS HEALTH ARLINGTON MEMORIAL HOSPITAL"/>
    <s v="800 W RANDOL MILL RD"/>
    <s v="ARLINGTON"/>
    <s v="TX"/>
    <s v="76012"/>
    <s v="TARRANT"/>
    <s v="(817) 548-6200"/>
    <s v="Acute Care Hospitals"/>
    <x v="1"/>
    <s v="Yes"/>
    <x v="1"/>
    <s v="4"/>
    <s v=""/>
    <n v="76"/>
    <n v="74"/>
    <n v="60"/>
    <n v="86"/>
    <n v="70"/>
    <n v="71"/>
    <s v="830"/>
    <n v="15"/>
    <d v="2024-07-01T00:00:00"/>
    <d v="2025-06-30T00:00:00"/>
    <n v="15.3"/>
    <x v="0"/>
    <n v="1431"/>
    <n v="14.1"/>
    <n v="16.600000000000001"/>
    <s v=""/>
    <d v="2023-07-01T00:00:00"/>
    <d v="2024-06-30T00:00:00"/>
    <x v="0"/>
    <x v="0"/>
    <x v="0"/>
    <s v="High (4-5)"/>
    <n v="0"/>
    <n v="0"/>
    <n v="0"/>
    <n v="3"/>
    <n v="0"/>
    <x v="1"/>
    <x v="2"/>
    <n v="0"/>
    <n v="0.40000000000000036"/>
  </r>
  <r>
    <x v="26"/>
    <s v="MEMORIAL HERMANN - TEXAS MEDICAL CENTER"/>
    <s v="6411 FANNIN"/>
    <s v="HOUSTON"/>
    <s v="TX"/>
    <s v="77030"/>
    <s v="HARRIS"/>
    <s v="(713) 704-3700"/>
    <s v="Acute Care Hospitals"/>
    <x v="1"/>
    <s v="Yes"/>
    <x v="1"/>
    <s v="4"/>
    <s v=""/>
    <n v="75"/>
    <n v="75"/>
    <n v="57"/>
    <n v="85"/>
    <n v="72"/>
    <n v="71"/>
    <s v="2120"/>
    <n v="13"/>
    <d v="2024-07-01T00:00:00"/>
    <d v="2025-06-30T00:00:00"/>
    <n v="14.6"/>
    <x v="0"/>
    <n v="3979"/>
    <n v="13.7"/>
    <n v="15.5"/>
    <s v=""/>
    <d v="2023-07-01T00:00:00"/>
    <d v="2024-06-30T00:00:00"/>
    <x v="0"/>
    <x v="0"/>
    <x v="0"/>
    <s v="High (4-5)"/>
    <n v="0"/>
    <n v="0"/>
    <n v="0"/>
    <n v="3"/>
    <n v="0"/>
    <x v="1"/>
    <x v="2"/>
    <n v="0"/>
    <n v="-0.30000000000000071"/>
  </r>
  <r>
    <x v="27"/>
    <s v="CHI ST LUKE'S HEALTH BRAZOSPORT"/>
    <s v="100 MEDICAL DRIVE"/>
    <s v="LAKE JACKSON"/>
    <s v="TX"/>
    <s v="77566"/>
    <s v="BRAZORIA"/>
    <s v="(979) 297-4411"/>
    <s v="Acute Care Hospitals"/>
    <x v="1"/>
    <s v="Yes"/>
    <x v="1"/>
    <s v="4"/>
    <s v=""/>
    <n v="80"/>
    <n v="82"/>
    <n v="65"/>
    <n v="85"/>
    <n v="70"/>
    <n v="66"/>
    <s v="450"/>
    <n v="14"/>
    <d v="2024-07-01T00:00:00"/>
    <d v="2025-06-30T00:00:00"/>
    <n v="15.1"/>
    <x v="0"/>
    <n v="532"/>
    <n v="13.5"/>
    <n v="16.8"/>
    <s v=""/>
    <d v="2023-07-01T00:00:00"/>
    <d v="2024-06-30T00:00:00"/>
    <x v="0"/>
    <x v="0"/>
    <x v="0"/>
    <s v="High (4-5)"/>
    <n v="0"/>
    <n v="1"/>
    <n v="0"/>
    <n v="3"/>
    <n v="1"/>
    <x v="2"/>
    <x v="0"/>
    <n v="-5"/>
    <n v="0.19999999999999929"/>
  </r>
  <r>
    <x v="28"/>
    <s v="BAYLOR SCOTT &amp; WHITE MEDICAL CENTER AT IRVING"/>
    <s v="1901 N MACARTHUR BLVD"/>
    <s v="IRVING"/>
    <s v="TX"/>
    <s v="75061"/>
    <s v="DALLAS"/>
    <s v="(972) 579-8100"/>
    <s v="Acute Care Hospitals"/>
    <x v="1"/>
    <s v="Yes"/>
    <x v="3"/>
    <s v="5"/>
    <s v=""/>
    <n v="78"/>
    <n v="77"/>
    <n v="61"/>
    <n v="88"/>
    <n v="74"/>
    <n v="77"/>
    <s v="753"/>
    <n v="10"/>
    <d v="2024-07-01T00:00:00"/>
    <d v="2025-06-30T00:00:00"/>
    <n v="14.8"/>
    <x v="0"/>
    <n v="1424"/>
    <n v="13.6"/>
    <n v="16"/>
    <s v=""/>
    <d v="2023-07-01T00:00:00"/>
    <d v="2024-06-30T00:00:00"/>
    <x v="0"/>
    <x v="0"/>
    <x v="0"/>
    <s v="High (4-5)"/>
    <n v="0"/>
    <n v="0"/>
    <n v="0"/>
    <n v="3"/>
    <n v="0"/>
    <x v="1"/>
    <x v="3"/>
    <n v="6"/>
    <n v="-9.9999999999999645E-2"/>
  </r>
  <r>
    <x v="29"/>
    <s v="TITUS REGIONAL MEDICAL CENTER"/>
    <s v="2001 N JEFFERSON"/>
    <s v="MOUNT PLEASANT"/>
    <s v="TX"/>
    <s v="75455"/>
    <s v="TITUS"/>
    <s v="(903) 577-6000"/>
    <s v="Acute Care Hospitals"/>
    <x v="2"/>
    <s v="Yes"/>
    <x v="2"/>
    <s v="3"/>
    <s v=""/>
    <n v="82"/>
    <n v="82"/>
    <n v="64"/>
    <n v="89"/>
    <n v="68"/>
    <n v="70"/>
    <s v="379"/>
    <n v="20"/>
    <d v="2024-07-01T00:00:00"/>
    <d v="2025-06-30T00:00:00"/>
    <n v="15.2"/>
    <x v="0"/>
    <n v="515"/>
    <n v="13.9"/>
    <n v="16.7"/>
    <s v=""/>
    <d v="2023-07-01T00:00:00"/>
    <d v="2024-06-30T00:00:00"/>
    <x v="0"/>
    <x v="0"/>
    <x v="0"/>
    <s v="Middle (3)"/>
    <n v="0"/>
    <n v="1"/>
    <n v="0"/>
    <n v="3"/>
    <n v="1"/>
    <x v="2"/>
    <x v="2"/>
    <n v="-1"/>
    <n v="0.29999999999999893"/>
  </r>
  <r>
    <x v="30"/>
    <s v="CHRISTUS SPOHN HOSPITAL BEEVILLE"/>
    <s v="1500 E HOUSTON HWY"/>
    <s v="BEEVILLE"/>
    <s v="TX"/>
    <s v="78102"/>
    <s v="BEE"/>
    <s v="(361) 354-2000"/>
    <s v="Acute Care Hospitals"/>
    <x v="1"/>
    <s v="Yes"/>
    <x v="0"/>
    <s v="2"/>
    <s v=""/>
    <n v="78"/>
    <n v="71"/>
    <n v="54"/>
    <n v="87"/>
    <n v="60"/>
    <n v="56"/>
    <s v="131"/>
    <n v="13"/>
    <d v="2024-07-01T00:00:00"/>
    <d v="2025-06-30T00:00:00"/>
    <n v="15.4"/>
    <x v="0"/>
    <n v="152"/>
    <n v="13.7"/>
    <n v="17.3"/>
    <s v=""/>
    <d v="2023-07-01T00:00:00"/>
    <d v="2024-06-30T00:00:00"/>
    <x v="0"/>
    <x v="0"/>
    <x v="0"/>
    <s v="Low (1-2)"/>
    <n v="1"/>
    <n v="1"/>
    <n v="0"/>
    <n v="3"/>
    <n v="2"/>
    <x v="0"/>
    <x v="0"/>
    <n v="-15"/>
    <n v="0.5"/>
  </r>
  <r>
    <x v="31"/>
    <s v="UT HEALTH EAST TEXAS TYLER REGIONAL HOSPITAL"/>
    <s v="1000 SOUTH BECKHAM AVE"/>
    <s v="TYLER"/>
    <s v="TX"/>
    <s v="75701"/>
    <s v="SMITH"/>
    <s v="(903) 597-0351"/>
    <s v="Acute Care Hospitals"/>
    <x v="0"/>
    <s v="Yes"/>
    <x v="0"/>
    <s v="2"/>
    <s v=""/>
    <n v="74"/>
    <n v="74"/>
    <n v="54"/>
    <n v="84"/>
    <n v="65"/>
    <n v="67"/>
    <s v="968"/>
    <n v="17"/>
    <d v="2024-07-01T00:00:00"/>
    <d v="2025-06-30T00:00:00"/>
    <n v="15.4"/>
    <x v="0"/>
    <n v="4047"/>
    <n v="14.5"/>
    <n v="16.3"/>
    <s v=""/>
    <d v="2023-07-01T00:00:00"/>
    <d v="2024-06-30T00:00:00"/>
    <x v="0"/>
    <x v="0"/>
    <x v="0"/>
    <s v="Low (1-2)"/>
    <n v="1"/>
    <n v="1"/>
    <n v="0"/>
    <n v="3"/>
    <n v="2"/>
    <x v="0"/>
    <x v="2"/>
    <n v="-4"/>
    <n v="0.5"/>
  </r>
  <r>
    <x v="32"/>
    <s v="MEDICAL CITY NORTH HILLS"/>
    <s v="4401 BOOTH CALLOWAY ROAD"/>
    <s v="NORTH RICHLAND HILLS"/>
    <s v="TX"/>
    <s v="76180"/>
    <s v="TARRANT"/>
    <s v="(817) 255-1000"/>
    <s v="Acute Care Hospitals"/>
    <x v="0"/>
    <s v="Yes"/>
    <x v="0"/>
    <s v="2"/>
    <s v=""/>
    <n v="75"/>
    <n v="71"/>
    <n v="58"/>
    <n v="77"/>
    <n v="68"/>
    <n v="67"/>
    <s v="487"/>
    <n v="15"/>
    <d v="2024-07-01T00:00:00"/>
    <d v="2025-06-30T00:00:00"/>
    <n v="15.3"/>
    <x v="0"/>
    <n v="1041"/>
    <n v="14.1"/>
    <n v="16.8"/>
    <s v=""/>
    <d v="2023-07-01T00:00:00"/>
    <d v="2024-06-30T00:00:00"/>
    <x v="0"/>
    <x v="0"/>
    <x v="0"/>
    <s v="Low (1-2)"/>
    <n v="1"/>
    <n v="1"/>
    <n v="0"/>
    <n v="3"/>
    <n v="2"/>
    <x v="0"/>
    <x v="2"/>
    <n v="-4"/>
    <n v="0.40000000000000036"/>
  </r>
  <r>
    <x v="33"/>
    <s v="NORTH TEXAS MEDICAL CENTER"/>
    <s v="1900 HOSPITAL BLVD"/>
    <s v="GAINESVILLE"/>
    <s v="TX"/>
    <s v="76240"/>
    <s v="COOKE"/>
    <s v="(940) 612-8600"/>
    <s v="Acute Care Hospitals"/>
    <x v="1"/>
    <s v="Yes"/>
    <x v="1"/>
    <s v="4"/>
    <s v=""/>
    <n v="83"/>
    <n v="75"/>
    <n v="65"/>
    <n v="88"/>
    <n v="68"/>
    <n v="69"/>
    <s v="315"/>
    <n v="28"/>
    <d v="2024-07-01T00:00:00"/>
    <d v="2025-06-30T00:00:00"/>
    <n v="14.9"/>
    <x v="0"/>
    <n v="412"/>
    <n v="13.3"/>
    <n v="16.5"/>
    <s v=""/>
    <d v="2023-07-01T00:00:00"/>
    <d v="2024-06-30T00:00:00"/>
    <x v="0"/>
    <x v="0"/>
    <x v="0"/>
    <s v="High (4-5)"/>
    <n v="0"/>
    <n v="1"/>
    <n v="0"/>
    <n v="3"/>
    <n v="1"/>
    <x v="2"/>
    <x v="2"/>
    <n v="-2"/>
    <n v="0"/>
  </r>
  <r>
    <x v="34"/>
    <s v="FORT DUNCAN MEDICAL CENTER"/>
    <s v="3333 N FOSTER MALDONADO BLVD"/>
    <s v="EAGLE PASS"/>
    <s v="TX"/>
    <s v="78852"/>
    <s v="MAVERICK"/>
    <s v="(830) 773-5321"/>
    <s v="Acute Care Hospitals"/>
    <x v="0"/>
    <s v="Yes"/>
    <x v="2"/>
    <s v="3"/>
    <s v=""/>
    <n v="75"/>
    <n v="78"/>
    <n v="59"/>
    <n v="83"/>
    <n v="61"/>
    <n v="57"/>
    <s v="150"/>
    <n v="5"/>
    <d v="2024-07-01T00:00:00"/>
    <d v="2025-06-30T00:00:00"/>
    <n v="15"/>
    <x v="0"/>
    <n v="229"/>
    <n v="13.4"/>
    <n v="17"/>
    <s v=""/>
    <d v="2023-07-01T00:00:00"/>
    <d v="2024-06-30T00:00:00"/>
    <x v="0"/>
    <x v="0"/>
    <x v="0"/>
    <s v="Middle (3)"/>
    <n v="0"/>
    <n v="1"/>
    <n v="0"/>
    <n v="3"/>
    <n v="1"/>
    <x v="2"/>
    <x v="0"/>
    <n v="-14"/>
    <n v="9.9999999999999645E-2"/>
  </r>
  <r>
    <x v="35"/>
    <s v="HCA HOUSTON HEALTHCARE SOUTHEAST"/>
    <s v="4000 SPENCER HWY"/>
    <s v="PASADENA"/>
    <s v="TX"/>
    <s v="77504"/>
    <s v="HARRIS"/>
    <s v="(713) 359-1000"/>
    <s v="Acute Care Hospitals"/>
    <x v="0"/>
    <s v="Yes"/>
    <x v="2"/>
    <s v="3"/>
    <s v=""/>
    <n v="74"/>
    <n v="72"/>
    <n v="54"/>
    <n v="80"/>
    <n v="66"/>
    <n v="62"/>
    <s v="676"/>
    <n v="9"/>
    <d v="2024-07-01T00:00:00"/>
    <d v="2025-06-30T00:00:00"/>
    <n v="15.6"/>
    <x v="0"/>
    <n v="775"/>
    <n v="14.3"/>
    <n v="17.100000000000001"/>
    <s v=""/>
    <d v="2023-07-01T00:00:00"/>
    <d v="2024-06-30T00:00:00"/>
    <x v="0"/>
    <x v="0"/>
    <x v="0"/>
    <s v="Middle (3)"/>
    <n v="0"/>
    <n v="1"/>
    <n v="0"/>
    <n v="3"/>
    <n v="1"/>
    <x v="2"/>
    <x v="0"/>
    <n v="-9"/>
    <n v="0.69999999999999929"/>
  </r>
  <r>
    <x v="36"/>
    <s v="BAYLOR SCOTT &amp; WHITE MEDICAL CENTER HILLCREST"/>
    <s v="100 HILLCREST MEDICAL BLVD"/>
    <s v="WACO"/>
    <s v="TX"/>
    <s v="76712"/>
    <s v="MC LENNAN"/>
    <s v="(254) 202-2000"/>
    <s v="Acute Care Hospitals"/>
    <x v="1"/>
    <s v="Yes"/>
    <x v="1"/>
    <s v="4"/>
    <s v=""/>
    <n v="83"/>
    <n v="83"/>
    <n v="65"/>
    <n v="89"/>
    <n v="79"/>
    <n v="78"/>
    <s v="1415"/>
    <n v="14"/>
    <d v="2024-07-01T00:00:00"/>
    <d v="2025-06-30T00:00:00"/>
    <n v="14.7"/>
    <x v="0"/>
    <n v="2080"/>
    <n v="13.8"/>
    <n v="16"/>
    <s v=""/>
    <d v="2023-07-01T00:00:00"/>
    <d v="2024-06-30T00:00:00"/>
    <x v="0"/>
    <x v="0"/>
    <x v="0"/>
    <s v="High (4-5)"/>
    <n v="0"/>
    <n v="0"/>
    <n v="0"/>
    <n v="3"/>
    <n v="0"/>
    <x v="1"/>
    <x v="3"/>
    <n v="7"/>
    <n v="-0.20000000000000107"/>
  </r>
  <r>
    <x v="37"/>
    <s v="CHRISTUS MOTHER FRANCES HOSPITAL"/>
    <s v="800 EAST DAWSON"/>
    <s v="TYLER"/>
    <s v="TX"/>
    <s v="75701"/>
    <s v="SMITH"/>
    <s v="(903) 593-8441"/>
    <s v="Acute Care Hospitals"/>
    <x v="1"/>
    <s v="Yes"/>
    <x v="1"/>
    <s v="4"/>
    <s v=""/>
    <n v="76"/>
    <n v="75"/>
    <n v="58"/>
    <n v="85"/>
    <n v="72"/>
    <n v="74"/>
    <s v="514"/>
    <n v="18"/>
    <d v="2024-07-01T00:00:00"/>
    <d v="2025-06-30T00:00:00"/>
    <n v="13.6"/>
    <x v="1"/>
    <n v="5245"/>
    <n v="12.8"/>
    <n v="14.4"/>
    <s v=""/>
    <d v="2023-07-01T00:00:00"/>
    <d v="2024-06-30T00:00:00"/>
    <x v="0"/>
    <x v="0"/>
    <x v="0"/>
    <s v="High (4-5)"/>
    <n v="0"/>
    <n v="0"/>
    <n v="0"/>
    <n v="3"/>
    <n v="0"/>
    <x v="1"/>
    <x v="3"/>
    <n v="3"/>
    <n v="-1.3000000000000007"/>
  </r>
  <r>
    <x v="38"/>
    <s v="GUADALUPE REGIONAL MEDICAL CENTER"/>
    <s v="1215 E COURT ST"/>
    <s v="SEGUIN"/>
    <s v="TX"/>
    <s v="78155"/>
    <s v="GUADALUPE"/>
    <s v="(830) 379-2411"/>
    <s v="Acute Care Hospitals"/>
    <x v="6"/>
    <s v="Yes"/>
    <x v="0"/>
    <s v="2"/>
    <s v=""/>
    <n v="86"/>
    <n v="84"/>
    <n v="68"/>
    <n v="89"/>
    <n v="84"/>
    <n v="81"/>
    <s v="313"/>
    <n v="16"/>
    <d v="2024-07-01T00:00:00"/>
    <d v="2025-06-30T00:00:00"/>
    <n v="16"/>
    <x v="0"/>
    <n v="870"/>
    <n v="14.6"/>
    <n v="17.600000000000001"/>
    <s v=""/>
    <d v="2023-07-01T00:00:00"/>
    <d v="2024-06-30T00:00:00"/>
    <x v="0"/>
    <x v="0"/>
    <x v="0"/>
    <s v="Low (1-2)"/>
    <n v="1"/>
    <n v="0"/>
    <n v="0"/>
    <n v="3"/>
    <n v="1"/>
    <x v="2"/>
    <x v="1"/>
    <n v="10"/>
    <n v="1.0999999999999996"/>
  </r>
  <r>
    <x v="39"/>
    <s v="LAS PALMAS MEDICAL CENTER A CAMPUS OF LPDS HEALTHC"/>
    <s v="1801 NORTH OREGON STREET"/>
    <s v="EL PASO"/>
    <s v="TX"/>
    <s v="79902"/>
    <s v="EL PASO"/>
    <s v="(915) 521-1200"/>
    <s v="Acute Care Hospitals"/>
    <x v="0"/>
    <s v="Yes"/>
    <x v="0"/>
    <s v="2"/>
    <s v=""/>
    <n v="75"/>
    <n v="71"/>
    <n v="54"/>
    <n v="82"/>
    <n v="65"/>
    <n v="60"/>
    <s v="1305"/>
    <n v="13"/>
    <d v="2024-07-01T00:00:00"/>
    <d v="2025-06-30T00:00:00"/>
    <n v="15.5"/>
    <x v="0"/>
    <n v="1844"/>
    <n v="14.4"/>
    <n v="16.7"/>
    <s v=""/>
    <d v="2023-07-01T00:00:00"/>
    <d v="2024-06-30T00:00:00"/>
    <x v="0"/>
    <x v="0"/>
    <x v="0"/>
    <s v="Low (1-2)"/>
    <n v="1"/>
    <n v="1"/>
    <n v="0"/>
    <n v="3"/>
    <n v="2"/>
    <x v="0"/>
    <x v="0"/>
    <n v="-11"/>
    <n v="0.59999999999999964"/>
  </r>
  <r>
    <x v="40"/>
    <s v="CONNALLY MEMORIAL MEDICAL CENTER"/>
    <s v="499 10TH STREET"/>
    <s v="FLORESVILLE"/>
    <s v="TX"/>
    <s v="78114"/>
    <s v="WILSON"/>
    <s v="(830) 393-1300"/>
    <s v="Acute Care Hospitals"/>
    <x v="2"/>
    <s v="Yes"/>
    <x v="2"/>
    <s v="3"/>
    <s v=""/>
    <n v="93"/>
    <n v="94"/>
    <n v="80"/>
    <n v="89"/>
    <n v="90"/>
    <n v="82"/>
    <s v="75"/>
    <n v="32"/>
    <d v="2024-07-01T00:00:00"/>
    <d v="2025-06-30T00:00:00"/>
    <n v="15.3"/>
    <x v="0"/>
    <n v="102"/>
    <n v="13.5"/>
    <n v="17.3"/>
    <s v=""/>
    <d v="2023-07-01T00:00:00"/>
    <d v="2024-06-30T00:00:00"/>
    <x v="0"/>
    <x v="0"/>
    <x v="0"/>
    <s v="Middle (3)"/>
    <n v="0"/>
    <n v="0"/>
    <n v="0"/>
    <n v="3"/>
    <n v="0"/>
    <x v="1"/>
    <x v="1"/>
    <n v="11"/>
    <n v="0.40000000000000036"/>
  </r>
  <r>
    <x v="41"/>
    <s v="SOUTH TEXAS HEALTH SYSTEM"/>
    <s v="1102 W TRENTON ROAD"/>
    <s v="EDINBURG"/>
    <s v="TX"/>
    <s v="78539"/>
    <s v="HIDALGO"/>
    <s v="(956) 632-4000"/>
    <s v="Acute Care Hospitals"/>
    <x v="0"/>
    <s v="Yes"/>
    <x v="1"/>
    <s v="4"/>
    <s v=""/>
    <n v="75"/>
    <n v="73"/>
    <n v="56"/>
    <n v="82"/>
    <n v="68"/>
    <n v="68"/>
    <s v="1465"/>
    <n v="10"/>
    <d v="2024-07-01T00:00:00"/>
    <d v="2025-06-30T00:00:00"/>
    <n v="15.9"/>
    <x v="0"/>
    <n v="1524"/>
    <n v="14.8"/>
    <n v="17.2"/>
    <s v=""/>
    <d v="2023-07-01T00:00:00"/>
    <d v="2024-06-30T00:00:00"/>
    <x v="0"/>
    <x v="0"/>
    <x v="0"/>
    <s v="High (4-5)"/>
    <n v="0"/>
    <n v="1"/>
    <n v="0"/>
    <n v="3"/>
    <n v="1"/>
    <x v="2"/>
    <x v="2"/>
    <n v="-3"/>
    <n v="1"/>
  </r>
  <r>
    <x v="42"/>
    <s v="DELL SETON  MED CENTER AT THE UNIVERSITY OF TX"/>
    <s v="601 E 15TH STREET"/>
    <s v="AUSTIN"/>
    <s v="TX"/>
    <s v="78701"/>
    <s v="TRAVIS"/>
    <s v="(512) 324-7000"/>
    <s v="Acute Care Hospitals"/>
    <x v="1"/>
    <s v="No"/>
    <x v="1"/>
    <s v="4"/>
    <s v="29"/>
    <n v="82"/>
    <n v="82"/>
    <n v="65"/>
    <n v="84"/>
    <n v="79"/>
    <n v="79"/>
    <s v="316"/>
    <n v="9"/>
    <d v="2024-07-01T00:00:00"/>
    <d v="2025-06-30T00:00:00"/>
    <n v="14.9"/>
    <x v="0"/>
    <n v="464"/>
    <n v="13.5"/>
    <n v="16.3"/>
    <s v="29"/>
    <d v="2023-07-01T00:00:00"/>
    <d v="2024-06-30T00:00:00"/>
    <x v="0"/>
    <x v="0"/>
    <x v="0"/>
    <s v="High (4-5)"/>
    <n v="0"/>
    <n v="0"/>
    <n v="0"/>
    <n v="3"/>
    <n v="0"/>
    <x v="1"/>
    <x v="3"/>
    <n v="8"/>
    <n v="0"/>
  </r>
  <r>
    <x v="43"/>
    <s v="KNAPP MEDICAL CENTER"/>
    <s v="1401 EAST EIGHT STREET"/>
    <s v="WESLACO"/>
    <s v="TX"/>
    <s v="78596"/>
    <s v="HIDALGO"/>
    <s v="(956) 968-8567"/>
    <s v="Acute Care Hospitals"/>
    <x v="1"/>
    <s v="Yes"/>
    <x v="3"/>
    <s v="5"/>
    <s v=""/>
    <n v="73"/>
    <n v="76"/>
    <n v="56"/>
    <n v="84"/>
    <n v="66"/>
    <n v="63"/>
    <s v="409"/>
    <n v="30"/>
    <d v="2024-07-01T00:00:00"/>
    <d v="2025-06-30T00:00:00"/>
    <n v="14.4"/>
    <x v="0"/>
    <n v="468"/>
    <n v="12.9"/>
    <n v="15.9"/>
    <s v=""/>
    <d v="2023-07-01T00:00:00"/>
    <d v="2024-06-30T00:00:00"/>
    <x v="0"/>
    <x v="0"/>
    <x v="0"/>
    <s v="High (4-5)"/>
    <n v="0"/>
    <n v="1"/>
    <n v="0"/>
    <n v="3"/>
    <n v="1"/>
    <x v="2"/>
    <x v="0"/>
    <n v="-8"/>
    <n v="-0.5"/>
  </r>
  <r>
    <x v="44"/>
    <s v="MEDICAL CENTER HOSPITAL"/>
    <s v="500 W 4TH STREET"/>
    <s v="ODESSA"/>
    <s v="TX"/>
    <s v="79761"/>
    <s v="ECTOR"/>
    <s v="(432) 640-4000"/>
    <s v="Acute Care Hospitals"/>
    <x v="2"/>
    <s v="Yes"/>
    <x v="2"/>
    <s v="3"/>
    <s v=""/>
    <n v="78"/>
    <n v="76"/>
    <n v="61"/>
    <n v="84"/>
    <n v="69"/>
    <n v="71"/>
    <s v="2232"/>
    <n v="23"/>
    <d v="2024-07-01T00:00:00"/>
    <d v="2025-06-30T00:00:00"/>
    <n v="15"/>
    <x v="0"/>
    <n v="1808"/>
    <n v="13.9"/>
    <n v="16.100000000000001"/>
    <s v=""/>
    <d v="2023-07-01T00:00:00"/>
    <d v="2024-06-30T00:00:00"/>
    <x v="0"/>
    <x v="0"/>
    <x v="0"/>
    <s v="Middle (3)"/>
    <n v="0"/>
    <n v="0"/>
    <n v="0"/>
    <n v="3"/>
    <n v="0"/>
    <x v="1"/>
    <x v="2"/>
    <n v="0"/>
    <n v="9.9999999999999645E-2"/>
  </r>
  <r>
    <x v="45"/>
    <s v="MIDLAND MEMORIAL HOSPITAL"/>
    <s v="400 ROSALIND REDFERN GROVER PARKWAY"/>
    <s v="MIDLAND"/>
    <s v="TX"/>
    <s v="79701"/>
    <s v="MIDLAND"/>
    <s v="(432) 685-1111"/>
    <s v="Acute Care Hospitals"/>
    <x v="2"/>
    <s v="Yes"/>
    <x v="5"/>
    <s v="1"/>
    <s v=""/>
    <n v="73"/>
    <n v="74"/>
    <n v="57"/>
    <n v="86"/>
    <n v="63"/>
    <n v="66"/>
    <s v="790"/>
    <n v="23"/>
    <d v="2024-07-01T00:00:00"/>
    <d v="2025-06-30T00:00:00"/>
    <n v="14.9"/>
    <x v="0"/>
    <n v="1564"/>
    <n v="13.7"/>
    <n v="16"/>
    <s v=""/>
    <d v="2023-07-01T00:00:00"/>
    <d v="2024-06-30T00:00:00"/>
    <x v="0"/>
    <x v="0"/>
    <x v="0"/>
    <s v="Low (1-2)"/>
    <n v="1"/>
    <n v="1"/>
    <n v="0"/>
    <n v="3"/>
    <n v="2"/>
    <x v="0"/>
    <x v="0"/>
    <n v="-5"/>
    <n v="0"/>
  </r>
  <r>
    <x v="46"/>
    <s v="TEXAS HEALTH HARRIS METHODIST FORT WORTH"/>
    <s v="1301 PENNSYLVANIA AVENUE"/>
    <s v="FORT WORTH"/>
    <s v="TX"/>
    <s v="76104"/>
    <s v="TARRANT"/>
    <s v="(817) 250-2100"/>
    <s v="Acute Care Hospitals"/>
    <x v="1"/>
    <s v="Yes"/>
    <x v="1"/>
    <s v="4"/>
    <s v=""/>
    <n v="78"/>
    <n v="76"/>
    <n v="59"/>
    <n v="88"/>
    <n v="74"/>
    <n v="76"/>
    <s v="3549"/>
    <n v="16"/>
    <d v="2024-07-01T00:00:00"/>
    <d v="2025-06-30T00:00:00"/>
    <n v="14.4"/>
    <x v="0"/>
    <n v="5590"/>
    <n v="13.7"/>
    <n v="15.2"/>
    <s v=""/>
    <d v="2023-07-01T00:00:00"/>
    <d v="2024-06-30T00:00:00"/>
    <x v="0"/>
    <x v="0"/>
    <x v="0"/>
    <s v="High (4-5)"/>
    <n v="0"/>
    <n v="0"/>
    <n v="0"/>
    <n v="3"/>
    <n v="0"/>
    <x v="1"/>
    <x v="3"/>
    <n v="5"/>
    <n v="-0.5"/>
  </r>
  <r>
    <x v="47"/>
    <s v="BAYLOR SCOTT AND WHITE ALL SAINTS MEDICAL CENTER"/>
    <s v="1400 EIGHTH AVE"/>
    <s v="FORT WORTH"/>
    <s v="TX"/>
    <s v="76104"/>
    <s v="TARRANT"/>
    <s v="(817) 926-2544"/>
    <s v="Acute Care Hospitals"/>
    <x v="1"/>
    <s v="No"/>
    <x v="1"/>
    <s v="4"/>
    <s v=""/>
    <n v="79"/>
    <n v="78"/>
    <n v="62"/>
    <n v="87"/>
    <n v="72"/>
    <n v="73"/>
    <s v="1144"/>
    <n v="11"/>
    <d v="2024-07-01T00:00:00"/>
    <d v="2025-06-30T00:00:00"/>
    <n v="15.8"/>
    <x v="0"/>
    <n v="2563"/>
    <n v="14.9"/>
    <n v="16.8"/>
    <s v=""/>
    <d v="2023-07-01T00:00:00"/>
    <d v="2024-06-30T00:00:00"/>
    <x v="0"/>
    <x v="0"/>
    <x v="0"/>
    <s v="High (4-5)"/>
    <n v="0"/>
    <n v="0"/>
    <n v="0"/>
    <n v="3"/>
    <n v="0"/>
    <x v="1"/>
    <x v="3"/>
    <n v="2"/>
    <n v="0.90000000000000036"/>
  </r>
  <r>
    <x v="48"/>
    <s v="PERMIAN REGIONAL MEDICAL CENTER ANDREWS COUNTY HO"/>
    <s v="720 HOSPITAL DRIVE"/>
    <s v="ANDREWS"/>
    <s v="TX"/>
    <s v="79714"/>
    <s v="ANDREWS"/>
    <s v="(432) 523-2200"/>
    <s v="Acute Care Hospitals"/>
    <x v="2"/>
    <s v="Yes"/>
    <x v="4"/>
    <s v="Not Available"/>
    <s v="16"/>
    <n v="85"/>
    <n v="83"/>
    <n v="67"/>
    <n v="91"/>
    <n v="88"/>
    <n v="84"/>
    <s v="93"/>
    <n v="23"/>
    <d v="2024-07-01T00:00:00"/>
    <d v="2025-06-30T00:00:00"/>
    <n v="15"/>
    <x v="0"/>
    <n v="32"/>
    <n v="13.2"/>
    <n v="17.100000000000001"/>
    <s v=""/>
    <d v="2023-07-01T00:00:00"/>
    <d v="2024-06-30T00:00:00"/>
    <x v="1"/>
    <x v="0"/>
    <x v="0"/>
    <s v="Unavailable"/>
    <s v=""/>
    <n v="0"/>
    <n v="0"/>
    <n v="2"/>
    <n v="0"/>
    <x v="3"/>
    <x v="1"/>
    <n v="13"/>
    <n v="9.9999999999999645E-2"/>
  </r>
  <r>
    <x v="49"/>
    <s v="DE TAR HOSPITAL NAVARRO"/>
    <s v="506 E SAN ANTONIO ST"/>
    <s v="VICTORIA"/>
    <s v="TX"/>
    <s v="77901"/>
    <s v="VICTORIA"/>
    <s v="(361) 575-7441"/>
    <s v="Acute Care Hospitals"/>
    <x v="0"/>
    <s v="Yes"/>
    <x v="0"/>
    <s v="2"/>
    <s v=""/>
    <n v="74"/>
    <n v="75"/>
    <n v="60"/>
    <n v="85"/>
    <n v="64"/>
    <n v="65"/>
    <s v="490"/>
    <n v="16"/>
    <d v="2024-07-01T00:00:00"/>
    <d v="2025-06-30T00:00:00"/>
    <n v="14.5"/>
    <x v="0"/>
    <n v="1178"/>
    <n v="13.3"/>
    <n v="15.8"/>
    <s v=""/>
    <d v="2023-07-01T00:00:00"/>
    <d v="2024-06-30T00:00:00"/>
    <x v="0"/>
    <x v="0"/>
    <x v="0"/>
    <s v="Low (1-2)"/>
    <n v="1"/>
    <n v="1"/>
    <n v="0"/>
    <n v="3"/>
    <n v="2"/>
    <x v="0"/>
    <x v="0"/>
    <n v="-6"/>
    <n v="-0.40000000000000036"/>
  </r>
  <r>
    <x v="50"/>
    <s v="TEXAS HEALTH HARRIS METHODIST HOSPITAL CLEBURNE"/>
    <s v="201 WALLS DRIVE"/>
    <s v="CLEBURNE"/>
    <s v="TX"/>
    <s v="76031"/>
    <s v="JOHNSON"/>
    <s v="(817) 641-2251"/>
    <s v="Acute Care Hospitals"/>
    <x v="1"/>
    <s v="Yes"/>
    <x v="3"/>
    <s v="5"/>
    <s v=""/>
    <n v="82"/>
    <n v="78"/>
    <n v="61"/>
    <n v="90"/>
    <n v="74"/>
    <n v="72"/>
    <s v="347"/>
    <n v="18"/>
    <d v="2024-07-01T00:00:00"/>
    <d v="2025-06-30T00:00:00"/>
    <n v="14.5"/>
    <x v="0"/>
    <n v="361"/>
    <n v="12.9"/>
    <n v="16.2"/>
    <s v=""/>
    <d v="2023-07-01T00:00:00"/>
    <d v="2024-06-30T00:00:00"/>
    <x v="0"/>
    <x v="0"/>
    <x v="0"/>
    <s v="High (4-5)"/>
    <n v="0"/>
    <n v="0"/>
    <n v="0"/>
    <n v="3"/>
    <n v="0"/>
    <x v="1"/>
    <x v="3"/>
    <n v="1"/>
    <n v="-0.40000000000000036"/>
  </r>
  <r>
    <x v="51"/>
    <s v="ADVENTHEALTH CENTRAL TEXAS"/>
    <s v="2201 S CLEAR CREEK ROAD"/>
    <s v="KILLEEN"/>
    <s v="TX"/>
    <s v="76542"/>
    <s v="BELL"/>
    <s v="(254) 526-7523"/>
    <s v="Acute Care Hospitals"/>
    <x v="7"/>
    <s v="Yes"/>
    <x v="2"/>
    <s v="3"/>
    <s v=""/>
    <n v="82"/>
    <n v="82"/>
    <n v="66"/>
    <n v="89"/>
    <n v="78"/>
    <n v="68"/>
    <s v="500"/>
    <n v="10"/>
    <d v="2024-07-01T00:00:00"/>
    <d v="2025-06-30T00:00:00"/>
    <n v="15.9"/>
    <x v="0"/>
    <n v="970"/>
    <n v="14.7"/>
    <n v="17.399999999999999"/>
    <s v=""/>
    <d v="2023-07-01T00:00:00"/>
    <d v="2024-06-30T00:00:00"/>
    <x v="0"/>
    <x v="0"/>
    <x v="0"/>
    <s v="Middle (3)"/>
    <n v="0"/>
    <n v="1"/>
    <n v="0"/>
    <n v="3"/>
    <n v="1"/>
    <x v="2"/>
    <x v="2"/>
    <n v="-3"/>
    <n v="1"/>
  </r>
  <r>
    <x v="52"/>
    <s v="VAL VERDE REGIONAL MEDICAL CENTER"/>
    <s v="801 BEDELL AVE"/>
    <s v="DEL RIO"/>
    <s v="TX"/>
    <s v="78840"/>
    <s v="VAL VERDE"/>
    <s v="(830) 775-8566"/>
    <s v="Acute Care Hospitals"/>
    <x v="2"/>
    <s v="Yes"/>
    <x v="2"/>
    <s v="3"/>
    <s v=""/>
    <n v="78"/>
    <n v="81"/>
    <n v="73"/>
    <n v="83"/>
    <n v="63"/>
    <n v="60"/>
    <s v="98"/>
    <n v="8"/>
    <d v="2024-07-01T00:00:00"/>
    <d v="2025-06-30T00:00:00"/>
    <n v="14.7"/>
    <x v="0"/>
    <n v="239"/>
    <n v="13"/>
    <n v="16.600000000000001"/>
    <s v=""/>
    <d v="2023-07-01T00:00:00"/>
    <d v="2024-06-30T00:00:00"/>
    <x v="0"/>
    <x v="0"/>
    <x v="0"/>
    <s v="Middle (3)"/>
    <n v="0"/>
    <n v="1"/>
    <n v="0"/>
    <n v="3"/>
    <n v="1"/>
    <x v="2"/>
    <x v="0"/>
    <n v="-11"/>
    <n v="-0.20000000000000107"/>
  </r>
  <r>
    <x v="53"/>
    <s v="HEREFORD REGIONAL MEDICAL CENTER"/>
    <s v="801 EAST THIRD"/>
    <s v="HEREFORD"/>
    <s v="TX"/>
    <s v="79045"/>
    <s v="DEAF SMITH"/>
    <s v="(806) 364-2141"/>
    <s v="Acute Care Hospitals"/>
    <x v="2"/>
    <s v="Yes"/>
    <x v="4"/>
    <s v="Not Available"/>
    <s v="16"/>
    <n v="79"/>
    <n v="83"/>
    <n v="57"/>
    <n v="93"/>
    <n v="82"/>
    <n v="77"/>
    <s v="33"/>
    <n v="20"/>
    <d v="2024-07-01T00:00:00"/>
    <d v="2025-06-30T00:00:00"/>
    <n v="14.5"/>
    <x v="0"/>
    <n v="58"/>
    <n v="12.7"/>
    <n v="16.7"/>
    <s v=""/>
    <d v="2023-07-01T00:00:00"/>
    <d v="2024-06-30T00:00:00"/>
    <x v="1"/>
    <x v="0"/>
    <x v="0"/>
    <s v="Unavailable"/>
    <s v=""/>
    <n v="0"/>
    <n v="0"/>
    <n v="2"/>
    <n v="0"/>
    <x v="3"/>
    <x v="3"/>
    <n v="6"/>
    <n v="-0.40000000000000036"/>
  </r>
  <r>
    <x v="54"/>
    <s v="GRACE SURGICAL HOSPITAL"/>
    <s v="2412 50TH ST"/>
    <s v="LUBBOCK"/>
    <s v="TX"/>
    <s v="79412"/>
    <s v="LUBBOCK"/>
    <s v="(806) 788-4000"/>
    <s v="Acute Care Hospitals"/>
    <x v="1"/>
    <s v="Yes"/>
    <x v="4"/>
    <s v="Not Available"/>
    <s v="16"/>
    <n v="84"/>
    <n v="78"/>
    <n v="62"/>
    <n v="87"/>
    <n v="85"/>
    <n v="86"/>
    <s v="62"/>
    <n v="42"/>
    <d v="2024-07-01T00:00:00"/>
    <d v="2025-06-30T00:00:00"/>
    <n v="14.2"/>
    <x v="0"/>
    <n v="53"/>
    <n v="11.2"/>
    <n v="17.8"/>
    <s v=""/>
    <d v="2023-07-01T00:00:00"/>
    <d v="2024-06-30T00:00:00"/>
    <x v="1"/>
    <x v="0"/>
    <x v="0"/>
    <s v="Unavailable"/>
    <s v=""/>
    <n v="0"/>
    <n v="0"/>
    <n v="2"/>
    <n v="0"/>
    <x v="3"/>
    <x v="1"/>
    <n v="15"/>
    <n v="-0.70000000000000107"/>
  </r>
  <r>
    <x v="55"/>
    <s v="CHRISTUS SPOHN HOSPITAL KLEBERG"/>
    <s v="1311 EAST GENERAL CAVAZOS BLVD"/>
    <s v="KINGSVILLE"/>
    <s v="TX"/>
    <s v="78363"/>
    <s v="KLEBERG"/>
    <s v="(361) 595-1661"/>
    <s v="Acute Care Hospitals"/>
    <x v="1"/>
    <s v="Yes"/>
    <x v="0"/>
    <s v="2"/>
    <s v=""/>
    <n v="82"/>
    <n v="77"/>
    <n v="65"/>
    <n v="83"/>
    <n v="68"/>
    <n v="60"/>
    <s v="157"/>
    <n v="13"/>
    <d v="2024-07-01T00:00:00"/>
    <d v="2025-06-30T00:00:00"/>
    <n v="14.9"/>
    <x v="0"/>
    <n v="174"/>
    <n v="13.2"/>
    <n v="17"/>
    <s v=""/>
    <d v="2023-07-01T00:00:00"/>
    <d v="2024-06-30T00:00:00"/>
    <x v="0"/>
    <x v="0"/>
    <x v="0"/>
    <s v="Low (1-2)"/>
    <n v="1"/>
    <n v="1"/>
    <n v="0"/>
    <n v="3"/>
    <n v="2"/>
    <x v="0"/>
    <x v="0"/>
    <n v="-11"/>
    <n v="0"/>
  </r>
  <r>
    <x v="56"/>
    <s v="METHODIST HOSPITAL ATASCOSA"/>
    <s v="1905 HWY 97 EAST"/>
    <s v="JOURDANTON"/>
    <s v="TX"/>
    <s v="78026"/>
    <s v="ATASCOSA"/>
    <s v="(830) 769-3515"/>
    <s v="Acute Care Hospitals"/>
    <x v="0"/>
    <s v="Yes"/>
    <x v="2"/>
    <s v="3"/>
    <s v=""/>
    <n v="82"/>
    <n v="76"/>
    <n v="64"/>
    <n v="82"/>
    <n v="72"/>
    <n v="71"/>
    <s v="147"/>
    <n v="14"/>
    <d v="2024-07-01T00:00:00"/>
    <d v="2025-06-30T00:00:00"/>
    <n v="14.5"/>
    <x v="0"/>
    <n v="226"/>
    <n v="12.5"/>
    <n v="16.7"/>
    <s v=""/>
    <d v="2023-07-01T00:00:00"/>
    <d v="2024-06-30T00:00:00"/>
    <x v="0"/>
    <x v="0"/>
    <x v="0"/>
    <s v="Middle (3)"/>
    <n v="0"/>
    <n v="0"/>
    <n v="0"/>
    <n v="3"/>
    <n v="0"/>
    <x v="1"/>
    <x v="2"/>
    <n v="0"/>
    <n v="-0.40000000000000036"/>
  </r>
  <r>
    <x v="57"/>
    <s v="MISSION REGIONAL MEDICAL CENTER"/>
    <s v="900 SOUTH BRYAN ROAD"/>
    <s v="MISSION"/>
    <s v="TX"/>
    <s v="78572"/>
    <s v="HIDALGO"/>
    <s v="(956) 323-9000"/>
    <s v="Acute Care Hospitals"/>
    <x v="1"/>
    <s v="Yes"/>
    <x v="1"/>
    <s v="4"/>
    <s v=""/>
    <n v="76"/>
    <n v="78"/>
    <n v="55"/>
    <n v="83"/>
    <n v="71"/>
    <n v="70"/>
    <s v="519"/>
    <n v="40"/>
    <d v="2024-07-01T00:00:00"/>
    <d v="2025-06-30T00:00:00"/>
    <n v="15.2"/>
    <x v="0"/>
    <n v="627"/>
    <n v="13.7"/>
    <n v="16.899999999999999"/>
    <s v=""/>
    <d v="2023-07-01T00:00:00"/>
    <d v="2024-06-30T00:00:00"/>
    <x v="0"/>
    <x v="0"/>
    <x v="0"/>
    <s v="High (4-5)"/>
    <n v="0"/>
    <n v="1"/>
    <n v="0"/>
    <n v="3"/>
    <n v="1"/>
    <x v="2"/>
    <x v="2"/>
    <n v="-1"/>
    <n v="0.29999999999999893"/>
  </r>
  <r>
    <x v="58"/>
    <s v="MEMORIAL HERMANN HOSPITAL SYSTEM"/>
    <s v="1635  NORTH LOOP WEST"/>
    <s v="HOUSTON"/>
    <s v="TX"/>
    <s v="77008"/>
    <s v="HARRIS"/>
    <s v="(713) 448-6796"/>
    <s v="Acute Care Hospitals"/>
    <x v="1"/>
    <s v="Yes"/>
    <x v="2"/>
    <s v="3"/>
    <s v=""/>
    <n v="76"/>
    <n v="76"/>
    <n v="59"/>
    <n v="83"/>
    <n v="72"/>
    <n v="71"/>
    <s v="1863"/>
    <n v="12"/>
    <d v="2024-07-01T00:00:00"/>
    <d v="2025-06-30T00:00:00"/>
    <n v="14.8"/>
    <x v="0"/>
    <n v="7528"/>
    <n v="14.1"/>
    <n v="15.5"/>
    <s v=""/>
    <d v="2023-07-01T00:00:00"/>
    <d v="2024-06-30T00:00:00"/>
    <x v="0"/>
    <x v="0"/>
    <x v="0"/>
    <s v="Middle (3)"/>
    <n v="0"/>
    <n v="0"/>
    <n v="0"/>
    <n v="3"/>
    <n v="0"/>
    <x v="1"/>
    <x v="2"/>
    <n v="0"/>
    <n v="-9.9999999999999645E-2"/>
  </r>
  <r>
    <x v="59"/>
    <s v="Baylor St Lukes Medical Center"/>
    <s v="6720 BERTNER AVE, STE MC1-266"/>
    <s v="HOUSTON"/>
    <s v="TX"/>
    <s v="77030"/>
    <s v="HARRIS"/>
    <s v="(832) 355-1000"/>
    <s v="Acute Care Hospitals"/>
    <x v="7"/>
    <s v="Yes"/>
    <x v="1"/>
    <s v="4"/>
    <s v=""/>
    <n v="73"/>
    <n v="77"/>
    <n v="55"/>
    <n v="83"/>
    <n v="68"/>
    <n v="64"/>
    <s v="529"/>
    <n v="14"/>
    <d v="2024-07-01T00:00:00"/>
    <d v="2025-06-30T00:00:00"/>
    <n v="14.5"/>
    <x v="0"/>
    <n v="2622"/>
    <n v="13.5"/>
    <n v="15.5"/>
    <s v=""/>
    <d v="2023-07-01T00:00:00"/>
    <d v="2024-06-30T00:00:00"/>
    <x v="0"/>
    <x v="0"/>
    <x v="0"/>
    <s v="High (4-5)"/>
    <n v="0"/>
    <n v="1"/>
    <n v="0"/>
    <n v="3"/>
    <n v="1"/>
    <x v="2"/>
    <x v="0"/>
    <n v="-7"/>
    <n v="-0.40000000000000036"/>
  </r>
  <r>
    <x v="60"/>
    <s v="UT HEALTH EAST TEXAS JACKSONVILLE HOSPITAL"/>
    <s v="501 S RAGSDALE"/>
    <s v="JACKSONVILLE"/>
    <s v="TX"/>
    <s v="75766"/>
    <s v="CHEROKEE"/>
    <s v="(903) 541-5000"/>
    <s v="Acute Care Hospitals"/>
    <x v="0"/>
    <s v="Yes"/>
    <x v="4"/>
    <s v="Not Available"/>
    <s v="16"/>
    <n v="81"/>
    <n v="88"/>
    <n v="74"/>
    <n v="87"/>
    <n v="74"/>
    <n v="75"/>
    <s v="129"/>
    <n v="12"/>
    <d v="2024-07-01T00:00:00"/>
    <d v="2025-06-30T00:00:00"/>
    <n v="14.7"/>
    <x v="0"/>
    <n v="123"/>
    <n v="13"/>
    <n v="16.7"/>
    <s v=""/>
    <d v="2023-07-01T00:00:00"/>
    <d v="2024-06-30T00:00:00"/>
    <x v="1"/>
    <x v="0"/>
    <x v="0"/>
    <s v="Unavailable"/>
    <s v=""/>
    <n v="0"/>
    <n v="0"/>
    <n v="2"/>
    <n v="0"/>
    <x v="3"/>
    <x v="3"/>
    <n v="4"/>
    <n v="-0.20000000000000107"/>
  </r>
  <r>
    <x v="61"/>
    <s v="PARIS REGIONAL MEDICAL CENTER"/>
    <s v="865 DESHONG DR"/>
    <s v="PARIS"/>
    <s v="TX"/>
    <s v="75460"/>
    <s v="LAMAR"/>
    <s v="(903) 785-4521"/>
    <s v="Acute Care Hospitals"/>
    <x v="0"/>
    <s v="Yes"/>
    <x v="5"/>
    <s v="1"/>
    <s v=""/>
    <n v="75"/>
    <n v="74"/>
    <n v="58"/>
    <n v="82"/>
    <n v="58"/>
    <n v="55"/>
    <s v="1125"/>
    <n v="17"/>
    <d v="2024-07-01T00:00:00"/>
    <d v="2025-06-30T00:00:00"/>
    <n v="15.4"/>
    <x v="0"/>
    <n v="1965"/>
    <n v="14.3"/>
    <n v="16.600000000000001"/>
    <s v=""/>
    <d v="2023-07-01T00:00:00"/>
    <d v="2024-06-30T00:00:00"/>
    <x v="0"/>
    <x v="0"/>
    <x v="0"/>
    <s v="Low (1-2)"/>
    <n v="1"/>
    <n v="1"/>
    <n v="0"/>
    <n v="3"/>
    <n v="2"/>
    <x v="0"/>
    <x v="0"/>
    <n v="-16"/>
    <n v="0.5"/>
  </r>
  <r>
    <x v="62"/>
    <s v="WADLEY REGIONAL MEDICAL CENTER"/>
    <s v="1000 PINE STREET"/>
    <s v="TEXARKANA"/>
    <s v="TX"/>
    <s v="75501"/>
    <s v="BOWIE"/>
    <s v="(903) 798-8000"/>
    <s v="Acute Care Hospitals"/>
    <x v="5"/>
    <s v="Yes"/>
    <x v="4"/>
    <s v="Not Available"/>
    <s v="16"/>
    <m/>
    <m/>
    <m/>
    <m/>
    <m/>
    <m/>
    <s v="Not Available"/>
    <m/>
    <d v="2024-07-01T00:00:00"/>
    <d v="2025-06-30T00:00:00"/>
    <m/>
    <x v="3"/>
    <m/>
    <m/>
    <m/>
    <s v="5"/>
    <d v="2023-07-01T00:00:00"/>
    <d v="2024-06-30T00:00:00"/>
    <x v="1"/>
    <x v="1"/>
    <x v="1"/>
    <s v="Unavailable"/>
    <s v=""/>
    <s v=""/>
    <s v=""/>
    <n v="0"/>
    <n v="0"/>
    <x v="3"/>
    <x v="4"/>
    <s v=""/>
    <s v=""/>
  </r>
  <r>
    <x v="63"/>
    <s v="MEDICAL CITY WEATHERFORD"/>
    <s v="713 E ANDERSON ST"/>
    <s v="WEATHERFORD"/>
    <s v="TX"/>
    <s v="76086"/>
    <s v="PARKER"/>
    <s v="(682) 582-1000"/>
    <s v="Acute Care Hospitals"/>
    <x v="0"/>
    <s v="Yes"/>
    <x v="0"/>
    <s v="2"/>
    <s v=""/>
    <n v="77"/>
    <n v="77"/>
    <n v="58"/>
    <n v="83"/>
    <n v="68"/>
    <n v="64"/>
    <s v="618"/>
    <n v="19"/>
    <d v="2024-07-01T00:00:00"/>
    <d v="2025-06-30T00:00:00"/>
    <n v="15"/>
    <x v="0"/>
    <n v="1477"/>
    <n v="13.8"/>
    <n v="16.2"/>
    <s v=""/>
    <d v="2023-07-01T00:00:00"/>
    <d v="2024-06-30T00:00:00"/>
    <x v="0"/>
    <x v="0"/>
    <x v="0"/>
    <s v="Low (1-2)"/>
    <n v="1"/>
    <n v="1"/>
    <n v="0"/>
    <n v="3"/>
    <n v="2"/>
    <x v="0"/>
    <x v="0"/>
    <n v="-7"/>
    <n v="9.9999999999999645E-2"/>
  </r>
  <r>
    <x v="64"/>
    <s v="NORTHWEST TEXAS HOSPITAL"/>
    <s v="1501 S  COULTER ST"/>
    <s v="AMARILLO"/>
    <s v="TX"/>
    <s v="79106"/>
    <s v="POTTER"/>
    <s v="(806) 354-1110"/>
    <s v="Acute Care Hospitals"/>
    <x v="1"/>
    <s v="Yes"/>
    <x v="2"/>
    <s v="3"/>
    <s v=""/>
    <n v="77"/>
    <n v="72"/>
    <n v="57"/>
    <n v="82"/>
    <n v="65"/>
    <n v="66"/>
    <s v="649"/>
    <n v="12"/>
    <d v="2024-07-01T00:00:00"/>
    <d v="2025-06-30T00:00:00"/>
    <n v="14.2"/>
    <x v="0"/>
    <n v="1575"/>
    <n v="13.1"/>
    <n v="15.4"/>
    <s v=""/>
    <d v="2023-07-01T00:00:00"/>
    <d v="2024-06-30T00:00:00"/>
    <x v="0"/>
    <x v="0"/>
    <x v="0"/>
    <s v="Middle (3)"/>
    <n v="0"/>
    <n v="1"/>
    <n v="0"/>
    <n v="3"/>
    <n v="1"/>
    <x v="2"/>
    <x v="0"/>
    <n v="-5"/>
    <n v="-0.70000000000000107"/>
  </r>
  <r>
    <x v="65"/>
    <s v="UT HEALTH EAST TEXAS CARTHAGE HOSPITAL"/>
    <s v="409 COTTAGE RD"/>
    <s v="CARTHAGE"/>
    <s v="TX"/>
    <s v="75633"/>
    <s v="PANOLA"/>
    <s v="(903) 693-3841"/>
    <s v="Acute Care Hospitals"/>
    <x v="0"/>
    <s v="Yes"/>
    <x v="3"/>
    <s v="5"/>
    <s v=""/>
    <n v="94"/>
    <n v="89"/>
    <n v="80"/>
    <n v="95"/>
    <n v="85"/>
    <n v="74"/>
    <s v="70"/>
    <n v="22"/>
    <d v="2024-07-01T00:00:00"/>
    <d v="2025-06-30T00:00:00"/>
    <n v="14.4"/>
    <x v="0"/>
    <n v="74"/>
    <n v="12.4"/>
    <n v="16.8"/>
    <s v=""/>
    <d v="2023-07-01T00:00:00"/>
    <d v="2024-06-30T00:00:00"/>
    <x v="0"/>
    <x v="0"/>
    <x v="0"/>
    <s v="High (4-5)"/>
    <n v="0"/>
    <n v="0"/>
    <n v="0"/>
    <n v="3"/>
    <n v="0"/>
    <x v="1"/>
    <x v="3"/>
    <n v="3"/>
    <n v="-0.5"/>
  </r>
  <r>
    <x v="66"/>
    <s v="CHI ST LUKES HEALTH MEMORIAL LUFKIN"/>
    <s v="1201 WEST FRANK STREET"/>
    <s v="LUFKIN"/>
    <s v="TX"/>
    <s v="75901"/>
    <s v="ANGELINA"/>
    <s v="(936) 634-8111"/>
    <s v="Acute Care Hospitals"/>
    <x v="1"/>
    <s v="Yes"/>
    <x v="0"/>
    <s v="2"/>
    <s v=""/>
    <n v="77"/>
    <n v="79"/>
    <n v="62"/>
    <n v="85"/>
    <n v="71"/>
    <n v="72"/>
    <s v="509"/>
    <n v="16"/>
    <d v="2024-07-01T00:00:00"/>
    <d v="2025-06-30T00:00:00"/>
    <n v="16"/>
    <x v="0"/>
    <n v="1341"/>
    <n v="14.7"/>
    <n v="17.3"/>
    <s v=""/>
    <d v="2023-07-01T00:00:00"/>
    <d v="2024-06-30T00:00:00"/>
    <x v="0"/>
    <x v="0"/>
    <x v="0"/>
    <s v="Low (1-2)"/>
    <n v="1"/>
    <n v="0"/>
    <n v="0"/>
    <n v="3"/>
    <n v="1"/>
    <x v="2"/>
    <x v="3"/>
    <n v="1"/>
    <n v="1.0999999999999996"/>
  </r>
  <r>
    <x v="67"/>
    <s v="UNIVERSITY HEALTH SYSTEM"/>
    <s v="4502 MEDICAL DR"/>
    <s v="SAN ANTONIO"/>
    <s v="TX"/>
    <s v="78229"/>
    <s v="BEXAR"/>
    <s v="(210) 358-2637"/>
    <s v="Acute Care Hospitals"/>
    <x v="2"/>
    <s v="Yes"/>
    <x v="2"/>
    <s v="3"/>
    <s v=""/>
    <n v="76"/>
    <n v="78"/>
    <n v="59"/>
    <n v="85"/>
    <n v="75"/>
    <n v="76"/>
    <s v="2306"/>
    <n v="22"/>
    <d v="2024-07-01T00:00:00"/>
    <d v="2025-06-30T00:00:00"/>
    <n v="15.1"/>
    <x v="0"/>
    <n v="2215"/>
    <n v="14.1"/>
    <n v="16.2"/>
    <s v=""/>
    <d v="2023-07-01T00:00:00"/>
    <d v="2024-06-30T00:00:00"/>
    <x v="0"/>
    <x v="0"/>
    <x v="0"/>
    <s v="Middle (3)"/>
    <n v="0"/>
    <n v="0"/>
    <n v="0"/>
    <n v="3"/>
    <n v="0"/>
    <x v="1"/>
    <x v="3"/>
    <n v="5"/>
    <n v="0.19999999999999929"/>
  </r>
  <r>
    <x v="68"/>
    <s v="HCA HOUSTON HEALTHCARE CONROE"/>
    <s v="504 MEDICAL CENTER BLVD"/>
    <s v="CONROE"/>
    <s v="TX"/>
    <s v="77304"/>
    <s v="MONTGOMERY"/>
    <s v="(936) 539-1111"/>
    <s v="Acute Care Hospitals"/>
    <x v="0"/>
    <s v="Yes"/>
    <x v="0"/>
    <s v="2"/>
    <s v=""/>
    <n v="72"/>
    <n v="67"/>
    <n v="54"/>
    <n v="77"/>
    <n v="61"/>
    <n v="57"/>
    <s v="554"/>
    <n v="13"/>
    <d v="2024-07-01T00:00:00"/>
    <d v="2025-06-30T00:00:00"/>
    <n v="16.899999999999999"/>
    <x v="2"/>
    <n v="1564"/>
    <n v="15.6"/>
    <n v="18.2"/>
    <s v=""/>
    <d v="2023-07-01T00:00:00"/>
    <d v="2024-06-30T00:00:00"/>
    <x v="0"/>
    <x v="0"/>
    <x v="0"/>
    <s v="Low (1-2)"/>
    <n v="1"/>
    <n v="1"/>
    <n v="1"/>
    <n v="3"/>
    <n v="3"/>
    <x v="4"/>
    <x v="0"/>
    <n v="-14"/>
    <n v="1.9999999999999982"/>
  </r>
  <r>
    <x v="69"/>
    <s v="HENDRICK MEDICAL CENTER"/>
    <s v="1900 PINE"/>
    <s v="ABILENE"/>
    <s v="TX"/>
    <s v="79601"/>
    <s v="TAYLOR"/>
    <s v="(325) 670-2000"/>
    <s v="Acute Care Hospitals"/>
    <x v="1"/>
    <s v="Yes"/>
    <x v="2"/>
    <s v="3"/>
    <s v=""/>
    <n v="74"/>
    <n v="77"/>
    <n v="58"/>
    <n v="89"/>
    <n v="64"/>
    <n v="65"/>
    <s v="361"/>
    <n v="17"/>
    <d v="2024-07-01T00:00:00"/>
    <d v="2025-06-30T00:00:00"/>
    <n v="15.1"/>
    <x v="0"/>
    <n v="5402"/>
    <n v="14.3"/>
    <n v="15.9"/>
    <s v=""/>
    <d v="2023-07-01T00:00:00"/>
    <d v="2024-06-30T00:00:00"/>
    <x v="0"/>
    <x v="0"/>
    <x v="0"/>
    <s v="Middle (3)"/>
    <n v="0"/>
    <n v="1"/>
    <n v="0"/>
    <n v="3"/>
    <n v="1"/>
    <x v="2"/>
    <x v="0"/>
    <n v="-6"/>
    <n v="0.19999999999999929"/>
  </r>
  <r>
    <x v="70"/>
    <s v="BSA HOSPITAL"/>
    <s v="1600 WALLACE BLVD"/>
    <s v="AMARILLO"/>
    <s v="TX"/>
    <s v="79106"/>
    <s v="POTTER"/>
    <s v="(806) 212-2000"/>
    <s v="Acute Care Hospitals"/>
    <x v="0"/>
    <s v="Yes"/>
    <x v="0"/>
    <s v="2"/>
    <s v=""/>
    <n v="77"/>
    <n v="76"/>
    <n v="56"/>
    <n v="84"/>
    <n v="73"/>
    <n v="76"/>
    <s v="1324"/>
    <n v="21"/>
    <d v="2024-07-01T00:00:00"/>
    <d v="2025-06-30T00:00:00"/>
    <n v="14.8"/>
    <x v="0"/>
    <n v="4914"/>
    <n v="14"/>
    <n v="15.7"/>
    <s v=""/>
    <d v="2023-07-01T00:00:00"/>
    <d v="2024-06-30T00:00:00"/>
    <x v="0"/>
    <x v="0"/>
    <x v="0"/>
    <s v="Low (1-2)"/>
    <n v="1"/>
    <n v="0"/>
    <n v="0"/>
    <n v="3"/>
    <n v="1"/>
    <x v="2"/>
    <x v="3"/>
    <n v="5"/>
    <n v="-9.9999999999999645E-2"/>
  </r>
  <r>
    <x v="71"/>
    <s v="MEMORIAL HOSPITAL"/>
    <s v="1110 NORTH SARAH DEWITT DRIVE"/>
    <s v="GONZALES"/>
    <s v="TX"/>
    <s v="78629"/>
    <s v="GONZALES"/>
    <s v="(830) 672-7581"/>
    <s v="Acute Care Hospitals"/>
    <x v="2"/>
    <s v="No"/>
    <x v="4"/>
    <s v="Not Available"/>
    <s v="16"/>
    <n v="84"/>
    <n v="83"/>
    <n v="71"/>
    <n v="92"/>
    <n v="81"/>
    <n v="72"/>
    <s v="52"/>
    <n v="14"/>
    <d v="2024-07-01T00:00:00"/>
    <d v="2025-06-30T00:00:00"/>
    <n v="15.3"/>
    <x v="0"/>
    <n v="96"/>
    <n v="13.4"/>
    <n v="17.399999999999999"/>
    <s v=""/>
    <d v="2023-07-01T00:00:00"/>
    <d v="2024-06-30T00:00:00"/>
    <x v="1"/>
    <x v="0"/>
    <x v="0"/>
    <s v="Unavailable"/>
    <s v=""/>
    <n v="0"/>
    <n v="0"/>
    <n v="2"/>
    <n v="0"/>
    <x v="3"/>
    <x v="3"/>
    <n v="1"/>
    <n v="0.40000000000000036"/>
  </r>
  <r>
    <x v="72"/>
    <s v="CHRISTUS MOTHER FRANCES HOSPITAL SULPHUR SPRINGS"/>
    <s v="115 AIRPORT RD"/>
    <s v="SULPHUR SPRINGS"/>
    <s v="TX"/>
    <s v="75482"/>
    <s v="HOPKINS"/>
    <s v="(903) 885-7671"/>
    <s v="Acute Care Hospitals"/>
    <x v="1"/>
    <s v="Yes"/>
    <x v="1"/>
    <s v="4"/>
    <s v=""/>
    <n v="86"/>
    <n v="80"/>
    <n v="64"/>
    <n v="88"/>
    <n v="80"/>
    <n v="76"/>
    <s v="357"/>
    <n v="18"/>
    <d v="2024-07-01T00:00:00"/>
    <d v="2025-06-30T00:00:00"/>
    <n v="13.7"/>
    <x v="0"/>
    <n v="715"/>
    <n v="12.4"/>
    <n v="15.1"/>
    <s v=""/>
    <d v="2023-07-01T00:00:00"/>
    <d v="2024-06-30T00:00:00"/>
    <x v="0"/>
    <x v="0"/>
    <x v="0"/>
    <s v="High (4-5)"/>
    <n v="0"/>
    <n v="0"/>
    <n v="0"/>
    <n v="3"/>
    <n v="0"/>
    <x v="1"/>
    <x v="3"/>
    <n v="5"/>
    <n v="-1.2000000000000011"/>
  </r>
  <r>
    <x v="73"/>
    <s v="CHRISTUS SANTA ROSA MEDICAL CENTER"/>
    <s v="11212 State Hwy 151"/>
    <s v="SAN ANTONIO"/>
    <s v="TX"/>
    <s v="78251"/>
    <s v="BEXAR"/>
    <s v="(210) 703-8211"/>
    <s v="Acute Care Hospitals"/>
    <x v="1"/>
    <s v="Yes"/>
    <x v="2"/>
    <s v="3"/>
    <s v=""/>
    <n v="75"/>
    <n v="78"/>
    <n v="59"/>
    <n v="86"/>
    <n v="70"/>
    <n v="70"/>
    <s v="470"/>
    <n v="15"/>
    <d v="2024-07-01T00:00:00"/>
    <d v="2025-06-30T00:00:00"/>
    <n v="14.4"/>
    <x v="0"/>
    <n v="3869"/>
    <n v="13.6"/>
    <n v="15.4"/>
    <s v=""/>
    <d v="2023-07-01T00:00:00"/>
    <d v="2024-06-30T00:00:00"/>
    <x v="0"/>
    <x v="0"/>
    <x v="0"/>
    <s v="Middle (3)"/>
    <n v="0"/>
    <n v="1"/>
    <n v="0"/>
    <n v="3"/>
    <n v="1"/>
    <x v="2"/>
    <x v="2"/>
    <n v="-1"/>
    <n v="-0.5"/>
  </r>
  <r>
    <x v="74"/>
    <s v="FAITH COMMUNITY HOSPITAL"/>
    <s v="215 CHISHOLM TRAIL"/>
    <s v="JACKSBORO"/>
    <s v="TX"/>
    <s v="76458"/>
    <s v="JACK"/>
    <s v="(940) 567-6633"/>
    <s v="Acute Care Hospitals"/>
    <x v="2"/>
    <s v="Yes"/>
    <x v="4"/>
    <s v="Not Available"/>
    <s v="16"/>
    <n v="88"/>
    <n v="79"/>
    <n v="74"/>
    <n v="90"/>
    <n v="73"/>
    <n v="69"/>
    <s v="34"/>
    <n v="13"/>
    <d v="2024-07-01T00:00:00"/>
    <d v="2025-06-30T00:00:00"/>
    <n v="14.8"/>
    <x v="0"/>
    <n v="82"/>
    <n v="13"/>
    <n v="16.899999999999999"/>
    <s v=""/>
    <d v="2023-07-01T00:00:00"/>
    <d v="2024-06-30T00:00:00"/>
    <x v="1"/>
    <x v="0"/>
    <x v="0"/>
    <s v="Unavailable"/>
    <s v=""/>
    <n v="1"/>
    <n v="0"/>
    <n v="2"/>
    <n v="1"/>
    <x v="3"/>
    <x v="2"/>
    <n v="-2"/>
    <n v="-9.9999999999999645E-2"/>
  </r>
  <r>
    <x v="75"/>
    <s v="BELLVILLE MEDICAL CENTER"/>
    <s v="44 N CUMMINGS ST"/>
    <s v="BELLVILLE"/>
    <s v="TX"/>
    <s v="77418"/>
    <s v="AUSTIN"/>
    <s v="(979) 865-3141"/>
    <s v="Acute Care Hospitals"/>
    <x v="2"/>
    <s v="Yes"/>
    <x v="4"/>
    <s v="Not Available"/>
    <s v="16"/>
    <m/>
    <m/>
    <m/>
    <m/>
    <m/>
    <m/>
    <s v="Not Available"/>
    <m/>
    <d v="2024-07-01T00:00:00"/>
    <d v="2025-06-30T00:00:00"/>
    <n v="15.6"/>
    <x v="0"/>
    <n v="33"/>
    <n v="13.1"/>
    <n v="18.3"/>
    <s v=""/>
    <d v="2023-07-01T00:00:00"/>
    <d v="2024-06-30T00:00:00"/>
    <x v="1"/>
    <x v="1"/>
    <x v="0"/>
    <s v="Unavailable"/>
    <s v=""/>
    <s v=""/>
    <n v="0"/>
    <n v="1"/>
    <n v="0"/>
    <x v="3"/>
    <x v="4"/>
    <s v=""/>
    <n v="0.69999999999999929"/>
  </r>
  <r>
    <x v="76"/>
    <s v="CHRISTUS SANTA ROSA HOSPITAL-SAN MARCOS"/>
    <s v="1301 WONDER WORLD DRIVE"/>
    <s v="SAN MARCOS"/>
    <s v="TX"/>
    <s v="78666"/>
    <s v="HAYS"/>
    <s v="(512) 753-3511"/>
    <s v="Acute Care Hospitals"/>
    <x v="7"/>
    <s v="Yes"/>
    <x v="1"/>
    <s v="4"/>
    <s v=""/>
    <n v="77"/>
    <n v="83"/>
    <n v="60"/>
    <n v="85"/>
    <n v="70"/>
    <n v="69"/>
    <s v="569"/>
    <n v="16"/>
    <d v="2024-07-01T00:00:00"/>
    <d v="2025-06-30T00:00:00"/>
    <n v="14.2"/>
    <x v="0"/>
    <n v="651"/>
    <n v="13.2"/>
    <n v="16"/>
    <s v=""/>
    <d v="2023-07-01T00:00:00"/>
    <d v="2024-06-30T00:00:00"/>
    <x v="0"/>
    <x v="0"/>
    <x v="0"/>
    <s v="High (4-5)"/>
    <n v="0"/>
    <n v="1"/>
    <n v="0"/>
    <n v="3"/>
    <n v="1"/>
    <x v="2"/>
    <x v="2"/>
    <n v="-2"/>
    <n v="-0.70000000000000107"/>
  </r>
  <r>
    <x v="77"/>
    <s v="HARRIS HEALTH"/>
    <s v="1504 TAUB LOOP"/>
    <s v="HOUSTON"/>
    <s v="TX"/>
    <s v="77030"/>
    <s v="HARRIS"/>
    <s v="(713) 873-2000"/>
    <s v="Acute Care Hospitals"/>
    <x v="2"/>
    <s v="Yes"/>
    <x v="2"/>
    <s v="3"/>
    <s v=""/>
    <n v="77"/>
    <n v="80"/>
    <n v="57"/>
    <n v="84"/>
    <n v="72"/>
    <n v="71"/>
    <s v="524"/>
    <n v="5"/>
    <d v="2024-07-01T00:00:00"/>
    <d v="2025-06-30T00:00:00"/>
    <n v="15.1"/>
    <x v="0"/>
    <n v="340"/>
    <n v="13.6"/>
    <n v="16.7"/>
    <s v=""/>
    <d v="2023-07-01T00:00:00"/>
    <d v="2024-06-30T00:00:00"/>
    <x v="0"/>
    <x v="0"/>
    <x v="0"/>
    <s v="Middle (3)"/>
    <n v="0"/>
    <n v="0"/>
    <n v="0"/>
    <n v="3"/>
    <n v="0"/>
    <x v="1"/>
    <x v="2"/>
    <n v="0"/>
    <n v="0.19999999999999929"/>
  </r>
  <r>
    <x v="78"/>
    <s v="TEXAS HEALTH PRESBYTERIAN HOSPITAL KAUFMAN"/>
    <s v="850 ED HALL"/>
    <s v="KAUFMAN"/>
    <s v="TX"/>
    <s v="75142"/>
    <s v="KAUFMAN"/>
    <s v="(972) 932-7200"/>
    <s v="Acute Care Hospitals"/>
    <x v="1"/>
    <s v="Yes"/>
    <x v="4"/>
    <s v="Not Available"/>
    <s v="16"/>
    <n v="86"/>
    <n v="81"/>
    <n v="68"/>
    <n v="89"/>
    <n v="73"/>
    <n v="71"/>
    <s v="126"/>
    <n v="17"/>
    <d v="2024-07-01T00:00:00"/>
    <d v="2025-06-30T00:00:00"/>
    <n v="14.9"/>
    <x v="0"/>
    <n v="153"/>
    <n v="13.2"/>
    <n v="16.8"/>
    <s v=""/>
    <d v="2023-07-01T00:00:00"/>
    <d v="2024-06-30T00:00:00"/>
    <x v="1"/>
    <x v="0"/>
    <x v="0"/>
    <s v="Unavailable"/>
    <s v=""/>
    <n v="0"/>
    <n v="0"/>
    <n v="2"/>
    <n v="0"/>
    <x v="3"/>
    <x v="2"/>
    <n v="0"/>
    <n v="0"/>
  </r>
  <r>
    <x v="79"/>
    <s v="TEXOMA MEDICAL CENTER"/>
    <s v="5016 S US HIGHWAY 75"/>
    <s v="DENISON"/>
    <s v="TX"/>
    <s v="75020"/>
    <s v="GRAYSON"/>
    <s v="(903) 416-4000"/>
    <s v="Acute Care Hospitals"/>
    <x v="0"/>
    <s v="Yes"/>
    <x v="1"/>
    <s v="4"/>
    <s v=""/>
    <n v="79"/>
    <n v="75"/>
    <n v="61"/>
    <n v="85"/>
    <n v="65"/>
    <n v="67"/>
    <s v="597"/>
    <n v="17"/>
    <d v="2024-07-01T00:00:00"/>
    <d v="2025-06-30T00:00:00"/>
    <n v="16.100000000000001"/>
    <x v="2"/>
    <n v="4243"/>
    <n v="15.3"/>
    <n v="17"/>
    <s v=""/>
    <d v="2023-07-01T00:00:00"/>
    <d v="2024-06-30T00:00:00"/>
    <x v="0"/>
    <x v="0"/>
    <x v="0"/>
    <s v="High (4-5)"/>
    <n v="0"/>
    <n v="1"/>
    <n v="1"/>
    <n v="3"/>
    <n v="2"/>
    <x v="0"/>
    <x v="2"/>
    <n v="-4"/>
    <n v="1.2000000000000011"/>
  </r>
  <r>
    <x v="80"/>
    <s v="OAKBEND MEDICAL CENTER"/>
    <s v="1705 JACKSON ST"/>
    <s v="RICHMOND"/>
    <s v="TX"/>
    <s v="77469"/>
    <s v="FORT BEND"/>
    <s v="(281) 341-3000"/>
    <s v="Acute Care Hospitals"/>
    <x v="2"/>
    <s v="Yes"/>
    <x v="2"/>
    <s v="3"/>
    <s v=""/>
    <n v="75"/>
    <n v="75"/>
    <n v="55"/>
    <n v="82"/>
    <n v="62"/>
    <n v="59"/>
    <s v="246"/>
    <n v="15"/>
    <d v="2024-07-01T00:00:00"/>
    <d v="2025-06-30T00:00:00"/>
    <n v="16.100000000000001"/>
    <x v="0"/>
    <n v="287"/>
    <n v="14.4"/>
    <n v="17.899999999999999"/>
    <s v=""/>
    <d v="2023-07-01T00:00:00"/>
    <d v="2024-06-30T00:00:00"/>
    <x v="0"/>
    <x v="0"/>
    <x v="0"/>
    <s v="Middle (3)"/>
    <n v="0"/>
    <n v="1"/>
    <n v="0"/>
    <n v="3"/>
    <n v="1"/>
    <x v="2"/>
    <x v="0"/>
    <n v="-12"/>
    <n v="1.2000000000000011"/>
  </r>
  <r>
    <x v="81"/>
    <s v="BAPTIST BEAUMONT HOSPITAL"/>
    <s v="3080 COLLEGE STREET"/>
    <s v="BEAUMONT"/>
    <s v="TX"/>
    <s v="77701"/>
    <s v="JEFFERSON"/>
    <s v="(409) 212-5000"/>
    <s v="Acute Care Hospitals"/>
    <x v="1"/>
    <s v="Yes"/>
    <x v="2"/>
    <s v="3"/>
    <s v=""/>
    <n v="77"/>
    <n v="74"/>
    <n v="59"/>
    <n v="85"/>
    <n v="70"/>
    <n v="69"/>
    <s v="1399"/>
    <n v="12"/>
    <d v="2024-07-01T00:00:00"/>
    <d v="2025-06-30T00:00:00"/>
    <n v="15.8"/>
    <x v="0"/>
    <n v="1886"/>
    <n v="14.7"/>
    <n v="17"/>
    <s v=""/>
    <d v="2023-07-01T00:00:00"/>
    <d v="2024-06-30T00:00:00"/>
    <x v="0"/>
    <x v="0"/>
    <x v="0"/>
    <s v="Middle (3)"/>
    <n v="0"/>
    <n v="1"/>
    <n v="0"/>
    <n v="3"/>
    <n v="1"/>
    <x v="2"/>
    <x v="2"/>
    <n v="-2"/>
    <n v="0.90000000000000036"/>
  </r>
  <r>
    <x v="82"/>
    <s v="HUNTSVILLE MEMORIAL HOSPITAL"/>
    <s v="110 MEMORIAL HOSPITAL DRIVE"/>
    <s v="HUNTSVILLE"/>
    <s v="TX"/>
    <s v="77340"/>
    <s v="WALKER"/>
    <s v="(936) 291-3411"/>
    <s v="Acute Care Hospitals"/>
    <x v="1"/>
    <s v="Yes"/>
    <x v="0"/>
    <s v="2"/>
    <s v=""/>
    <n v="75"/>
    <n v="77"/>
    <n v="58"/>
    <n v="86"/>
    <n v="66"/>
    <n v="63"/>
    <s v="318"/>
    <n v="18"/>
    <d v="2024-07-01T00:00:00"/>
    <d v="2025-06-30T00:00:00"/>
    <n v="15.4"/>
    <x v="0"/>
    <n v="467"/>
    <n v="13.8"/>
    <n v="17.100000000000001"/>
    <s v=""/>
    <d v="2023-07-01T00:00:00"/>
    <d v="2024-06-30T00:00:00"/>
    <x v="0"/>
    <x v="0"/>
    <x v="0"/>
    <s v="Low (1-2)"/>
    <n v="1"/>
    <n v="1"/>
    <n v="0"/>
    <n v="3"/>
    <n v="2"/>
    <x v="0"/>
    <x v="0"/>
    <n v="-8"/>
    <n v="0.5"/>
  </r>
  <r>
    <x v="83"/>
    <s v="TEXAS HEALTH HARRIS METHODIST HOSPITAL STEPHENVILL"/>
    <s v="411 N BELKNAP ST"/>
    <s v="STEPHENVILLE"/>
    <s v="TX"/>
    <s v="76401"/>
    <s v="ERATH"/>
    <s v="(254) 965-1500"/>
    <s v="Acute Care Hospitals"/>
    <x v="1"/>
    <s v="Yes"/>
    <x v="1"/>
    <s v="4"/>
    <s v=""/>
    <n v="86"/>
    <n v="83"/>
    <n v="67"/>
    <n v="90"/>
    <n v="75"/>
    <n v="74"/>
    <s v="182"/>
    <n v="18"/>
    <d v="2024-07-01T00:00:00"/>
    <d v="2025-06-30T00:00:00"/>
    <n v="14.8"/>
    <x v="0"/>
    <n v="307"/>
    <n v="13.1"/>
    <n v="16.600000000000001"/>
    <s v=""/>
    <d v="2023-07-01T00:00:00"/>
    <d v="2024-06-30T00:00:00"/>
    <x v="0"/>
    <x v="0"/>
    <x v="0"/>
    <s v="High (4-5)"/>
    <n v="0"/>
    <n v="0"/>
    <n v="0"/>
    <n v="3"/>
    <n v="0"/>
    <x v="1"/>
    <x v="3"/>
    <n v="3"/>
    <n v="-9.9999999999999645E-2"/>
  </r>
  <r>
    <x v="84"/>
    <s v="HUNT REGIONAL MEDICAL CENTER"/>
    <s v="4215 JOE RAMSEY BLVD E"/>
    <s v="GREENVILLE"/>
    <s v="TX"/>
    <s v="75401"/>
    <s v="HUNT"/>
    <s v="(903) 408-5000"/>
    <s v="Acute Care Hospitals"/>
    <x v="2"/>
    <s v="Yes"/>
    <x v="0"/>
    <s v="2"/>
    <s v=""/>
    <n v="73"/>
    <n v="73"/>
    <n v="53"/>
    <n v="84"/>
    <n v="63"/>
    <n v="63"/>
    <s v="774"/>
    <n v="15"/>
    <d v="2024-07-01T00:00:00"/>
    <d v="2025-06-30T00:00:00"/>
    <n v="16.2"/>
    <x v="0"/>
    <n v="1405"/>
    <n v="15"/>
    <n v="17.5"/>
    <s v=""/>
    <d v="2023-07-01T00:00:00"/>
    <d v="2024-06-30T00:00:00"/>
    <x v="0"/>
    <x v="0"/>
    <x v="0"/>
    <s v="Low (1-2)"/>
    <n v="1"/>
    <n v="1"/>
    <n v="0"/>
    <n v="3"/>
    <n v="2"/>
    <x v="0"/>
    <x v="0"/>
    <n v="-8"/>
    <n v="1.2999999999999989"/>
  </r>
  <r>
    <x v="85"/>
    <s v="HOUSTON METHODIST HOSPITAL"/>
    <s v="6565 FANNIN"/>
    <s v="HOUSTON"/>
    <s v="TX"/>
    <s v="77030"/>
    <s v="HARRIS"/>
    <s v="(713) 790-2221"/>
    <s v="Acute Care Hospitals"/>
    <x v="1"/>
    <s v="Yes"/>
    <x v="3"/>
    <s v="5"/>
    <s v=""/>
    <n v="78"/>
    <n v="81"/>
    <n v="60"/>
    <n v="88"/>
    <n v="79"/>
    <n v="82"/>
    <s v="6495"/>
    <n v="20"/>
    <d v="2024-07-01T00:00:00"/>
    <d v="2025-06-30T00:00:00"/>
    <n v="14.2"/>
    <x v="1"/>
    <n v="8382"/>
    <n v="13.6"/>
    <n v="14.8"/>
    <s v=""/>
    <d v="2023-07-01T00:00:00"/>
    <d v="2024-06-30T00:00:00"/>
    <x v="0"/>
    <x v="0"/>
    <x v="0"/>
    <s v="High (4-5)"/>
    <n v="0"/>
    <n v="0"/>
    <n v="0"/>
    <n v="3"/>
    <n v="0"/>
    <x v="1"/>
    <x v="1"/>
    <n v="11"/>
    <n v="-0.70000000000000107"/>
  </r>
  <r>
    <x v="86"/>
    <s v="CHILDRESS REGIONAL MEDICAL CENTER"/>
    <s v="HWY 83 NORTH"/>
    <s v="CHILDRESS"/>
    <s v="TX"/>
    <s v="79201"/>
    <s v="CHILDRESS"/>
    <s v="(940) 937-6371"/>
    <s v="Acute Care Hospitals"/>
    <x v="2"/>
    <s v="Yes"/>
    <x v="4"/>
    <s v="Not Available"/>
    <s v="16"/>
    <n v="96"/>
    <n v="98"/>
    <n v="91"/>
    <n v="90"/>
    <n v="92"/>
    <n v="92"/>
    <s v="92"/>
    <n v="23"/>
    <d v="2024-07-01T00:00:00"/>
    <d v="2025-06-30T00:00:00"/>
    <n v="14.5"/>
    <x v="0"/>
    <n v="115"/>
    <n v="12.6"/>
    <n v="16.600000000000001"/>
    <s v=""/>
    <d v="2023-07-01T00:00:00"/>
    <d v="2024-06-30T00:00:00"/>
    <x v="1"/>
    <x v="0"/>
    <x v="0"/>
    <s v="Unavailable"/>
    <s v=""/>
    <n v="0"/>
    <n v="0"/>
    <n v="2"/>
    <n v="0"/>
    <x v="3"/>
    <x v="1"/>
    <n v="21"/>
    <n v="-0.40000000000000036"/>
  </r>
  <r>
    <x v="87"/>
    <s v="COLUMBUS COMMUNITY HOSPITAL"/>
    <s v="110 SHULT DR"/>
    <s v="COLUMBUS"/>
    <s v="TX"/>
    <s v="78934"/>
    <s v="COLORADO"/>
    <s v="(979) 732-2371"/>
    <s v="Acute Care Hospitals"/>
    <x v="1"/>
    <s v="Yes"/>
    <x v="0"/>
    <s v="2"/>
    <s v=""/>
    <n v="79"/>
    <n v="77"/>
    <n v="62"/>
    <n v="83"/>
    <n v="73"/>
    <n v="73"/>
    <s v="124"/>
    <n v="22"/>
    <d v="2024-07-01T00:00:00"/>
    <d v="2025-06-30T00:00:00"/>
    <n v="14.9"/>
    <x v="0"/>
    <n v="179"/>
    <n v="13.3"/>
    <n v="16.899999999999999"/>
    <s v=""/>
    <d v="2023-07-01T00:00:00"/>
    <d v="2024-06-30T00:00:00"/>
    <x v="0"/>
    <x v="0"/>
    <x v="0"/>
    <s v="Low (1-2)"/>
    <n v="1"/>
    <n v="0"/>
    <n v="0"/>
    <n v="3"/>
    <n v="1"/>
    <x v="2"/>
    <x v="3"/>
    <n v="2"/>
    <n v="0"/>
  </r>
  <r>
    <x v="88"/>
    <s v="BAYLOR SCOTT &amp; WHITE MEDICAL CENTER- WAXAHACHIE"/>
    <s v="2400 N INTERSTATE HIGHWAY 35E"/>
    <s v="WAXAHACHIE"/>
    <s v="TX"/>
    <s v="75165"/>
    <s v="ELLIS"/>
    <s v="(972) 923-7000"/>
    <s v="Acute Care Hospitals"/>
    <x v="1"/>
    <s v="Yes"/>
    <x v="1"/>
    <s v="4"/>
    <s v=""/>
    <n v="81"/>
    <n v="79"/>
    <n v="62"/>
    <n v="88"/>
    <n v="78"/>
    <n v="78"/>
    <s v="559"/>
    <n v="15"/>
    <d v="2024-07-01T00:00:00"/>
    <d v="2025-06-30T00:00:00"/>
    <n v="15.6"/>
    <x v="0"/>
    <n v="1611"/>
    <n v="14.5"/>
    <n v="16.8"/>
    <s v=""/>
    <d v="2023-07-01T00:00:00"/>
    <d v="2024-06-30T00:00:00"/>
    <x v="0"/>
    <x v="0"/>
    <x v="0"/>
    <s v="High (4-5)"/>
    <n v="0"/>
    <n v="0"/>
    <n v="0"/>
    <n v="3"/>
    <n v="0"/>
    <x v="1"/>
    <x v="3"/>
    <n v="7"/>
    <n v="0.69999999999999929"/>
  </r>
  <r>
    <x v="89"/>
    <s v="DALLAS MEDICAL CENTER"/>
    <s v="7 MEDICAL PARKWAY"/>
    <s v="DALLAS"/>
    <s v="TX"/>
    <s v="75234"/>
    <s v="DALLAS"/>
    <s v="(972) 247-1000"/>
    <s v="Acute Care Hospitals"/>
    <x v="0"/>
    <s v="Yes"/>
    <x v="2"/>
    <s v="3"/>
    <s v=""/>
    <n v="75"/>
    <n v="71"/>
    <n v="60"/>
    <n v="81"/>
    <n v="59"/>
    <n v="62"/>
    <s v="225"/>
    <n v="24"/>
    <d v="2024-07-01T00:00:00"/>
    <d v="2025-06-30T00:00:00"/>
    <n v="13.7"/>
    <x v="0"/>
    <n v="192"/>
    <n v="11.9"/>
    <n v="15.9"/>
    <s v=""/>
    <d v="2023-07-01T00:00:00"/>
    <d v="2024-06-30T00:00:00"/>
    <x v="0"/>
    <x v="0"/>
    <x v="0"/>
    <s v="Middle (3)"/>
    <n v="0"/>
    <n v="1"/>
    <n v="0"/>
    <n v="3"/>
    <n v="1"/>
    <x v="2"/>
    <x v="0"/>
    <n v="-9"/>
    <n v="-1.2000000000000011"/>
  </r>
  <r>
    <x v="90"/>
    <s v="METHODIST HOSPITAL"/>
    <s v="7700 FLOYD CURL DR"/>
    <s v="SAN ANTONIO"/>
    <s v="TX"/>
    <s v="78229"/>
    <s v="BEXAR"/>
    <s v="(210) 575-4000"/>
    <s v="Acute Care Hospitals"/>
    <x v="0"/>
    <s v="Yes"/>
    <x v="1"/>
    <s v="4"/>
    <s v=""/>
    <n v="75"/>
    <n v="74"/>
    <n v="56"/>
    <n v="83"/>
    <n v="68"/>
    <n v="67"/>
    <s v="3795"/>
    <n v="17"/>
    <d v="2024-07-01T00:00:00"/>
    <d v="2025-06-30T00:00:00"/>
    <n v="15.8"/>
    <x v="2"/>
    <n v="12978"/>
    <n v="15.2"/>
    <n v="16.399999999999999"/>
    <s v=""/>
    <d v="2023-07-01T00:00:00"/>
    <d v="2024-06-30T00:00:00"/>
    <x v="0"/>
    <x v="0"/>
    <x v="0"/>
    <s v="High (4-5)"/>
    <n v="0"/>
    <n v="1"/>
    <n v="1"/>
    <n v="3"/>
    <n v="2"/>
    <x v="0"/>
    <x v="2"/>
    <n v="-4"/>
    <n v="0.90000000000000036"/>
  </r>
  <r>
    <x v="91"/>
    <s v="UT HEALTH EAST TEXAS ATHENS HOSPITAL"/>
    <s v="2000 SOUTH PALESTINE ST"/>
    <s v="ATHENS"/>
    <s v="TX"/>
    <s v="75751"/>
    <s v="HENDERSON"/>
    <s v="(903) 676-1000"/>
    <s v="Acute Care Hospitals"/>
    <x v="0"/>
    <s v="Yes"/>
    <x v="0"/>
    <s v="2"/>
    <s v=""/>
    <n v="82"/>
    <n v="83"/>
    <n v="64"/>
    <n v="87"/>
    <n v="71"/>
    <n v="70"/>
    <s v="309"/>
    <n v="16"/>
    <d v="2024-07-01T00:00:00"/>
    <d v="2025-06-30T00:00:00"/>
    <n v="16.2"/>
    <x v="0"/>
    <n v="717"/>
    <n v="14.7"/>
    <n v="17.8"/>
    <s v=""/>
    <d v="2023-07-01T00:00:00"/>
    <d v="2024-06-30T00:00:00"/>
    <x v="0"/>
    <x v="0"/>
    <x v="0"/>
    <s v="Low (1-2)"/>
    <n v="1"/>
    <n v="1"/>
    <n v="0"/>
    <n v="3"/>
    <n v="2"/>
    <x v="0"/>
    <x v="2"/>
    <n v="-1"/>
    <n v="1.2999999999999989"/>
  </r>
  <r>
    <x v="92"/>
    <s v="CHI ST LUKES HEALTH MEMORIAL LIVINGSTON"/>
    <s v="1717 HWY 59 BYPASS"/>
    <s v="LIVINGSTON"/>
    <s v="TX"/>
    <s v="77351"/>
    <s v="POLK"/>
    <s v="(936) 327-4381"/>
    <s v="Acute Care Hospitals"/>
    <x v="1"/>
    <s v="Yes"/>
    <x v="1"/>
    <s v="4"/>
    <s v=""/>
    <n v="83"/>
    <n v="81"/>
    <n v="68"/>
    <n v="81"/>
    <n v="71"/>
    <n v="61"/>
    <s v="145"/>
    <n v="14"/>
    <d v="2024-07-01T00:00:00"/>
    <d v="2025-06-30T00:00:00"/>
    <n v="14.5"/>
    <x v="0"/>
    <n v="206"/>
    <n v="12.9"/>
    <n v="16.399999999999999"/>
    <s v=""/>
    <d v="2023-07-01T00:00:00"/>
    <d v="2024-06-30T00:00:00"/>
    <x v="0"/>
    <x v="0"/>
    <x v="0"/>
    <s v="High (4-5)"/>
    <n v="0"/>
    <n v="1"/>
    <n v="0"/>
    <n v="3"/>
    <n v="1"/>
    <x v="2"/>
    <x v="0"/>
    <n v="-10"/>
    <n v="-0.40000000000000036"/>
  </r>
  <r>
    <x v="93"/>
    <s v="BROWNFIELD REGIONAL MEDICAL CENTER"/>
    <s v="705 EAST FELT STREET"/>
    <s v="BROWNFIELD"/>
    <s v="TX"/>
    <s v="79316"/>
    <s v="TERRY"/>
    <s v="(806) 637-8252"/>
    <s v="Acute Care Hospitals"/>
    <x v="2"/>
    <s v="Yes"/>
    <x v="4"/>
    <s v="Not Available"/>
    <s v="16"/>
    <n v="79"/>
    <n v="74"/>
    <n v="57"/>
    <n v="86"/>
    <n v="72"/>
    <n v="68"/>
    <s v="51"/>
    <n v="15"/>
    <d v="2024-07-01T00:00:00"/>
    <d v="2025-06-30T00:00:00"/>
    <n v="15"/>
    <x v="0"/>
    <n v="37"/>
    <n v="13.3"/>
    <n v="17"/>
    <s v=""/>
    <d v="2023-07-01T00:00:00"/>
    <d v="2024-06-30T00:00:00"/>
    <x v="1"/>
    <x v="0"/>
    <x v="0"/>
    <s v="Unavailable"/>
    <s v=""/>
    <n v="1"/>
    <n v="0"/>
    <n v="2"/>
    <n v="1"/>
    <x v="3"/>
    <x v="2"/>
    <n v="-3"/>
    <n v="9.9999999999999645E-2"/>
  </r>
  <r>
    <x v="94"/>
    <s v="PARKVIEW REGIONAL HOSPITAL"/>
    <s v="600 SOUTH BONHAM STREET"/>
    <s v="MEXIA"/>
    <s v="TX"/>
    <s v="76667"/>
    <s v="LIMESTONE"/>
    <s v="(254) 562-5332"/>
    <s v="Acute Care Hospitals"/>
    <x v="0"/>
    <s v="Yes"/>
    <x v="4"/>
    <s v="Not Available"/>
    <s v="16"/>
    <n v="90"/>
    <n v="94"/>
    <n v="74"/>
    <n v="90"/>
    <n v="90"/>
    <n v="88"/>
    <s v="66"/>
    <n v="21"/>
    <d v="2024-07-01T00:00:00"/>
    <d v="2025-06-30T00:00:00"/>
    <n v="14.9"/>
    <x v="0"/>
    <n v="104"/>
    <n v="13.3"/>
    <n v="17"/>
    <s v=""/>
    <d v="2023-07-01T00:00:00"/>
    <d v="2024-06-30T00:00:00"/>
    <x v="1"/>
    <x v="0"/>
    <x v="0"/>
    <s v="Unavailable"/>
    <s v=""/>
    <n v="0"/>
    <n v="0"/>
    <n v="2"/>
    <n v="0"/>
    <x v="3"/>
    <x v="1"/>
    <n v="17"/>
    <n v="0"/>
  </r>
  <r>
    <x v="95"/>
    <s v="MEDICAL CENTER OF MCKINNEY"/>
    <s v="4500 MEDICAL CENTER DRIVE"/>
    <s v="MCKINNEY"/>
    <s v="TX"/>
    <s v="75069"/>
    <s v="COLLIN"/>
    <s v="(972) 547-8000"/>
    <s v="Acute Care Hospitals"/>
    <x v="0"/>
    <s v="Yes"/>
    <x v="2"/>
    <s v="3"/>
    <s v=""/>
    <n v="75"/>
    <n v="75"/>
    <n v="56"/>
    <n v="83"/>
    <n v="67"/>
    <n v="68"/>
    <s v="648"/>
    <n v="13"/>
    <d v="2024-07-01T00:00:00"/>
    <d v="2025-06-30T00:00:00"/>
    <n v="15.7"/>
    <x v="0"/>
    <n v="2201"/>
    <n v="14.6"/>
    <n v="16.8"/>
    <s v=""/>
    <d v="2023-07-01T00:00:00"/>
    <d v="2024-06-30T00:00:00"/>
    <x v="0"/>
    <x v="0"/>
    <x v="0"/>
    <s v="Middle (3)"/>
    <n v="0"/>
    <n v="1"/>
    <n v="0"/>
    <n v="3"/>
    <n v="1"/>
    <x v="2"/>
    <x v="2"/>
    <n v="-3"/>
    <n v="0.79999999999999893"/>
  </r>
  <r>
    <x v="96"/>
    <s v="TEXAS HEALTH HARRIS METHODIST HOSPITAL AZLE"/>
    <s v="108 DENVER TRAIL"/>
    <s v="AZLE"/>
    <s v="TX"/>
    <s v="76020"/>
    <s v="TARRANT"/>
    <s v="(817) 444-8700"/>
    <s v="Acute Care Hospitals"/>
    <x v="1"/>
    <s v="Yes"/>
    <x v="1"/>
    <s v="4"/>
    <s v=""/>
    <n v="79"/>
    <n v="79"/>
    <n v="58"/>
    <n v="86"/>
    <n v="68"/>
    <n v="65"/>
    <s v="210"/>
    <n v="17"/>
    <d v="2024-07-01T00:00:00"/>
    <d v="2025-06-30T00:00:00"/>
    <n v="14.8"/>
    <x v="0"/>
    <n v="221"/>
    <n v="13.1"/>
    <n v="16.8"/>
    <s v=""/>
    <d v="2023-07-01T00:00:00"/>
    <d v="2024-06-30T00:00:00"/>
    <x v="0"/>
    <x v="0"/>
    <x v="0"/>
    <s v="High (4-5)"/>
    <n v="0"/>
    <n v="1"/>
    <n v="0"/>
    <n v="3"/>
    <n v="1"/>
    <x v="2"/>
    <x v="0"/>
    <n v="-6"/>
    <n v="-9.9999999999999645E-2"/>
  </r>
  <r>
    <x v="97"/>
    <s v="BAYLOR SCOTT AND WHITE MEDICAL CENTER UPTOWN"/>
    <s v="2727 EAST LEMMON AVENUE BUILDING I"/>
    <s v="DALLAS"/>
    <s v="TX"/>
    <s v="75204"/>
    <s v="DALLAS"/>
    <s v="(214) 443-3000"/>
    <s v="Acute Care Hospitals"/>
    <x v="0"/>
    <s v="Yes"/>
    <x v="4"/>
    <s v="Not Available"/>
    <s v="16"/>
    <n v="80"/>
    <n v="87"/>
    <n v="59"/>
    <n v="90"/>
    <n v="79"/>
    <n v="80"/>
    <s v="76"/>
    <n v="27"/>
    <d v="2024-07-01T00:00:00"/>
    <d v="2025-06-30T00:00:00"/>
    <n v="14.7"/>
    <x v="0"/>
    <n v="74"/>
    <n v="11.9"/>
    <n v="18.2"/>
    <s v=""/>
    <d v="2023-07-01T00:00:00"/>
    <d v="2024-06-30T00:00:00"/>
    <x v="1"/>
    <x v="0"/>
    <x v="0"/>
    <s v="Unavailable"/>
    <s v=""/>
    <n v="0"/>
    <n v="0"/>
    <n v="2"/>
    <n v="0"/>
    <x v="3"/>
    <x v="1"/>
    <n v="9"/>
    <n v="-0.20000000000000107"/>
  </r>
  <r>
    <x v="98"/>
    <s v="HOUSTON METHODIST BAYTOWN HOSPITAL"/>
    <s v="4401 GARTH ROAD"/>
    <s v="BAYTOWN"/>
    <s v="TX"/>
    <s v="77521"/>
    <s v="HARRIS"/>
    <s v="(281) 420-8600"/>
    <s v="Acute Care Hospitals"/>
    <x v="1"/>
    <s v="Yes"/>
    <x v="3"/>
    <s v="5"/>
    <s v=""/>
    <n v="81"/>
    <n v="78"/>
    <n v="66"/>
    <n v="89"/>
    <n v="79"/>
    <n v="78"/>
    <s v="1498"/>
    <n v="13"/>
    <d v="2024-07-01T00:00:00"/>
    <d v="2025-06-30T00:00:00"/>
    <n v="13.9"/>
    <x v="0"/>
    <n v="1814"/>
    <n v="13"/>
    <n v="15"/>
    <s v=""/>
    <d v="2023-07-01T00:00:00"/>
    <d v="2024-06-30T00:00:00"/>
    <x v="0"/>
    <x v="0"/>
    <x v="0"/>
    <s v="High (4-5)"/>
    <n v="0"/>
    <n v="0"/>
    <n v="0"/>
    <n v="3"/>
    <n v="0"/>
    <x v="1"/>
    <x v="3"/>
    <n v="7"/>
    <n v="-1"/>
  </r>
  <r>
    <x v="99"/>
    <s v="ST DAVID'S MEDICAL CENTER"/>
    <s v="919 E 32ND ST"/>
    <s v="AUSTIN"/>
    <s v="TX"/>
    <s v="78705"/>
    <s v="TRAVIS"/>
    <s v="(512) 476-7111"/>
    <s v="Acute Care Hospitals"/>
    <x v="0"/>
    <s v="Yes"/>
    <x v="1"/>
    <s v="4"/>
    <s v=""/>
    <n v="78"/>
    <n v="78"/>
    <n v="61"/>
    <n v="84"/>
    <n v="73"/>
    <n v="75"/>
    <s v="1688"/>
    <n v="21"/>
    <d v="2024-07-01T00:00:00"/>
    <d v="2025-06-30T00:00:00"/>
    <n v="15"/>
    <x v="0"/>
    <n v="4955"/>
    <n v="14.4"/>
    <n v="16.2"/>
    <s v=""/>
    <d v="2023-07-01T00:00:00"/>
    <d v="2024-06-30T00:00:00"/>
    <x v="0"/>
    <x v="0"/>
    <x v="0"/>
    <s v="High (4-5)"/>
    <n v="0"/>
    <n v="0"/>
    <n v="0"/>
    <n v="3"/>
    <n v="0"/>
    <x v="1"/>
    <x v="3"/>
    <n v="4"/>
    <n v="9.9999999999999645E-2"/>
  </r>
  <r>
    <x v="100"/>
    <s v="NAVARRO REGIONAL HOSPITAL"/>
    <s v="3201 WEST HIGHWAY 22"/>
    <s v="CORSICANA"/>
    <s v="TX"/>
    <s v="75110"/>
    <s v="NAVARRO"/>
    <s v="(903) 654-6800"/>
    <s v="Acute Care Hospitals"/>
    <x v="2"/>
    <s v="Yes"/>
    <x v="0"/>
    <s v="2"/>
    <s v=""/>
    <n v="79"/>
    <n v="80"/>
    <n v="63"/>
    <n v="84"/>
    <n v="63"/>
    <n v="56"/>
    <s v="206"/>
    <n v="11"/>
    <d v="2024-07-01T00:00:00"/>
    <d v="2025-06-30T00:00:00"/>
    <n v="16.600000000000001"/>
    <x v="0"/>
    <n v="443"/>
    <n v="15"/>
    <n v="18.399999999999999"/>
    <s v=""/>
    <d v="2023-07-01T00:00:00"/>
    <d v="2024-06-30T00:00:00"/>
    <x v="0"/>
    <x v="0"/>
    <x v="0"/>
    <s v="Low (1-2)"/>
    <n v="1"/>
    <n v="1"/>
    <n v="0"/>
    <n v="3"/>
    <n v="2"/>
    <x v="0"/>
    <x v="0"/>
    <n v="-15"/>
    <n v="1.7000000000000011"/>
  </r>
  <r>
    <x v="101"/>
    <s v="GLEN ROSE MEDICAL CENTER"/>
    <s v="1021 HOLDEN STREET"/>
    <s v="GLEN ROSE"/>
    <s v="TX"/>
    <s v="76043"/>
    <s v="SOMERVELL"/>
    <s v="(254) 897-2215"/>
    <s v="Acute Care Hospitals"/>
    <x v="2"/>
    <s v="Yes"/>
    <x v="4"/>
    <s v="Not Available"/>
    <s v="16"/>
    <n v="84"/>
    <n v="94"/>
    <n v="67"/>
    <n v="91"/>
    <n v="89"/>
    <n v="91"/>
    <s v="45"/>
    <n v="25"/>
    <d v="2024-07-01T00:00:00"/>
    <d v="2025-06-30T00:00:00"/>
    <n v="14.7"/>
    <x v="0"/>
    <n v="85"/>
    <n v="12.9"/>
    <n v="16.8"/>
    <s v=""/>
    <d v="2023-07-01T00:00:00"/>
    <d v="2024-06-30T00:00:00"/>
    <x v="1"/>
    <x v="0"/>
    <x v="0"/>
    <s v="Unavailable"/>
    <s v=""/>
    <n v="0"/>
    <n v="0"/>
    <n v="2"/>
    <n v="0"/>
    <x v="3"/>
    <x v="1"/>
    <n v="20"/>
    <n v="-0.20000000000000107"/>
  </r>
  <r>
    <x v="102"/>
    <s v="TYLER COUNTY HOSPITAL"/>
    <s v="1100 WEST BLUFF"/>
    <s v="WOODVILLE"/>
    <s v="TX"/>
    <s v="75979"/>
    <s v="TYLER"/>
    <s v="(409) 283-8141"/>
    <s v="Acute Care Hospitals"/>
    <x v="2"/>
    <s v="Yes"/>
    <x v="4"/>
    <s v="Not Available"/>
    <s v="16"/>
    <n v="92"/>
    <n v="83"/>
    <n v="79"/>
    <n v="90"/>
    <n v="91"/>
    <n v="83"/>
    <s v="32"/>
    <n v="19"/>
    <d v="2024-07-01T00:00:00"/>
    <d v="2025-06-30T00:00:00"/>
    <n v="14.9"/>
    <x v="0"/>
    <n v="31"/>
    <n v="12.9"/>
    <n v="17.2"/>
    <s v=""/>
    <d v="2023-07-01T00:00:00"/>
    <d v="2024-06-30T00:00:00"/>
    <x v="1"/>
    <x v="0"/>
    <x v="0"/>
    <s v="Unavailable"/>
    <s v=""/>
    <n v="0"/>
    <n v="0"/>
    <n v="2"/>
    <n v="0"/>
    <x v="3"/>
    <x v="1"/>
    <n v="12"/>
    <n v="0"/>
  </r>
  <r>
    <x v="103"/>
    <s v="TEXAS HEALTH PRESBYTERIAN HOSPITAL DALLAS"/>
    <s v="8200 WALNUT HILL LANE"/>
    <s v="DALLAS"/>
    <s v="TX"/>
    <s v="75231"/>
    <s v="DALLAS"/>
    <s v="(214) 345-6789"/>
    <s v="Acute Care Hospitals"/>
    <x v="1"/>
    <s v="Yes"/>
    <x v="1"/>
    <s v="4"/>
    <s v=""/>
    <n v="72"/>
    <n v="76"/>
    <n v="55"/>
    <n v="84"/>
    <n v="69"/>
    <n v="71"/>
    <s v="1746"/>
    <n v="15"/>
    <d v="2024-07-01T00:00:00"/>
    <d v="2025-06-30T00:00:00"/>
    <n v="13.8"/>
    <x v="1"/>
    <n v="4414"/>
    <n v="12.9"/>
    <n v="14.6"/>
    <s v=""/>
    <d v="2023-07-01T00:00:00"/>
    <d v="2024-06-30T00:00:00"/>
    <x v="0"/>
    <x v="0"/>
    <x v="0"/>
    <s v="High (4-5)"/>
    <n v="0"/>
    <n v="0"/>
    <n v="0"/>
    <n v="3"/>
    <n v="0"/>
    <x v="1"/>
    <x v="2"/>
    <n v="0"/>
    <n v="-1.0999999999999996"/>
  </r>
  <r>
    <x v="104"/>
    <s v="MATAGORDA REGIONAL MEDICAL CENTER"/>
    <s v="104 7TH STREET"/>
    <s v="BAY CITY"/>
    <s v="TX"/>
    <s v="77414"/>
    <s v="MATAGORDA"/>
    <s v="(979) 245-6383"/>
    <s v="Acute Care Hospitals"/>
    <x v="2"/>
    <s v="Yes"/>
    <x v="3"/>
    <s v="5"/>
    <s v=""/>
    <n v="82"/>
    <n v="81"/>
    <n v="61"/>
    <n v="82"/>
    <n v="74"/>
    <n v="63"/>
    <s v="140"/>
    <n v="11"/>
    <d v="2024-07-01T00:00:00"/>
    <d v="2025-06-30T00:00:00"/>
    <n v="14.2"/>
    <x v="0"/>
    <n v="222"/>
    <n v="12.5"/>
    <n v="16.100000000000001"/>
    <s v=""/>
    <d v="2023-07-01T00:00:00"/>
    <d v="2024-06-30T00:00:00"/>
    <x v="0"/>
    <x v="0"/>
    <x v="0"/>
    <s v="High (4-5)"/>
    <n v="0"/>
    <n v="1"/>
    <n v="0"/>
    <n v="3"/>
    <n v="1"/>
    <x v="2"/>
    <x v="0"/>
    <n v="-8"/>
    <n v="-0.70000000000000107"/>
  </r>
  <r>
    <x v="105"/>
    <s v="WILSON N JONES REGIONAL MEDICAL CENTER"/>
    <s v="500 N HIGHLAND AVENUE"/>
    <s v="SHERMAN"/>
    <s v="TX"/>
    <s v="75092"/>
    <s v="GRAYSON"/>
    <s v="(903) 870-4611"/>
    <s v="Acute Care Hospitals"/>
    <x v="0"/>
    <s v="Yes"/>
    <x v="0"/>
    <s v="2"/>
    <s v=""/>
    <n v="76"/>
    <n v="75"/>
    <n v="68"/>
    <n v="83"/>
    <n v="56"/>
    <n v="61"/>
    <s v="164"/>
    <n v="14"/>
    <d v="2024-07-01T00:00:00"/>
    <d v="2025-06-30T00:00:00"/>
    <n v="14.6"/>
    <x v="0"/>
    <n v="245"/>
    <n v="12.9"/>
    <n v="16.5"/>
    <s v=""/>
    <d v="2023-07-01T00:00:00"/>
    <d v="2024-06-30T00:00:00"/>
    <x v="0"/>
    <x v="0"/>
    <x v="0"/>
    <s v="Low (1-2)"/>
    <n v="1"/>
    <n v="1"/>
    <n v="0"/>
    <n v="3"/>
    <n v="2"/>
    <x v="0"/>
    <x v="0"/>
    <n v="-10"/>
    <n v="-0.30000000000000071"/>
  </r>
  <r>
    <x v="106"/>
    <s v="UT HEALTH EAST TEXAS HENDERSON HOSPITAL"/>
    <s v="300 WILSON STREET"/>
    <s v="HENDERSON"/>
    <s v="TX"/>
    <s v="75652"/>
    <s v="RUSK"/>
    <s v="(903) 657-7541"/>
    <s v="Acute Care Hospitals"/>
    <x v="0"/>
    <s v="Yes"/>
    <x v="3"/>
    <s v="5"/>
    <s v=""/>
    <n v="82"/>
    <n v="83"/>
    <n v="63"/>
    <n v="87"/>
    <n v="71"/>
    <n v="68"/>
    <s v="129"/>
    <n v="14"/>
    <d v="2024-07-01T00:00:00"/>
    <d v="2025-06-30T00:00:00"/>
    <n v="14.3"/>
    <x v="0"/>
    <n v="145"/>
    <n v="12.6"/>
    <n v="16.3"/>
    <s v=""/>
    <d v="2023-07-01T00:00:00"/>
    <d v="2024-06-30T00:00:00"/>
    <x v="0"/>
    <x v="0"/>
    <x v="0"/>
    <s v="High (4-5)"/>
    <n v="0"/>
    <n v="1"/>
    <n v="0"/>
    <n v="3"/>
    <n v="1"/>
    <x v="2"/>
    <x v="2"/>
    <n v="-3"/>
    <n v="-0.59999999999999964"/>
  </r>
  <r>
    <x v="107"/>
    <s v="WOODLAND HEIGHTS MEDICAL CENTER"/>
    <s v="505 SOUTH JOHN REDDITT DRIVE"/>
    <s v="LUFKIN"/>
    <s v="TX"/>
    <s v="75904"/>
    <s v="ANGELINA"/>
    <s v="(936) 634-8311"/>
    <s v="Acute Care Hospitals"/>
    <x v="0"/>
    <s v="Yes"/>
    <x v="2"/>
    <s v="3"/>
    <s v=""/>
    <n v="74"/>
    <n v="72"/>
    <n v="60"/>
    <n v="82"/>
    <n v="65"/>
    <n v="68"/>
    <s v="447"/>
    <n v="13"/>
    <d v="2024-07-01T00:00:00"/>
    <d v="2025-06-30T00:00:00"/>
    <n v="16.399999999999999"/>
    <x v="2"/>
    <n v="1267"/>
    <n v="15.2"/>
    <n v="17.8"/>
    <s v=""/>
    <d v="2023-07-01T00:00:00"/>
    <d v="2024-06-30T00:00:00"/>
    <x v="0"/>
    <x v="0"/>
    <x v="0"/>
    <s v="Middle (3)"/>
    <n v="0"/>
    <n v="1"/>
    <n v="1"/>
    <n v="3"/>
    <n v="2"/>
    <x v="0"/>
    <x v="2"/>
    <n v="-3"/>
    <n v="1.4999999999999982"/>
  </r>
  <r>
    <x v="108"/>
    <s v="MEDICAL ARTS HOSPITAL"/>
    <s v="2200 N BRYAN AVE"/>
    <s v="LAMESA"/>
    <s v="TX"/>
    <s v="79331"/>
    <s v="DAWSON"/>
    <s v="(806) 872-2183"/>
    <s v="Acute Care Hospitals"/>
    <x v="2"/>
    <s v="Yes"/>
    <x v="4"/>
    <s v="Not Available"/>
    <s v="16"/>
    <m/>
    <m/>
    <m/>
    <m/>
    <m/>
    <m/>
    <s v="Not Available"/>
    <m/>
    <d v="2024-07-01T00:00:00"/>
    <d v="2025-06-30T00:00:00"/>
    <n v="14.6"/>
    <x v="0"/>
    <n v="45"/>
    <n v="12.6"/>
    <n v="17.100000000000001"/>
    <s v=""/>
    <d v="2023-07-01T00:00:00"/>
    <d v="2024-06-30T00:00:00"/>
    <x v="1"/>
    <x v="1"/>
    <x v="0"/>
    <s v="Unavailable"/>
    <s v=""/>
    <s v=""/>
    <n v="0"/>
    <n v="1"/>
    <n v="0"/>
    <x v="3"/>
    <x v="4"/>
    <s v=""/>
    <n v="-0.30000000000000071"/>
  </r>
  <r>
    <x v="109"/>
    <s v="NACOGDOCHES MEMORIAL HOSPITAL"/>
    <s v="1204 MOUND ST"/>
    <s v="NACOGDOCHES"/>
    <s v="TX"/>
    <s v="75961"/>
    <s v="NACOGDOCHES"/>
    <s v="(936) 564-4611"/>
    <s v="Acute Care Hospitals"/>
    <x v="0"/>
    <s v="Yes"/>
    <x v="0"/>
    <s v="2"/>
    <s v=""/>
    <n v="75"/>
    <n v="72"/>
    <n v="57"/>
    <n v="81"/>
    <n v="69"/>
    <n v="74"/>
    <s v="141"/>
    <n v="11"/>
    <d v="2024-07-01T00:00:00"/>
    <d v="2025-06-30T00:00:00"/>
    <n v="15.4"/>
    <x v="0"/>
    <n v="369"/>
    <n v="14"/>
    <n v="17.3"/>
    <s v=""/>
    <d v="2023-07-01T00:00:00"/>
    <d v="2024-06-30T00:00:00"/>
    <x v="0"/>
    <x v="0"/>
    <x v="0"/>
    <s v="Low (1-2)"/>
    <n v="1"/>
    <n v="0"/>
    <n v="0"/>
    <n v="3"/>
    <n v="1"/>
    <x v="2"/>
    <x v="3"/>
    <n v="3"/>
    <n v="0.5"/>
  </r>
  <r>
    <x v="110"/>
    <s v="THE MEDICAL CENTER OF SOUTHEAST TEXAS"/>
    <s v="2555 JIMMY JOHNSON BLVD"/>
    <s v="PORT ARTHUR"/>
    <s v="TX"/>
    <s v="77640"/>
    <s v="JEFFERSON"/>
    <s v="(409) 853-5900"/>
    <s v="Acute Care Hospitals"/>
    <x v="5"/>
    <s v="Yes"/>
    <x v="2"/>
    <s v="3"/>
    <s v=""/>
    <n v="80"/>
    <n v="77"/>
    <n v="64"/>
    <n v="82"/>
    <n v="64"/>
    <n v="55"/>
    <s v="308"/>
    <n v="11"/>
    <d v="2024-07-01T00:00:00"/>
    <d v="2025-06-30T00:00:00"/>
    <n v="15.2"/>
    <x v="0"/>
    <n v="467"/>
    <n v="13.7"/>
    <n v="16.8"/>
    <s v=""/>
    <d v="2023-07-01T00:00:00"/>
    <d v="2024-06-30T00:00:00"/>
    <x v="0"/>
    <x v="0"/>
    <x v="0"/>
    <s v="Middle (3)"/>
    <n v="0"/>
    <n v="1"/>
    <n v="0"/>
    <n v="3"/>
    <n v="1"/>
    <x v="2"/>
    <x v="0"/>
    <n v="-16"/>
    <n v="0.29999999999999893"/>
  </r>
  <r>
    <x v="111"/>
    <s v="METHODIST RICHARDSON MEDICAL CENTER"/>
    <s v="2831 E PRESIDENT GEORGE BUSH HIGHWAY"/>
    <s v="RICHARDSON"/>
    <s v="TX"/>
    <s v="75082"/>
    <s v="COLLIN"/>
    <s v="(469) 204-1000"/>
    <s v="Acute Care Hospitals"/>
    <x v="2"/>
    <s v="Yes"/>
    <x v="1"/>
    <s v="4"/>
    <s v=""/>
    <n v="78"/>
    <n v="79"/>
    <n v="60"/>
    <n v="87"/>
    <n v="80"/>
    <n v="79"/>
    <s v="1307"/>
    <n v="19"/>
    <d v="2024-07-01T00:00:00"/>
    <d v="2025-06-30T00:00:00"/>
    <n v="15.3"/>
    <x v="0"/>
    <n v="2094"/>
    <n v="14.3"/>
    <n v="16.5"/>
    <s v=""/>
    <d v="2023-07-01T00:00:00"/>
    <d v="2024-06-30T00:00:00"/>
    <x v="0"/>
    <x v="0"/>
    <x v="0"/>
    <s v="High (4-5)"/>
    <n v="0"/>
    <n v="0"/>
    <n v="0"/>
    <n v="3"/>
    <n v="0"/>
    <x v="1"/>
    <x v="3"/>
    <n v="8"/>
    <n v="0.40000000000000036"/>
  </r>
  <r>
    <x v="112"/>
    <s v="COVENANT HOSPITAL PLAINVIEW"/>
    <s v="2601 DIMMITT RD"/>
    <s v="PLAINVIEW"/>
    <s v="TX"/>
    <s v="79072"/>
    <s v="HALE"/>
    <s v="(806) 296-5531"/>
    <s v="Acute Care Hospitals"/>
    <x v="1"/>
    <s v="Yes"/>
    <x v="1"/>
    <s v="4"/>
    <s v=""/>
    <n v="78"/>
    <n v="82"/>
    <n v="63"/>
    <n v="83"/>
    <n v="72"/>
    <n v="71"/>
    <s v="131"/>
    <n v="15"/>
    <d v="2024-07-01T00:00:00"/>
    <d v="2025-06-30T00:00:00"/>
    <n v="14.4"/>
    <x v="0"/>
    <n v="144"/>
    <n v="12.8"/>
    <n v="16.2"/>
    <s v=""/>
    <d v="2023-07-01T00:00:00"/>
    <d v="2024-06-30T00:00:00"/>
    <x v="0"/>
    <x v="0"/>
    <x v="0"/>
    <s v="High (4-5)"/>
    <n v="0"/>
    <n v="0"/>
    <n v="0"/>
    <n v="3"/>
    <n v="0"/>
    <x v="1"/>
    <x v="2"/>
    <n v="0"/>
    <n v="-0.5"/>
  </r>
  <r>
    <x v="113"/>
    <s v="BAYLOR SCOTT &amp; WHITE MEDICAL CENTER  GRAPEVINE"/>
    <s v="1650 W COLLEGE ST"/>
    <s v="GRAPEVINE"/>
    <s v="TX"/>
    <s v="76051"/>
    <s v="TARRANT"/>
    <s v="(817) 481-1588"/>
    <s v="Acute Care Hospitals"/>
    <x v="1"/>
    <s v="Yes"/>
    <x v="1"/>
    <s v="4"/>
    <s v=""/>
    <n v="80"/>
    <n v="78"/>
    <n v="61"/>
    <n v="87"/>
    <n v="79"/>
    <n v="79"/>
    <s v="1329"/>
    <n v="16"/>
    <d v="2024-07-01T00:00:00"/>
    <d v="2025-06-30T00:00:00"/>
    <n v="15"/>
    <x v="0"/>
    <n v="3424"/>
    <n v="14.1"/>
    <n v="15.9"/>
    <s v=""/>
    <d v="2023-07-01T00:00:00"/>
    <d v="2024-06-30T00:00:00"/>
    <x v="0"/>
    <x v="0"/>
    <x v="0"/>
    <s v="High (4-5)"/>
    <n v="0"/>
    <n v="0"/>
    <n v="0"/>
    <n v="3"/>
    <n v="0"/>
    <x v="1"/>
    <x v="3"/>
    <n v="8"/>
    <n v="9.9999999999999645E-2"/>
  </r>
  <r>
    <x v="114"/>
    <s v="PALO PINTO GENERAL HOSPITAL"/>
    <s v="400 SOUTHWEST 25 AVE"/>
    <s v="MINERAL WELLS"/>
    <s v="TX"/>
    <s v="76067"/>
    <s v="PALO PINTO"/>
    <s v="(940) 325-7891"/>
    <s v="Acute Care Hospitals"/>
    <x v="2"/>
    <s v="Yes"/>
    <x v="2"/>
    <s v="3"/>
    <s v=""/>
    <n v="80"/>
    <n v="75"/>
    <n v="61"/>
    <n v="89"/>
    <n v="69"/>
    <n v="64"/>
    <s v="123"/>
    <n v="12"/>
    <d v="2024-07-01T00:00:00"/>
    <d v="2025-06-30T00:00:00"/>
    <n v="15.1"/>
    <x v="0"/>
    <n v="215"/>
    <n v="13.3"/>
    <n v="16.899999999999999"/>
    <s v=""/>
    <d v="2023-07-01T00:00:00"/>
    <d v="2024-06-30T00:00:00"/>
    <x v="0"/>
    <x v="0"/>
    <x v="0"/>
    <s v="Middle (3)"/>
    <n v="0"/>
    <n v="1"/>
    <n v="0"/>
    <n v="3"/>
    <n v="1"/>
    <x v="2"/>
    <x v="0"/>
    <n v="-7"/>
    <n v="0.19999999999999929"/>
  </r>
  <r>
    <x v="115"/>
    <s v="SHANNON MEDICAL CENTER"/>
    <s v="120 E HARRIS AVE."/>
    <s v="SAN ANGELO"/>
    <s v="TX"/>
    <s v="76903"/>
    <s v="TOM GREEN"/>
    <s v="(325) 653-6741"/>
    <s v="Acute Care Hospitals"/>
    <x v="1"/>
    <s v="Yes"/>
    <x v="2"/>
    <s v="3"/>
    <s v=""/>
    <n v="75"/>
    <n v="78"/>
    <n v="55"/>
    <n v="84"/>
    <n v="65"/>
    <n v="65"/>
    <s v="425"/>
    <n v="18"/>
    <d v="2024-07-01T00:00:00"/>
    <d v="2025-06-30T00:00:00"/>
    <n v="14.5"/>
    <x v="0"/>
    <n v="3118"/>
    <n v="13.6"/>
    <n v="15.6"/>
    <s v=""/>
    <d v="2023-07-01T00:00:00"/>
    <d v="2024-06-30T00:00:00"/>
    <x v="0"/>
    <x v="0"/>
    <x v="0"/>
    <s v="Middle (3)"/>
    <n v="0"/>
    <n v="1"/>
    <n v="0"/>
    <n v="3"/>
    <n v="1"/>
    <x v="2"/>
    <x v="0"/>
    <n v="-6"/>
    <n v="-0.40000000000000036"/>
  </r>
  <r>
    <x v="116"/>
    <s v="CHRISTUS JASPER MEMORIAL HOSPITAL"/>
    <s v="1275 MARVIN HANCOCK DRIVE"/>
    <s v="JASPER"/>
    <s v="TX"/>
    <s v="75951"/>
    <s v="JASPER"/>
    <s v="(409) 384-5461"/>
    <s v="Acute Care Hospitals"/>
    <x v="1"/>
    <s v="Yes"/>
    <x v="1"/>
    <s v="4"/>
    <s v=""/>
    <n v="87"/>
    <n v="82"/>
    <n v="64"/>
    <n v="86"/>
    <n v="76"/>
    <n v="77"/>
    <s v="69"/>
    <n v="20"/>
    <d v="2024-07-01T00:00:00"/>
    <d v="2025-06-30T00:00:00"/>
    <n v="15"/>
    <x v="0"/>
    <n v="133"/>
    <n v="13.1"/>
    <n v="17.3"/>
    <s v=""/>
    <d v="2023-07-01T00:00:00"/>
    <d v="2024-06-30T00:00:00"/>
    <x v="0"/>
    <x v="0"/>
    <x v="0"/>
    <s v="High (4-5)"/>
    <n v="0"/>
    <n v="0"/>
    <n v="0"/>
    <n v="3"/>
    <n v="0"/>
    <x v="1"/>
    <x v="3"/>
    <n v="6"/>
    <n v="9.9999999999999645E-2"/>
  </r>
  <r>
    <x v="117"/>
    <s v="WILBARGER GENERAL HOSPITAL"/>
    <s v="920 HILLCREST DR"/>
    <s v="VERNON"/>
    <s v="TX"/>
    <s v="76384"/>
    <s v="WILBARGER"/>
    <s v="(940) 552-9351"/>
    <s v="Acute Care Hospitals"/>
    <x v="2"/>
    <s v="Yes"/>
    <x v="4"/>
    <s v="Not Available"/>
    <s v="16"/>
    <n v="82"/>
    <n v="88"/>
    <n v="64"/>
    <n v="97"/>
    <n v="70"/>
    <n v="67"/>
    <s v="94"/>
    <n v="24"/>
    <d v="2024-07-01T00:00:00"/>
    <d v="2025-06-30T00:00:00"/>
    <n v="14.8"/>
    <x v="0"/>
    <n v="172"/>
    <n v="13"/>
    <n v="16.8"/>
    <s v=""/>
    <d v="2023-07-01T00:00:00"/>
    <d v="2024-06-30T00:00:00"/>
    <x v="1"/>
    <x v="0"/>
    <x v="0"/>
    <s v="Unavailable"/>
    <s v=""/>
    <n v="1"/>
    <n v="0"/>
    <n v="2"/>
    <n v="1"/>
    <x v="3"/>
    <x v="2"/>
    <n v="-4"/>
    <n v="-9.9999999999999645E-2"/>
  </r>
  <r>
    <x v="118"/>
    <s v="HENDRICK MEDICAL CENTER BROWNWOOD"/>
    <s v="1501 BURNET DR"/>
    <s v="BROWNWOOD"/>
    <s v="TX"/>
    <s v="76801"/>
    <s v="BROWN"/>
    <s v="(325) 646-8541"/>
    <s v="Acute Care Hospitals"/>
    <x v="0"/>
    <s v="Yes"/>
    <x v="5"/>
    <s v="1"/>
    <s v=""/>
    <n v="75"/>
    <n v="73"/>
    <n v="48"/>
    <n v="87"/>
    <n v="60"/>
    <n v="55"/>
    <s v="405"/>
    <n v="17"/>
    <d v="2024-07-01T00:00:00"/>
    <d v="2025-06-30T00:00:00"/>
    <n v="15.4"/>
    <x v="0"/>
    <n v="907"/>
    <n v="14.1"/>
    <n v="17"/>
    <s v=""/>
    <d v="2023-07-01T00:00:00"/>
    <d v="2024-06-30T00:00:00"/>
    <x v="0"/>
    <x v="0"/>
    <x v="0"/>
    <s v="Low (1-2)"/>
    <n v="1"/>
    <n v="1"/>
    <n v="0"/>
    <n v="3"/>
    <n v="2"/>
    <x v="0"/>
    <x v="0"/>
    <n v="-16"/>
    <n v="0.5"/>
  </r>
  <r>
    <x v="119"/>
    <s v="LAKE GRANBURY MEDICAL CENTER"/>
    <s v="1310 PALUXY RD"/>
    <s v="GRANBURY"/>
    <s v="TX"/>
    <s v="76048"/>
    <s v="HOOD"/>
    <s v="(817) 573-2683"/>
    <s v="Acute Care Hospitals"/>
    <x v="0"/>
    <s v="Yes"/>
    <x v="2"/>
    <s v="3"/>
    <s v=""/>
    <n v="73"/>
    <n v="72"/>
    <n v="58"/>
    <n v="81"/>
    <n v="55"/>
    <n v="51"/>
    <s v="423"/>
    <n v="18"/>
    <d v="2024-07-01T00:00:00"/>
    <d v="2025-06-30T00:00:00"/>
    <n v="14.8"/>
    <x v="0"/>
    <n v="578"/>
    <n v="13.4"/>
    <n v="16.3"/>
    <s v=""/>
    <d v="2023-07-01T00:00:00"/>
    <d v="2024-06-30T00:00:00"/>
    <x v="0"/>
    <x v="0"/>
    <x v="0"/>
    <s v="Middle (3)"/>
    <n v="0"/>
    <n v="1"/>
    <n v="0"/>
    <n v="3"/>
    <n v="1"/>
    <x v="2"/>
    <x v="0"/>
    <n v="-20"/>
    <n v="-9.9999999999999645E-2"/>
  </r>
  <r>
    <x v="120"/>
    <s v="CUERO REGIONAL HOSPITAL"/>
    <s v="2550 N ESPLANADE"/>
    <s v="CUERO"/>
    <s v="TX"/>
    <s v="77954"/>
    <s v="DE WITT"/>
    <s v="(361) 275-6191"/>
    <s v="Acute Care Hospitals"/>
    <x v="2"/>
    <s v="Yes"/>
    <x v="1"/>
    <s v="4"/>
    <s v=""/>
    <n v="83"/>
    <n v="84"/>
    <n v="68"/>
    <n v="90"/>
    <n v="80"/>
    <n v="68"/>
    <s v="29"/>
    <n v="8"/>
    <d v="2024-07-01T00:00:00"/>
    <d v="2025-06-30T00:00:00"/>
    <n v="14.6"/>
    <x v="0"/>
    <n v="106"/>
    <n v="12.7"/>
    <n v="16.8"/>
    <s v=""/>
    <d v="2023-07-01T00:00:00"/>
    <d v="2024-06-30T00:00:00"/>
    <x v="0"/>
    <x v="0"/>
    <x v="0"/>
    <s v="High (4-5)"/>
    <n v="0"/>
    <n v="1"/>
    <n v="0"/>
    <n v="3"/>
    <n v="1"/>
    <x v="2"/>
    <x v="2"/>
    <n v="-3"/>
    <n v="-0.30000000000000071"/>
  </r>
  <r>
    <x v="121"/>
    <s v="HILL COUNTRY MEMORIAL HOSPITAL"/>
    <s v="1020 SOUTH STATE HIGHWAY 16"/>
    <s v="FREDERICKSBURG"/>
    <s v="TX"/>
    <s v="78624"/>
    <s v="GILLESPIE"/>
    <s v="(830) 997-4353"/>
    <s v="Acute Care Hospitals"/>
    <x v="0"/>
    <s v="Yes"/>
    <x v="1"/>
    <s v="4"/>
    <s v=""/>
    <n v="82"/>
    <n v="81"/>
    <n v="62"/>
    <n v="89"/>
    <n v="74"/>
    <n v="73"/>
    <s v="405"/>
    <n v="27"/>
    <d v="2024-07-01T00:00:00"/>
    <d v="2025-06-30T00:00:00"/>
    <n v="14.4"/>
    <x v="0"/>
    <n v="673"/>
    <n v="12.9"/>
    <n v="15.9"/>
    <s v=""/>
    <d v="2023-07-01T00:00:00"/>
    <d v="2024-06-30T00:00:00"/>
    <x v="0"/>
    <x v="0"/>
    <x v="0"/>
    <s v="High (4-5)"/>
    <n v="0"/>
    <n v="0"/>
    <n v="0"/>
    <n v="3"/>
    <n v="0"/>
    <x v="1"/>
    <x v="3"/>
    <n v="2"/>
    <n v="-0.5"/>
  </r>
  <r>
    <x v="122"/>
    <s v="MEMORIAL HERMANN MEMORIAL CITY HOSPITAL"/>
    <s v="921 GESSNER"/>
    <s v="HOUSTON"/>
    <s v="TX"/>
    <s v="77024"/>
    <s v="HARRIS"/>
    <s v="(713) 242-3000"/>
    <s v="Acute Care Hospitals"/>
    <x v="1"/>
    <s v="Yes"/>
    <x v="1"/>
    <s v="4"/>
    <s v=""/>
    <n v="72"/>
    <n v="78"/>
    <n v="54"/>
    <n v="86"/>
    <n v="68"/>
    <n v="69"/>
    <s v="737"/>
    <n v="15"/>
    <d v="2024-07-01T00:00:00"/>
    <d v="2025-06-30T00:00:00"/>
    <n v="14.5"/>
    <x v="0"/>
    <n v="2495"/>
    <n v="13.6"/>
    <n v="15.6"/>
    <s v=""/>
    <d v="2023-07-01T00:00:00"/>
    <d v="2024-06-30T00:00:00"/>
    <x v="0"/>
    <x v="0"/>
    <x v="0"/>
    <s v="High (4-5)"/>
    <n v="0"/>
    <n v="1"/>
    <n v="0"/>
    <n v="3"/>
    <n v="1"/>
    <x v="2"/>
    <x v="2"/>
    <n v="-2"/>
    <n v="-0.40000000000000036"/>
  </r>
  <r>
    <x v="123"/>
    <s v="HCA HOUSTON HEALTHCARE CLEAR LAKE"/>
    <s v="500 W MEDICAL CENTER BLVD"/>
    <s v="WEBSTER"/>
    <s v="TX"/>
    <s v="77598"/>
    <s v="HARRIS"/>
    <s v="(281) 332-2511"/>
    <s v="Acute Care Hospitals"/>
    <x v="0"/>
    <s v="Yes"/>
    <x v="1"/>
    <s v="4"/>
    <s v=""/>
    <n v="72"/>
    <n v="71"/>
    <n v="52"/>
    <n v="80"/>
    <n v="64"/>
    <n v="61"/>
    <s v="1020"/>
    <n v="12"/>
    <d v="2024-07-01T00:00:00"/>
    <d v="2025-06-30T00:00:00"/>
    <n v="16.2"/>
    <x v="2"/>
    <n v="3267"/>
    <n v="15.3"/>
    <n v="17.2"/>
    <s v=""/>
    <d v="2023-07-01T00:00:00"/>
    <d v="2024-06-30T00:00:00"/>
    <x v="0"/>
    <x v="0"/>
    <x v="0"/>
    <s v="High (4-5)"/>
    <n v="0"/>
    <n v="1"/>
    <n v="1"/>
    <n v="3"/>
    <n v="2"/>
    <x v="0"/>
    <x v="0"/>
    <n v="-10"/>
    <n v="1.2999999999999989"/>
  </r>
  <r>
    <x v="124"/>
    <s v="MEDICAL CITY DENTON"/>
    <s v="3535 SOUTH I35 EAST"/>
    <s v="DENTON"/>
    <s v="TX"/>
    <s v="76210"/>
    <s v="DENTON"/>
    <s v="(940) 384-3535"/>
    <s v="Acute Care Hospitals"/>
    <x v="0"/>
    <s v="Yes"/>
    <x v="1"/>
    <s v="4"/>
    <s v=""/>
    <n v="76"/>
    <n v="72"/>
    <n v="58"/>
    <n v="83"/>
    <n v="65"/>
    <n v="67"/>
    <s v="1105"/>
    <n v="18"/>
    <d v="2024-07-01T00:00:00"/>
    <d v="2025-06-30T00:00:00"/>
    <n v="15.5"/>
    <x v="0"/>
    <n v="2323"/>
    <n v="14.4"/>
    <n v="16.5"/>
    <s v=""/>
    <d v="2023-07-01T00:00:00"/>
    <d v="2024-06-30T00:00:00"/>
    <x v="0"/>
    <x v="0"/>
    <x v="0"/>
    <s v="High (4-5)"/>
    <n v="0"/>
    <n v="1"/>
    <n v="0"/>
    <n v="3"/>
    <n v="1"/>
    <x v="2"/>
    <x v="2"/>
    <n v="-4"/>
    <n v="0.59999999999999964"/>
  </r>
  <r>
    <x v="125"/>
    <s v="HCA HOUSTON HEALTHCARE NORTHWEST"/>
    <s v="710 CYPRESS CREEK PARKWAY"/>
    <s v="HOUSTON"/>
    <s v="TX"/>
    <s v="77090"/>
    <s v="HARRIS"/>
    <s v="(281) 440-1000"/>
    <s v="Acute Care Hospitals"/>
    <x v="0"/>
    <s v="Yes"/>
    <x v="0"/>
    <s v="2"/>
    <s v=""/>
    <n v="72"/>
    <n v="70"/>
    <n v="54"/>
    <n v="79"/>
    <n v="60"/>
    <n v="58"/>
    <s v="710"/>
    <n v="8"/>
    <d v="2024-07-01T00:00:00"/>
    <d v="2025-06-30T00:00:00"/>
    <n v="15.6"/>
    <x v="0"/>
    <n v="757"/>
    <n v="14.2"/>
    <n v="17.100000000000001"/>
    <s v=""/>
    <d v="2023-07-01T00:00:00"/>
    <d v="2024-06-30T00:00:00"/>
    <x v="0"/>
    <x v="0"/>
    <x v="0"/>
    <s v="Low (1-2)"/>
    <n v="1"/>
    <n v="1"/>
    <n v="0"/>
    <n v="3"/>
    <n v="2"/>
    <x v="0"/>
    <x v="0"/>
    <n v="-13"/>
    <n v="0.69999999999999929"/>
  </r>
  <r>
    <x v="126"/>
    <s v="TEXAS HEALTH HARRIS METHODIST HURST-EULESS-BEDFORD"/>
    <s v="1600 HOSPITAL PARKWAY"/>
    <s v="BEDFORD"/>
    <s v="TX"/>
    <s v="76022"/>
    <s v="TARRANT"/>
    <s v="(817) 848-4000"/>
    <s v="Acute Care Hospitals"/>
    <x v="1"/>
    <s v="Yes"/>
    <x v="1"/>
    <s v="4"/>
    <s v=""/>
    <n v="75"/>
    <n v="76"/>
    <n v="58"/>
    <n v="89"/>
    <n v="72"/>
    <n v="73"/>
    <s v="959"/>
    <n v="17"/>
    <d v="2024-07-01T00:00:00"/>
    <d v="2025-06-30T00:00:00"/>
    <n v="15.2"/>
    <x v="0"/>
    <n v="1881"/>
    <n v="14.2"/>
    <n v="16.3"/>
    <s v=""/>
    <d v="2023-07-01T00:00:00"/>
    <d v="2024-06-30T00:00:00"/>
    <x v="0"/>
    <x v="0"/>
    <x v="0"/>
    <s v="High (4-5)"/>
    <n v="0"/>
    <n v="0"/>
    <n v="0"/>
    <n v="3"/>
    <n v="0"/>
    <x v="1"/>
    <x v="3"/>
    <n v="2"/>
    <n v="0.29999999999999893"/>
  </r>
  <r>
    <x v="127"/>
    <s v="NOCONA GENERAL HOSPITAL"/>
    <s v="100 PARK ROAD"/>
    <s v="NOCONA"/>
    <s v="TX"/>
    <s v="76255"/>
    <s v="MONTAGUE"/>
    <s v="(940) 825-3235"/>
    <s v="Acute Care Hospitals"/>
    <x v="2"/>
    <s v="Yes"/>
    <x v="5"/>
    <s v="1"/>
    <s v=""/>
    <n v="91"/>
    <n v="94"/>
    <n v="80"/>
    <n v="88"/>
    <n v="83"/>
    <n v="88"/>
    <s v="56"/>
    <n v="19"/>
    <d v="2024-07-01T00:00:00"/>
    <d v="2025-06-30T00:00:00"/>
    <n v="15.9"/>
    <x v="0"/>
    <n v="130"/>
    <n v="13.6"/>
    <n v="18.5"/>
    <s v=""/>
    <d v="2023-07-01T00:00:00"/>
    <d v="2024-06-30T00:00:00"/>
    <x v="0"/>
    <x v="0"/>
    <x v="0"/>
    <s v="Low (1-2)"/>
    <n v="1"/>
    <n v="0"/>
    <n v="0"/>
    <n v="3"/>
    <n v="1"/>
    <x v="2"/>
    <x v="1"/>
    <n v="17"/>
    <n v="1"/>
  </r>
  <r>
    <x v="128"/>
    <s v="DOCTORS HOSPITAL OF LAREDO"/>
    <s v="10700 MCPHERSON ROAD"/>
    <s v="LAREDO"/>
    <s v="TX"/>
    <s v="78041"/>
    <s v="WEBB"/>
    <s v="(956) 523-2000"/>
    <s v="Acute Care Hospitals"/>
    <x v="0"/>
    <s v="Yes"/>
    <x v="1"/>
    <s v="4"/>
    <s v=""/>
    <n v="79"/>
    <n v="78"/>
    <n v="63"/>
    <n v="86"/>
    <n v="68"/>
    <n v="68"/>
    <s v="435"/>
    <n v="6"/>
    <d v="2024-07-01T00:00:00"/>
    <d v="2025-06-30T00:00:00"/>
    <n v="15.9"/>
    <x v="0"/>
    <n v="642"/>
    <n v="14.4"/>
    <n v="17.5"/>
    <s v=""/>
    <d v="2023-07-01T00:00:00"/>
    <d v="2024-06-30T00:00:00"/>
    <x v="0"/>
    <x v="0"/>
    <x v="0"/>
    <s v="High (4-5)"/>
    <n v="0"/>
    <n v="1"/>
    <n v="0"/>
    <n v="3"/>
    <n v="1"/>
    <x v="2"/>
    <x v="2"/>
    <n v="-3"/>
    <n v="1"/>
  </r>
  <r>
    <x v="129"/>
    <s v="HCA HOUSTON HEALTHCARE WEST"/>
    <s v="12141 RICHMOND AVE"/>
    <s v="HOUSTON"/>
    <s v="TX"/>
    <s v="77082"/>
    <s v="HARRIS"/>
    <s v="(281) 588-8080"/>
    <s v="Acute Care Hospitals"/>
    <x v="0"/>
    <s v="Yes"/>
    <x v="5"/>
    <s v="1"/>
    <s v=""/>
    <n v="70"/>
    <n v="70"/>
    <n v="47"/>
    <n v="79"/>
    <n v="59"/>
    <n v="56"/>
    <s v="647"/>
    <n v="9"/>
    <d v="2024-07-01T00:00:00"/>
    <d v="2025-06-30T00:00:00"/>
    <n v="15.6"/>
    <x v="0"/>
    <n v="603"/>
    <n v="14.2"/>
    <n v="17.100000000000001"/>
    <s v=""/>
    <d v="2023-07-01T00:00:00"/>
    <d v="2024-06-30T00:00:00"/>
    <x v="0"/>
    <x v="0"/>
    <x v="0"/>
    <s v="Low (1-2)"/>
    <n v="1"/>
    <n v="1"/>
    <n v="0"/>
    <n v="3"/>
    <n v="2"/>
    <x v="0"/>
    <x v="0"/>
    <n v="-15"/>
    <n v="0.69999999999999929"/>
  </r>
  <r>
    <x v="130"/>
    <s v="MEDICAL CITY DALLAS HOSPITAL"/>
    <s v="7777 FOREST LANE"/>
    <s v="DALLAS"/>
    <s v="TX"/>
    <s v="75230"/>
    <s v="DALLAS"/>
    <s v="(972) 566-6222"/>
    <s v="Acute Care Hospitals"/>
    <x v="0"/>
    <s v="Yes"/>
    <x v="2"/>
    <s v="3"/>
    <s v=""/>
    <n v="71"/>
    <n v="74"/>
    <n v="55"/>
    <n v="80"/>
    <n v="66"/>
    <n v="67"/>
    <s v="1222"/>
    <n v="17"/>
    <d v="2024-07-01T00:00:00"/>
    <d v="2025-06-30T00:00:00"/>
    <n v="15.5"/>
    <x v="0"/>
    <n v="3046"/>
    <n v="14.5"/>
    <n v="16.5"/>
    <s v=""/>
    <d v="2023-07-01T00:00:00"/>
    <d v="2024-06-30T00:00:00"/>
    <x v="0"/>
    <x v="0"/>
    <x v="0"/>
    <s v="Middle (3)"/>
    <n v="0"/>
    <n v="1"/>
    <n v="0"/>
    <n v="3"/>
    <n v="1"/>
    <x v="2"/>
    <x v="2"/>
    <n v="-4"/>
    <n v="0.59999999999999964"/>
  </r>
  <r>
    <x v="131"/>
    <s v="MEDICAL CITY PLANO"/>
    <s v="3901 W 15TH ST"/>
    <s v="PLANO"/>
    <s v="TX"/>
    <s v="75075"/>
    <s v="COLLIN"/>
    <s v="(972) 596-6800"/>
    <s v="Acute Care Hospitals"/>
    <x v="0"/>
    <s v="Yes"/>
    <x v="2"/>
    <s v="3"/>
    <s v=""/>
    <n v="73"/>
    <n v="74"/>
    <n v="56"/>
    <n v="81"/>
    <n v="66"/>
    <n v="66"/>
    <s v="1325"/>
    <n v="16"/>
    <d v="2024-07-01T00:00:00"/>
    <d v="2025-06-30T00:00:00"/>
    <n v="16.5"/>
    <x v="2"/>
    <n v="4783"/>
    <n v="15.6"/>
    <n v="17.5"/>
    <s v=""/>
    <d v="2023-07-01T00:00:00"/>
    <d v="2024-06-30T00:00:00"/>
    <x v="0"/>
    <x v="0"/>
    <x v="0"/>
    <s v="Middle (3)"/>
    <n v="0"/>
    <n v="1"/>
    <n v="1"/>
    <n v="3"/>
    <n v="2"/>
    <x v="0"/>
    <x v="0"/>
    <n v="-5"/>
    <n v="1.5999999999999996"/>
  </r>
  <r>
    <x v="132"/>
    <s v="SCENIC MOUNTAIN MEDICAL CENTER"/>
    <s v="1601 W 11TH PLACE"/>
    <s v="BIG SPRING"/>
    <s v="TX"/>
    <s v="79720"/>
    <s v="HOWARD"/>
    <s v="(432) 263-1211"/>
    <s v="Acute Care Hospitals"/>
    <x v="0"/>
    <s v="Yes"/>
    <x v="4"/>
    <s v="Not Available"/>
    <s v="16"/>
    <n v="84"/>
    <n v="86"/>
    <n v="72"/>
    <n v="87"/>
    <n v="56"/>
    <n v="53"/>
    <s v="54"/>
    <n v="10"/>
    <d v="2024-07-01T00:00:00"/>
    <d v="2025-06-30T00:00:00"/>
    <n v="15.1"/>
    <x v="0"/>
    <n v="96"/>
    <n v="13.2"/>
    <n v="17.3"/>
    <s v=""/>
    <d v="2023-07-01T00:00:00"/>
    <d v="2024-06-30T00:00:00"/>
    <x v="1"/>
    <x v="0"/>
    <x v="0"/>
    <s v="Unavailable"/>
    <s v=""/>
    <n v="1"/>
    <n v="0"/>
    <n v="2"/>
    <n v="1"/>
    <x v="3"/>
    <x v="0"/>
    <n v="-18"/>
    <n v="0.19999999999999929"/>
  </r>
  <r>
    <x v="133"/>
    <s v="STARR COUNTY MEMORIAL HOSPITAL"/>
    <s v="128  N FM RD 3167"/>
    <s v="RIO GRANDE CITY"/>
    <s v="TX"/>
    <s v="78582"/>
    <s v="STARR"/>
    <s v="(956) 487-5561"/>
    <s v="Acute Care Hospitals"/>
    <x v="2"/>
    <s v="Yes"/>
    <x v="0"/>
    <s v="2"/>
    <s v=""/>
    <n v="85"/>
    <n v="87"/>
    <n v="67"/>
    <n v="97"/>
    <n v="63"/>
    <n v="63"/>
    <s v="59"/>
    <n v="7"/>
    <d v="2024-07-01T00:00:00"/>
    <d v="2025-06-30T00:00:00"/>
    <n v="15.1"/>
    <x v="0"/>
    <n v="108"/>
    <n v="13.2"/>
    <n v="17.399999999999999"/>
    <s v=""/>
    <d v="2023-07-01T00:00:00"/>
    <d v="2024-06-30T00:00:00"/>
    <x v="0"/>
    <x v="0"/>
    <x v="0"/>
    <s v="Low (1-2)"/>
    <n v="1"/>
    <n v="1"/>
    <n v="0"/>
    <n v="3"/>
    <n v="2"/>
    <x v="0"/>
    <x v="0"/>
    <n v="-8"/>
    <n v="0.19999999999999929"/>
  </r>
  <r>
    <x v="134"/>
    <s v="NACOGDOCHES MEDICAL CENTER"/>
    <s v="4920 NE STALLINGS DRIVE"/>
    <s v="NACOGDOCHES"/>
    <s v="TX"/>
    <s v="75965"/>
    <s v="NACOGDOCHES"/>
    <s v="(936) 569-9481"/>
    <s v="Acute Care Hospitals"/>
    <x v="4"/>
    <s v="Yes"/>
    <x v="2"/>
    <s v="3"/>
    <s v=""/>
    <n v="84"/>
    <n v="82"/>
    <n v="62"/>
    <n v="86"/>
    <n v="73"/>
    <n v="71"/>
    <s v="605"/>
    <n v="13"/>
    <d v="2024-07-01T00:00:00"/>
    <d v="2025-06-30T00:00:00"/>
    <n v="15.9"/>
    <x v="0"/>
    <n v="980"/>
    <n v="14.6"/>
    <n v="17.3"/>
    <s v=""/>
    <d v="2023-07-01T00:00:00"/>
    <d v="2024-06-30T00:00:00"/>
    <x v="0"/>
    <x v="0"/>
    <x v="0"/>
    <s v="Middle (3)"/>
    <n v="0"/>
    <n v="0"/>
    <n v="0"/>
    <n v="3"/>
    <n v="0"/>
    <x v="1"/>
    <x v="2"/>
    <n v="0"/>
    <n v="1"/>
  </r>
  <r>
    <x v="135"/>
    <s v="FREESTONE MEDICAL CENTER"/>
    <s v="125 NEWMAN ST"/>
    <s v="FAIRFIELD"/>
    <s v="TX"/>
    <s v="75840"/>
    <s v="FREESTONE"/>
    <s v="(903) 389-1612"/>
    <s v="Acute Care Hospitals"/>
    <x v="2"/>
    <s v="Yes"/>
    <x v="4"/>
    <s v="Not Available"/>
    <s v="16"/>
    <m/>
    <m/>
    <m/>
    <m/>
    <m/>
    <m/>
    <s v="Not Available"/>
    <m/>
    <d v="2024-07-01T00:00:00"/>
    <d v="2025-06-30T00:00:00"/>
    <n v="14.3"/>
    <x v="0"/>
    <n v="74"/>
    <n v="12.6"/>
    <n v="16.7"/>
    <s v=""/>
    <d v="2023-07-01T00:00:00"/>
    <d v="2024-06-30T00:00:00"/>
    <x v="1"/>
    <x v="1"/>
    <x v="0"/>
    <s v="Unavailable"/>
    <s v=""/>
    <s v=""/>
    <n v="0"/>
    <n v="1"/>
    <n v="0"/>
    <x v="3"/>
    <x v="4"/>
    <s v=""/>
    <n v="-0.59999999999999964"/>
  </r>
  <r>
    <x v="136"/>
    <s v="HCA HOUSTON HEALTHCARE MEDICAL CENTER"/>
    <s v="1313 HERMANN DR"/>
    <s v="HOUSTON"/>
    <s v="TX"/>
    <s v="77004"/>
    <s v="HARRIS"/>
    <s v="(713) 527-5019"/>
    <s v="Acute Care Hospitals"/>
    <x v="0"/>
    <s v="Yes"/>
    <x v="1"/>
    <s v="4"/>
    <s v=""/>
    <n v="74"/>
    <n v="75"/>
    <n v="55"/>
    <n v="79"/>
    <n v="68"/>
    <n v="62"/>
    <s v="736"/>
    <n v="15"/>
    <d v="2024-07-01T00:00:00"/>
    <d v="2025-06-30T00:00:00"/>
    <n v="14.9"/>
    <x v="0"/>
    <n v="569"/>
    <n v="13.5"/>
    <n v="16.5"/>
    <s v=""/>
    <d v="2023-07-01T00:00:00"/>
    <d v="2024-06-30T00:00:00"/>
    <x v="0"/>
    <x v="0"/>
    <x v="0"/>
    <s v="High (4-5)"/>
    <n v="0"/>
    <n v="1"/>
    <n v="0"/>
    <n v="3"/>
    <n v="1"/>
    <x v="2"/>
    <x v="0"/>
    <n v="-9"/>
    <n v="0"/>
  </r>
  <r>
    <x v="137"/>
    <s v="ODESSA REGIONAL MEDICAL CENTER"/>
    <s v="520 E 6TH STREET"/>
    <s v="ODESSA"/>
    <s v="TX"/>
    <s v="79761"/>
    <s v="ECTOR"/>
    <s v="(432) 582-8340"/>
    <s v="Acute Care Hospitals"/>
    <x v="0"/>
    <s v="Yes"/>
    <x v="2"/>
    <s v="3"/>
    <s v=""/>
    <n v="72"/>
    <n v="77"/>
    <n v="59"/>
    <n v="80"/>
    <n v="61"/>
    <n v="61"/>
    <s v="308"/>
    <n v="8"/>
    <d v="2024-07-01T00:00:00"/>
    <d v="2025-06-30T00:00:00"/>
    <n v="14.3"/>
    <x v="0"/>
    <n v="326"/>
    <n v="12.9"/>
    <n v="16"/>
    <s v=""/>
    <d v="2023-07-01T00:00:00"/>
    <d v="2024-06-30T00:00:00"/>
    <x v="0"/>
    <x v="0"/>
    <x v="0"/>
    <s v="Middle (3)"/>
    <n v="0"/>
    <n v="1"/>
    <n v="0"/>
    <n v="3"/>
    <n v="1"/>
    <x v="2"/>
    <x v="0"/>
    <n v="-10"/>
    <n v="-0.59999999999999964"/>
  </r>
  <r>
    <x v="138"/>
    <s v="VALLEY REGIONAL MEDICAL CENTER"/>
    <s v="100 A ALTON GLOOR"/>
    <s v="BROWNSVILLE"/>
    <s v="TX"/>
    <s v="78526"/>
    <s v="CAMERON"/>
    <s v="(956) 350-7000"/>
    <s v="Acute Care Hospitals"/>
    <x v="0"/>
    <s v="Yes"/>
    <x v="0"/>
    <s v="2"/>
    <s v=""/>
    <n v="74"/>
    <n v="72"/>
    <n v="59"/>
    <n v="80"/>
    <n v="63"/>
    <n v="66"/>
    <s v="697"/>
    <n v="10"/>
    <d v="2024-07-01T00:00:00"/>
    <d v="2025-06-30T00:00:00"/>
    <n v="15"/>
    <x v="0"/>
    <n v="790"/>
    <n v="13.7"/>
    <n v="16.5"/>
    <s v=""/>
    <d v="2023-07-01T00:00:00"/>
    <d v="2024-06-30T00:00:00"/>
    <x v="0"/>
    <x v="0"/>
    <x v="0"/>
    <s v="Low (1-2)"/>
    <n v="1"/>
    <n v="1"/>
    <n v="0"/>
    <n v="3"/>
    <n v="2"/>
    <x v="0"/>
    <x v="0"/>
    <n v="-5"/>
    <n v="9.9999999999999645E-2"/>
  </r>
  <r>
    <x v="139"/>
    <s v="SIERRA MEDICAL CENTER"/>
    <s v="1625 MEDICAL CENTER DR"/>
    <s v="EL PASO"/>
    <s v="TX"/>
    <s v="79902"/>
    <s v="EL PASO"/>
    <s v="(915) 747-4000"/>
    <s v="Acute Care Hospitals"/>
    <x v="0"/>
    <s v="Yes"/>
    <x v="0"/>
    <s v="2"/>
    <s v=""/>
    <n v="74"/>
    <n v="77"/>
    <n v="59"/>
    <n v="81"/>
    <n v="64"/>
    <n v="64"/>
    <s v="1254"/>
    <n v="19"/>
    <d v="2024-07-01T00:00:00"/>
    <d v="2025-06-30T00:00:00"/>
    <n v="14.7"/>
    <x v="0"/>
    <n v="1063"/>
    <n v="13.5"/>
    <n v="16.100000000000001"/>
    <s v=""/>
    <d v="2023-07-01T00:00:00"/>
    <d v="2024-06-30T00:00:00"/>
    <x v="0"/>
    <x v="0"/>
    <x v="0"/>
    <s v="Low (1-2)"/>
    <n v="1"/>
    <n v="1"/>
    <n v="0"/>
    <n v="3"/>
    <n v="2"/>
    <x v="0"/>
    <x v="0"/>
    <n v="-7"/>
    <n v="-0.20000000000000107"/>
  </r>
  <r>
    <x v="140"/>
    <s v="MEDICAL CITY LEWISVILLE"/>
    <s v="500 WEST MAIN STREET"/>
    <s v="LEWISVILLE"/>
    <s v="TX"/>
    <s v="75057"/>
    <s v="DENTON"/>
    <s v="(972) 420-1000"/>
    <s v="Acute Care Hospitals"/>
    <x v="1"/>
    <s v="Yes"/>
    <x v="2"/>
    <s v="3"/>
    <s v=""/>
    <n v="78"/>
    <n v="76"/>
    <n v="60"/>
    <n v="85"/>
    <n v="69"/>
    <n v="70"/>
    <s v="525"/>
    <n v="13"/>
    <d v="2024-07-01T00:00:00"/>
    <d v="2025-06-30T00:00:00"/>
    <n v="15.4"/>
    <x v="0"/>
    <n v="942"/>
    <n v="14"/>
    <n v="16.8"/>
    <s v=""/>
    <d v="2023-07-01T00:00:00"/>
    <d v="2024-06-30T00:00:00"/>
    <x v="0"/>
    <x v="0"/>
    <x v="0"/>
    <s v="Middle (3)"/>
    <n v="0"/>
    <n v="1"/>
    <n v="0"/>
    <n v="3"/>
    <n v="1"/>
    <x v="2"/>
    <x v="2"/>
    <n v="-1"/>
    <n v="0.5"/>
  </r>
  <r>
    <x v="141"/>
    <s v="HCA HOUSTON HEALTHCARE TOMBALL"/>
    <s v="605 HOLDERRIETH"/>
    <s v="TOMBALL"/>
    <s v="TX"/>
    <s v="77375"/>
    <s v="HARRIS"/>
    <s v="(281) 351-7500"/>
    <s v="Acute Care Hospitals"/>
    <x v="0"/>
    <s v="Yes"/>
    <x v="2"/>
    <s v="3"/>
    <s v=""/>
    <n v="76"/>
    <n v="72"/>
    <n v="54"/>
    <n v="82"/>
    <n v="66"/>
    <n v="61"/>
    <s v="588"/>
    <n v="15"/>
    <d v="2024-07-01T00:00:00"/>
    <d v="2025-06-30T00:00:00"/>
    <n v="15.6"/>
    <x v="0"/>
    <n v="1136"/>
    <n v="14.4"/>
    <n v="17"/>
    <s v=""/>
    <d v="2023-07-01T00:00:00"/>
    <d v="2024-06-30T00:00:00"/>
    <x v="0"/>
    <x v="0"/>
    <x v="0"/>
    <s v="Middle (3)"/>
    <n v="0"/>
    <n v="1"/>
    <n v="0"/>
    <n v="3"/>
    <n v="1"/>
    <x v="2"/>
    <x v="0"/>
    <n v="-10"/>
    <n v="0.69999999999999929"/>
  </r>
  <r>
    <x v="142"/>
    <s v="MEDICAL CITY FORT WORTH"/>
    <s v="900 EIGHTH AVENUE"/>
    <s v="FORT WORTH"/>
    <s v="TX"/>
    <s v="76104"/>
    <s v="TARRANT"/>
    <s v="(817) 336-2100"/>
    <s v="Acute Care Hospitals"/>
    <x v="0"/>
    <s v="Yes"/>
    <x v="0"/>
    <s v="2"/>
    <s v=""/>
    <n v="73"/>
    <n v="75"/>
    <n v="53"/>
    <n v="83"/>
    <n v="67"/>
    <n v="66"/>
    <s v="679"/>
    <n v="18"/>
    <d v="2024-07-01T00:00:00"/>
    <d v="2025-06-30T00:00:00"/>
    <n v="16.899999999999999"/>
    <x v="2"/>
    <n v="2062"/>
    <n v="15.8"/>
    <n v="18.100000000000001"/>
    <s v=""/>
    <d v="2023-07-01T00:00:00"/>
    <d v="2024-06-30T00:00:00"/>
    <x v="0"/>
    <x v="0"/>
    <x v="0"/>
    <s v="Low (1-2)"/>
    <n v="1"/>
    <n v="1"/>
    <n v="1"/>
    <n v="3"/>
    <n v="3"/>
    <x v="4"/>
    <x v="0"/>
    <n v="-5"/>
    <n v="1.9999999999999982"/>
  </r>
  <r>
    <x v="143"/>
    <s v="WOMANS HOSPITAL OF TEXAS,THE"/>
    <s v="7600 FANNIN"/>
    <s v="HOUSTON"/>
    <s v="TX"/>
    <s v="77054"/>
    <s v="HARRIS"/>
    <s v="(713) 790-1234"/>
    <s v="Acute Care Hospitals"/>
    <x v="0"/>
    <s v="Yes"/>
    <x v="1"/>
    <s v="4"/>
    <s v=""/>
    <n v="72"/>
    <n v="76"/>
    <n v="54"/>
    <n v="80"/>
    <n v="67"/>
    <n v="68"/>
    <s v="731"/>
    <n v="10"/>
    <d v="2024-07-01T00:00:00"/>
    <d v="2025-06-30T00:00:00"/>
    <n v="14.7"/>
    <x v="0"/>
    <n v="35"/>
    <n v="11.9"/>
    <n v="18.3"/>
    <s v=""/>
    <d v="2023-07-01T00:00:00"/>
    <d v="2024-06-30T00:00:00"/>
    <x v="0"/>
    <x v="0"/>
    <x v="0"/>
    <s v="High (4-5)"/>
    <n v="0"/>
    <n v="1"/>
    <n v="0"/>
    <n v="3"/>
    <n v="1"/>
    <x v="2"/>
    <x v="2"/>
    <n v="-3"/>
    <n v="-0.20000000000000107"/>
  </r>
  <r>
    <x v="144"/>
    <s v="MEDICAL CITY ARLINGTON"/>
    <s v="3301 MATLOCK ROAD"/>
    <s v="ARLINGTON"/>
    <s v="TX"/>
    <s v="76015"/>
    <s v="TARRANT"/>
    <s v="(817) 465-3241"/>
    <s v="Acute Care Hospitals"/>
    <x v="0"/>
    <s v="Yes"/>
    <x v="0"/>
    <s v="2"/>
    <s v=""/>
    <n v="71"/>
    <n v="71"/>
    <n v="51"/>
    <n v="80"/>
    <n v="60"/>
    <n v="58"/>
    <s v="732"/>
    <n v="10"/>
    <d v="2024-07-01T00:00:00"/>
    <d v="2025-06-30T00:00:00"/>
    <n v="16.2"/>
    <x v="2"/>
    <n v="1651"/>
    <n v="15.1"/>
    <n v="17.399999999999999"/>
    <s v=""/>
    <d v="2023-07-01T00:00:00"/>
    <d v="2024-06-30T00:00:00"/>
    <x v="0"/>
    <x v="0"/>
    <x v="0"/>
    <s v="Low (1-2)"/>
    <n v="1"/>
    <n v="1"/>
    <n v="1"/>
    <n v="3"/>
    <n v="3"/>
    <x v="4"/>
    <x v="0"/>
    <n v="-13"/>
    <n v="1.2999999999999989"/>
  </r>
  <r>
    <x v="145"/>
    <s v="TEXAS HEALTH HUGULEY HOSPITAL FORT WORTH SOUTH"/>
    <s v="11801 SOUTH FREEWAY"/>
    <s v="FORT WORTH"/>
    <s v="TX"/>
    <s v="76115"/>
    <s v="TARRANT"/>
    <s v="(817) 293-9110"/>
    <s v="Acute Care Hospitals"/>
    <x v="7"/>
    <s v="Yes"/>
    <x v="2"/>
    <s v="3"/>
    <s v=""/>
    <n v="77"/>
    <n v="75"/>
    <n v="58"/>
    <n v="87"/>
    <n v="73"/>
    <n v="71"/>
    <s v="1409"/>
    <n v="13"/>
    <d v="2024-07-01T00:00:00"/>
    <d v="2025-06-30T00:00:00"/>
    <n v="14.2"/>
    <x v="0"/>
    <n v="1579"/>
    <n v="13.1"/>
    <n v="15.3"/>
    <s v=""/>
    <d v="2023-07-01T00:00:00"/>
    <d v="2024-06-30T00:00:00"/>
    <x v="0"/>
    <x v="0"/>
    <x v="0"/>
    <s v="Middle (3)"/>
    <n v="0"/>
    <n v="0"/>
    <n v="0"/>
    <n v="3"/>
    <n v="0"/>
    <x v="1"/>
    <x v="2"/>
    <n v="0"/>
    <n v="-0.70000000000000107"/>
  </r>
  <r>
    <x v="146"/>
    <s v="WHITE ROCK MEDICAL CENTER"/>
    <s v="9440 POPPY DRIVE"/>
    <s v="DALLAS"/>
    <s v="TX"/>
    <s v="75218"/>
    <s v="DALLAS"/>
    <s v="(214) 324-6100"/>
    <s v="Acute Care Hospitals"/>
    <x v="0"/>
    <s v="Yes"/>
    <x v="0"/>
    <s v="2"/>
    <s v=""/>
    <m/>
    <m/>
    <m/>
    <m/>
    <m/>
    <m/>
    <s v="Not Available"/>
    <m/>
    <d v="2024-07-01T00:00:00"/>
    <d v="2025-06-30T00:00:00"/>
    <n v="16.399999999999999"/>
    <x v="0"/>
    <n v="257"/>
    <n v="14.7"/>
    <n v="18.2"/>
    <s v=""/>
    <d v="2023-07-01T00:00:00"/>
    <d v="2024-06-30T00:00:00"/>
    <x v="0"/>
    <x v="1"/>
    <x v="0"/>
    <s v="Low (1-2)"/>
    <n v="1"/>
    <s v=""/>
    <n v="0"/>
    <n v="2"/>
    <n v="1"/>
    <x v="3"/>
    <x v="4"/>
    <s v=""/>
    <n v="1.4999999999999982"/>
  </r>
  <r>
    <x v="147"/>
    <s v="MEMORIAL HERMANN NORTHEAST HOSPITAL"/>
    <s v="18951 MEMORIAL NORTH"/>
    <s v="HUMBLE"/>
    <s v="TX"/>
    <s v="77338"/>
    <s v="HARRIS"/>
    <s v="(281) 540-7700"/>
    <s v="Acute Care Hospitals"/>
    <x v="1"/>
    <s v="Yes"/>
    <x v="2"/>
    <s v="3"/>
    <s v=""/>
    <n v="76"/>
    <n v="77"/>
    <n v="60"/>
    <n v="83"/>
    <n v="71"/>
    <n v="70"/>
    <s v="533"/>
    <n v="11"/>
    <d v="2024-07-01T00:00:00"/>
    <d v="2025-06-30T00:00:00"/>
    <n v="15"/>
    <x v="0"/>
    <n v="1441"/>
    <n v="13.9"/>
    <n v="16.2"/>
    <s v=""/>
    <d v="2023-07-01T00:00:00"/>
    <d v="2024-06-30T00:00:00"/>
    <x v="0"/>
    <x v="0"/>
    <x v="0"/>
    <s v="Middle (3)"/>
    <n v="0"/>
    <n v="1"/>
    <n v="0"/>
    <n v="3"/>
    <n v="1"/>
    <x v="2"/>
    <x v="2"/>
    <n v="-1"/>
    <n v="9.9999999999999645E-2"/>
  </r>
  <r>
    <x v="148"/>
    <s v="UNIVERSITY MEDICAL CENTER"/>
    <s v="602 INDIANA AVENUE"/>
    <s v="LUBBOCK"/>
    <s v="TX"/>
    <s v="79415"/>
    <s v="LUBBOCK"/>
    <s v="(806) 775-8200"/>
    <s v="Acute Care Hospitals"/>
    <x v="2"/>
    <s v="Yes"/>
    <x v="0"/>
    <s v="2"/>
    <s v=""/>
    <n v="79"/>
    <n v="78"/>
    <n v="64"/>
    <n v="86"/>
    <n v="76"/>
    <n v="79"/>
    <s v="885"/>
    <n v="13"/>
    <d v="2024-07-01T00:00:00"/>
    <d v="2025-06-30T00:00:00"/>
    <n v="14.6"/>
    <x v="0"/>
    <n v="2264"/>
    <n v="13.5"/>
    <n v="15.7"/>
    <s v=""/>
    <d v="2023-07-01T00:00:00"/>
    <d v="2024-06-30T00:00:00"/>
    <x v="0"/>
    <x v="0"/>
    <x v="0"/>
    <s v="Low (1-2)"/>
    <n v="1"/>
    <n v="0"/>
    <n v="0"/>
    <n v="3"/>
    <n v="1"/>
    <x v="2"/>
    <x v="3"/>
    <n v="8"/>
    <n v="-0.30000000000000071"/>
  </r>
  <r>
    <x v="149"/>
    <s v="DALLAS REGIONAL MEDICAL CENTER"/>
    <s v="1011 NORTH GALLOWAY AVENUE"/>
    <s v="MESQUITE"/>
    <s v="TX"/>
    <s v="75149"/>
    <s v="DALLAS"/>
    <s v="(214) 320-7000"/>
    <s v="Acute Care Hospitals"/>
    <x v="0"/>
    <s v="Yes"/>
    <x v="2"/>
    <s v="3"/>
    <s v=""/>
    <n v="70"/>
    <n v="75"/>
    <n v="57"/>
    <n v="77"/>
    <n v="62"/>
    <n v="59"/>
    <s v="440"/>
    <n v="21"/>
    <d v="2024-07-01T00:00:00"/>
    <d v="2025-06-30T00:00:00"/>
    <n v="14.8"/>
    <x v="0"/>
    <n v="552"/>
    <n v="13.4"/>
    <n v="16.399999999999999"/>
    <s v=""/>
    <d v="2023-07-01T00:00:00"/>
    <d v="2024-06-30T00:00:00"/>
    <x v="0"/>
    <x v="0"/>
    <x v="0"/>
    <s v="Middle (3)"/>
    <n v="0"/>
    <n v="1"/>
    <n v="0"/>
    <n v="3"/>
    <n v="1"/>
    <x v="2"/>
    <x v="0"/>
    <n v="-12"/>
    <n v="-9.9999999999999645E-2"/>
  </r>
  <r>
    <x v="150"/>
    <s v="THE UNIVERSITY OF TEXAS HEALTH SCIENCE CENTER AT TYLER"/>
    <s v="11937 US HIGHWAY 271"/>
    <s v="TYLER"/>
    <s v="TX"/>
    <s v="75708"/>
    <s v="SMITH"/>
    <s v="(903) 877-7777"/>
    <s v="Acute Care Hospitals"/>
    <x v="3"/>
    <s v="Yes"/>
    <x v="1"/>
    <s v="4"/>
    <s v=""/>
    <n v="84"/>
    <n v="88"/>
    <n v="68"/>
    <n v="96"/>
    <n v="81"/>
    <n v="82"/>
    <s v="122"/>
    <n v="15"/>
    <d v="2024-07-01T00:00:00"/>
    <d v="2025-06-30T00:00:00"/>
    <n v="14.5"/>
    <x v="0"/>
    <n v="120"/>
    <n v="12.8"/>
    <n v="16.5"/>
    <s v=""/>
    <d v="2023-07-01T00:00:00"/>
    <d v="2024-06-30T00:00:00"/>
    <x v="0"/>
    <x v="0"/>
    <x v="0"/>
    <s v="High (4-5)"/>
    <n v="0"/>
    <n v="0"/>
    <n v="0"/>
    <n v="3"/>
    <n v="0"/>
    <x v="1"/>
    <x v="1"/>
    <n v="11"/>
    <n v="-0.40000000000000036"/>
  </r>
  <r>
    <x v="151"/>
    <s v="EL CAMPO MEMORIAL HOSPITAL"/>
    <s v="303 SANDY CORNER RD"/>
    <s v="EL CAMPO"/>
    <s v="TX"/>
    <s v="77437"/>
    <s v="WHARTON"/>
    <s v="(979) 578-5251"/>
    <s v="Acute Care Hospitals"/>
    <x v="4"/>
    <s v="Yes"/>
    <x v="2"/>
    <s v="3"/>
    <s v=""/>
    <n v="73"/>
    <n v="80"/>
    <n v="58"/>
    <n v="84"/>
    <n v="54"/>
    <n v="56"/>
    <s v="109"/>
    <n v="24"/>
    <d v="2024-07-01T00:00:00"/>
    <d v="2025-06-30T00:00:00"/>
    <n v="14.7"/>
    <x v="0"/>
    <n v="198"/>
    <n v="12.9"/>
    <n v="16.600000000000001"/>
    <s v=""/>
    <d v="2023-07-01T00:00:00"/>
    <d v="2024-06-30T00:00:00"/>
    <x v="0"/>
    <x v="0"/>
    <x v="0"/>
    <s v="Middle (3)"/>
    <n v="0"/>
    <n v="1"/>
    <n v="0"/>
    <n v="3"/>
    <n v="1"/>
    <x v="2"/>
    <x v="0"/>
    <n v="-15"/>
    <n v="-0.20000000000000107"/>
  </r>
  <r>
    <x v="152"/>
    <s v="LAMB HEALTHCARE CENTER"/>
    <s v="1500 S SUNSET"/>
    <s v="LITTLEFIELD"/>
    <s v="TX"/>
    <s v="79339"/>
    <s v="LAMB"/>
    <s v="(806) 385-6411"/>
    <s v="Acute Care Hospitals"/>
    <x v="6"/>
    <s v="Yes"/>
    <x v="4"/>
    <s v="Not Available"/>
    <s v="16"/>
    <n v="81"/>
    <n v="91"/>
    <n v="71"/>
    <n v="80"/>
    <n v="72"/>
    <n v="68"/>
    <s v="47"/>
    <n v="16"/>
    <d v="2024-07-01T00:00:00"/>
    <d v="2025-06-30T00:00:00"/>
    <m/>
    <x v="3"/>
    <m/>
    <m/>
    <m/>
    <s v="1"/>
    <d v="2023-07-01T00:00:00"/>
    <d v="2024-06-30T00:00:00"/>
    <x v="1"/>
    <x v="0"/>
    <x v="1"/>
    <s v="Unavailable"/>
    <s v=""/>
    <n v="1"/>
    <s v=""/>
    <n v="1"/>
    <n v="1"/>
    <x v="3"/>
    <x v="2"/>
    <n v="-3"/>
    <s v=""/>
  </r>
  <r>
    <x v="153"/>
    <s v="LONGVIEW REGIONAL MEDICAL CENTER"/>
    <s v="2901 N FOURTH ST"/>
    <s v="LONGVIEW"/>
    <s v="TX"/>
    <s v="75605"/>
    <s v="GREGG"/>
    <s v="(903) 758-1818"/>
    <s v="Acute Care Hospitals"/>
    <x v="0"/>
    <s v="Yes"/>
    <x v="2"/>
    <s v="3"/>
    <s v=""/>
    <n v="76"/>
    <n v="76"/>
    <n v="58"/>
    <n v="85"/>
    <n v="71"/>
    <n v="73"/>
    <s v="719"/>
    <n v="16"/>
    <d v="2024-07-01T00:00:00"/>
    <d v="2025-06-30T00:00:00"/>
    <n v="15.9"/>
    <x v="0"/>
    <n v="2117"/>
    <n v="14.7"/>
    <n v="17"/>
    <s v=""/>
    <d v="2023-07-01T00:00:00"/>
    <d v="2024-06-30T00:00:00"/>
    <x v="0"/>
    <x v="0"/>
    <x v="0"/>
    <s v="Middle (3)"/>
    <n v="0"/>
    <n v="0"/>
    <n v="0"/>
    <n v="3"/>
    <n v="0"/>
    <x v="1"/>
    <x v="3"/>
    <n v="2"/>
    <n v="1"/>
  </r>
  <r>
    <x v="154"/>
    <s v="HOUSTON METHODIST CLEAR LAKE HOSPITAL"/>
    <s v="18300 ST JOHN DRIVE"/>
    <s v="NASSAU BAY"/>
    <s v="TX"/>
    <s v="77058"/>
    <s v="HARRIS"/>
    <s v="(281) 333-5503"/>
    <s v="Acute Care Hospitals"/>
    <x v="1"/>
    <s v="Yes"/>
    <x v="3"/>
    <s v="5"/>
    <s v=""/>
    <n v="84"/>
    <n v="79"/>
    <n v="65"/>
    <n v="91"/>
    <n v="82"/>
    <n v="85"/>
    <s v="1165"/>
    <n v="22"/>
    <d v="2024-07-01T00:00:00"/>
    <d v="2025-06-30T00:00:00"/>
    <n v="15.2"/>
    <x v="0"/>
    <n v="1494"/>
    <n v="14"/>
    <n v="16.5"/>
    <s v=""/>
    <d v="2023-07-01T00:00:00"/>
    <d v="2024-06-30T00:00:00"/>
    <x v="0"/>
    <x v="0"/>
    <x v="0"/>
    <s v="High (4-5)"/>
    <n v="0"/>
    <n v="0"/>
    <n v="0"/>
    <n v="3"/>
    <n v="0"/>
    <x v="1"/>
    <x v="1"/>
    <n v="14"/>
    <n v="0.29999999999999893"/>
  </r>
  <r>
    <x v="155"/>
    <s v="RIO GRANDE REGIONAL HOSPITAL"/>
    <s v="101 E RIDGE RD"/>
    <s v="MCALLEN"/>
    <s v="TX"/>
    <s v="78503"/>
    <s v="HIDALGO"/>
    <s v="(956) 632-6000"/>
    <s v="Acute Care Hospitals"/>
    <x v="0"/>
    <s v="Yes"/>
    <x v="1"/>
    <s v="4"/>
    <s v=""/>
    <n v="75"/>
    <n v="74"/>
    <n v="56"/>
    <n v="83"/>
    <n v="67"/>
    <n v="66"/>
    <s v="517"/>
    <n v="10"/>
    <d v="2024-07-01T00:00:00"/>
    <d v="2025-06-30T00:00:00"/>
    <n v="14.2"/>
    <x v="0"/>
    <n v="736"/>
    <n v="12.9"/>
    <n v="15.6"/>
    <s v=""/>
    <d v="2023-07-01T00:00:00"/>
    <d v="2024-06-30T00:00:00"/>
    <x v="0"/>
    <x v="0"/>
    <x v="0"/>
    <s v="High (4-5)"/>
    <n v="0"/>
    <n v="1"/>
    <n v="0"/>
    <n v="3"/>
    <n v="1"/>
    <x v="2"/>
    <x v="0"/>
    <n v="-5"/>
    <n v="-0.70000000000000107"/>
  </r>
  <r>
    <x v="156"/>
    <s v="ST DAVID'S SOUTH AUSTIN MEDICAL CENTER"/>
    <s v="901 WEST BEN WHITE BLVD"/>
    <s v="AUSTIN"/>
    <s v="TX"/>
    <s v="78704"/>
    <s v="TRAVIS"/>
    <s v="(512) 448-7107"/>
    <s v="Acute Care Hospitals"/>
    <x v="0"/>
    <s v="Yes"/>
    <x v="2"/>
    <s v="3"/>
    <s v=""/>
    <n v="75"/>
    <n v="76"/>
    <n v="56"/>
    <n v="84"/>
    <n v="65"/>
    <n v="68"/>
    <s v="539"/>
    <n v="15"/>
    <d v="2024-07-01T00:00:00"/>
    <d v="2025-06-30T00:00:00"/>
    <n v="15.2"/>
    <x v="0"/>
    <n v="3491"/>
    <n v="14.5"/>
    <n v="16.5"/>
    <s v=""/>
    <d v="2023-07-01T00:00:00"/>
    <d v="2024-06-30T00:00:00"/>
    <x v="0"/>
    <x v="0"/>
    <x v="0"/>
    <s v="Middle (3)"/>
    <n v="0"/>
    <n v="1"/>
    <n v="0"/>
    <n v="3"/>
    <n v="1"/>
    <x v="2"/>
    <x v="2"/>
    <n v="-3"/>
    <n v="0.29999999999999893"/>
  </r>
  <r>
    <x v="157"/>
    <s v="ROUND ROCK MEDICAL CENTER"/>
    <s v="2400 ROUND ROCK AVE"/>
    <s v="ROUND ROCK"/>
    <s v="TX"/>
    <s v="78681"/>
    <s v="WILLIAMSON"/>
    <s v="(512) 341-1000"/>
    <s v="Acute Care Hospitals"/>
    <x v="0"/>
    <s v="Yes"/>
    <x v="2"/>
    <s v="3"/>
    <s v=""/>
    <n v="75"/>
    <n v="72"/>
    <n v="53"/>
    <n v="85"/>
    <n v="70"/>
    <n v="70"/>
    <s v="830"/>
    <n v="18"/>
    <d v="2024-07-01T00:00:00"/>
    <d v="2025-06-30T00:00:00"/>
    <n v="15"/>
    <x v="0"/>
    <n v="2565"/>
    <n v="14.2"/>
    <n v="16.2"/>
    <s v=""/>
    <d v="2023-07-01T00:00:00"/>
    <d v="2024-06-30T00:00:00"/>
    <x v="0"/>
    <x v="0"/>
    <x v="0"/>
    <s v="Middle (3)"/>
    <n v="0"/>
    <n v="1"/>
    <n v="0"/>
    <n v="3"/>
    <n v="1"/>
    <x v="2"/>
    <x v="2"/>
    <n v="-1"/>
    <n v="9.9999999999999645E-2"/>
  </r>
  <r>
    <x v="158"/>
    <s v="METHODIST CHARLTON MEDICAL CENTER"/>
    <s v="3500 W WHEATLAND ROAD"/>
    <s v="DALLAS"/>
    <s v="TX"/>
    <s v="75237"/>
    <s v="DALLAS"/>
    <s v="(214) 947-7777"/>
    <s v="Acute Care Hospitals"/>
    <x v="1"/>
    <s v="Yes"/>
    <x v="2"/>
    <s v="3"/>
    <s v=""/>
    <n v="80"/>
    <n v="80"/>
    <n v="62"/>
    <n v="88"/>
    <n v="72"/>
    <n v="67"/>
    <s v="813"/>
    <n v="12"/>
    <d v="2024-07-01T00:00:00"/>
    <d v="2025-06-30T00:00:00"/>
    <n v="15.5"/>
    <x v="0"/>
    <n v="1249"/>
    <n v="14.4"/>
    <n v="16.8"/>
    <s v=""/>
    <d v="2023-07-01T00:00:00"/>
    <d v="2024-06-30T00:00:00"/>
    <x v="0"/>
    <x v="0"/>
    <x v="0"/>
    <s v="Middle (3)"/>
    <n v="0"/>
    <n v="1"/>
    <n v="0"/>
    <n v="3"/>
    <n v="1"/>
    <x v="2"/>
    <x v="2"/>
    <n v="-4"/>
    <n v="0.59999999999999964"/>
  </r>
  <r>
    <x v="159"/>
    <s v="CARROLLTON REGIONAL MEDICAL CENTER"/>
    <s v="4343 NORTH JOSEY LANE"/>
    <s v="CARROLLTON"/>
    <s v="TX"/>
    <s v="75010"/>
    <s v="DENTON"/>
    <s v="(972) 394-2255"/>
    <s v="Acute Care Hospitals"/>
    <x v="0"/>
    <s v="Yes"/>
    <x v="0"/>
    <s v="2"/>
    <s v=""/>
    <n v="72"/>
    <n v="70"/>
    <n v="52"/>
    <n v="77"/>
    <n v="65"/>
    <n v="58"/>
    <s v="243"/>
    <n v="12"/>
    <d v="2024-07-01T00:00:00"/>
    <d v="2025-06-30T00:00:00"/>
    <n v="16.5"/>
    <x v="0"/>
    <n v="477"/>
    <n v="14.9"/>
    <n v="18.3"/>
    <s v=""/>
    <d v="2023-07-01T00:00:00"/>
    <d v="2024-06-30T00:00:00"/>
    <x v="0"/>
    <x v="0"/>
    <x v="0"/>
    <s v="Low (1-2)"/>
    <n v="1"/>
    <n v="1"/>
    <n v="0"/>
    <n v="3"/>
    <n v="2"/>
    <x v="0"/>
    <x v="0"/>
    <n v="-13"/>
    <n v="1.5999999999999996"/>
  </r>
  <r>
    <x v="160"/>
    <s v="BAYLOR SCOTT AND WHITE MEDICAL CENTER LAKE POINTE"/>
    <s v="6800 SCENIC DR"/>
    <s v="ROWLETT"/>
    <s v="TX"/>
    <s v="75088"/>
    <s v="DALLAS"/>
    <s v="(972) 412-2273"/>
    <s v="Acute Care Hospitals"/>
    <x v="1"/>
    <s v="Yes"/>
    <x v="1"/>
    <s v="4"/>
    <s v=""/>
    <n v="76"/>
    <n v="76"/>
    <n v="57"/>
    <n v="85"/>
    <n v="70"/>
    <n v="67"/>
    <s v="509"/>
    <n v="12"/>
    <d v="2024-07-01T00:00:00"/>
    <d v="2025-06-30T00:00:00"/>
    <n v="15.6"/>
    <x v="0"/>
    <n v="1650"/>
    <n v="14.4"/>
    <n v="16.8"/>
    <s v=""/>
    <d v="2023-07-01T00:00:00"/>
    <d v="2024-06-30T00:00:00"/>
    <x v="0"/>
    <x v="0"/>
    <x v="0"/>
    <s v="High (4-5)"/>
    <n v="0"/>
    <n v="1"/>
    <n v="0"/>
    <n v="3"/>
    <n v="1"/>
    <x v="2"/>
    <x v="2"/>
    <n v="-4"/>
    <n v="0.69999999999999929"/>
  </r>
  <r>
    <x v="161"/>
    <s v="TEXAS HEALTH PRESBYTERIAN HOSPITAL DENTON"/>
    <s v="3000 N I-35"/>
    <s v="DENTON"/>
    <s v="TX"/>
    <s v="76201"/>
    <s v="DENTON"/>
    <s v="(940) 898-7000"/>
    <s v="Acute Care Hospitals"/>
    <x v="1"/>
    <s v="Yes"/>
    <x v="3"/>
    <s v="5"/>
    <s v=""/>
    <n v="79"/>
    <n v="77"/>
    <n v="61"/>
    <n v="87"/>
    <n v="77"/>
    <n v="79"/>
    <s v="988"/>
    <n v="17"/>
    <d v="2024-07-01T00:00:00"/>
    <d v="2025-06-30T00:00:00"/>
    <n v="14.5"/>
    <x v="0"/>
    <n v="2022"/>
    <n v="13.5"/>
    <n v="15.6"/>
    <s v=""/>
    <d v="2023-07-01T00:00:00"/>
    <d v="2024-06-30T00:00:00"/>
    <x v="0"/>
    <x v="0"/>
    <x v="0"/>
    <s v="High (4-5)"/>
    <n v="0"/>
    <n v="0"/>
    <n v="0"/>
    <n v="3"/>
    <n v="0"/>
    <x v="1"/>
    <x v="3"/>
    <n v="8"/>
    <n v="-0.40000000000000036"/>
  </r>
  <r>
    <x v="162"/>
    <s v="PALESTINE REGIONAL MEDICAL CENTER"/>
    <s v="2900 S LOOP 256"/>
    <s v="PALESTINE"/>
    <s v="TX"/>
    <s v="75801"/>
    <s v="ANDERSON"/>
    <s v="(903) 731-1000"/>
    <s v="Acute Care Hospitals"/>
    <x v="0"/>
    <s v="Yes"/>
    <x v="5"/>
    <s v="1"/>
    <s v=""/>
    <n v="79"/>
    <n v="82"/>
    <n v="62"/>
    <n v="84"/>
    <n v="63"/>
    <n v="59"/>
    <s v="198"/>
    <n v="11"/>
    <d v="2024-07-01T00:00:00"/>
    <d v="2025-06-30T00:00:00"/>
    <n v="15.5"/>
    <x v="0"/>
    <n v="405"/>
    <n v="13.8"/>
    <n v="17.2"/>
    <s v=""/>
    <d v="2023-07-01T00:00:00"/>
    <d v="2024-06-30T00:00:00"/>
    <x v="0"/>
    <x v="0"/>
    <x v="0"/>
    <s v="Low (1-2)"/>
    <n v="1"/>
    <n v="1"/>
    <n v="0"/>
    <n v="3"/>
    <n v="2"/>
    <x v="0"/>
    <x v="0"/>
    <n v="-12"/>
    <n v="0.59999999999999964"/>
  </r>
  <r>
    <x v="163"/>
    <s v="COVENANT HOSPITAL LEVELLAND"/>
    <s v="1900 COLLEGE AVE"/>
    <s v="LEVELLAND"/>
    <s v="TX"/>
    <s v="79336"/>
    <s v="HOCKLEY"/>
    <s v="(806) 894-4963"/>
    <s v="Acute Care Hospitals"/>
    <x v="1"/>
    <s v="Yes"/>
    <x v="4"/>
    <s v="Not Available"/>
    <s v="16"/>
    <n v="88"/>
    <n v="91"/>
    <n v="77"/>
    <n v="77"/>
    <n v="81"/>
    <n v="77"/>
    <s v="52"/>
    <n v="16"/>
    <d v="2024-07-01T00:00:00"/>
    <d v="2025-06-30T00:00:00"/>
    <n v="14.6"/>
    <x v="0"/>
    <n v="34"/>
    <n v="12.6"/>
    <n v="17.100000000000001"/>
    <s v=""/>
    <d v="2023-07-01T00:00:00"/>
    <d v="2024-06-30T00:00:00"/>
    <x v="1"/>
    <x v="0"/>
    <x v="0"/>
    <s v="Unavailable"/>
    <s v=""/>
    <n v="0"/>
    <n v="0"/>
    <n v="2"/>
    <n v="0"/>
    <x v="3"/>
    <x v="3"/>
    <n v="6"/>
    <n v="-0.30000000000000071"/>
  </r>
  <r>
    <x v="164"/>
    <s v="TEXAS HEALTH PRESBYTERIAN HOSPITAL PLANO"/>
    <s v="6200 W PARKER RD"/>
    <s v="PLANO"/>
    <s v="TX"/>
    <s v="75093"/>
    <s v="COLLIN"/>
    <s v="(972) 981-8000"/>
    <s v="Acute Care Hospitals"/>
    <x v="1"/>
    <s v="Yes"/>
    <x v="1"/>
    <s v="4"/>
    <s v=""/>
    <n v="73"/>
    <n v="76"/>
    <n v="52"/>
    <n v="84"/>
    <n v="71"/>
    <n v="72"/>
    <s v="1361"/>
    <n v="17"/>
    <d v="2024-07-01T00:00:00"/>
    <d v="2025-06-30T00:00:00"/>
    <n v="14.9"/>
    <x v="0"/>
    <n v="3084"/>
    <n v="13.9"/>
    <n v="15.8"/>
    <s v=""/>
    <d v="2023-07-01T00:00:00"/>
    <d v="2024-06-30T00:00:00"/>
    <x v="0"/>
    <x v="0"/>
    <x v="0"/>
    <s v="High (4-5)"/>
    <n v="0"/>
    <n v="0"/>
    <n v="0"/>
    <n v="3"/>
    <n v="0"/>
    <x v="1"/>
    <x v="3"/>
    <n v="1"/>
    <n v="0"/>
  </r>
  <r>
    <x v="165"/>
    <s v="TOPS SURGICAL SPECIALTY HOSPITAL"/>
    <s v="17080 RED OAK DRIVE"/>
    <s v="HOUSTON"/>
    <s v="TX"/>
    <s v="77090"/>
    <s v="HARRIS"/>
    <s v="(281) 539-2900"/>
    <s v="Acute Care Hospitals"/>
    <x v="5"/>
    <s v="No"/>
    <x v="4"/>
    <s v="Not Available"/>
    <s v="16"/>
    <n v="85"/>
    <n v="81"/>
    <n v="70"/>
    <n v="91"/>
    <n v="81"/>
    <n v="84"/>
    <s v="140"/>
    <n v="31"/>
    <d v="2024-07-01T00:00:00"/>
    <d v="2025-06-30T00:00:00"/>
    <n v="14.4"/>
    <x v="0"/>
    <n v="88"/>
    <n v="11.4"/>
    <n v="18.100000000000001"/>
    <s v=""/>
    <d v="2023-07-01T00:00:00"/>
    <d v="2024-06-30T00:00:00"/>
    <x v="1"/>
    <x v="0"/>
    <x v="0"/>
    <s v="Unavailable"/>
    <s v=""/>
    <n v="0"/>
    <n v="0"/>
    <n v="2"/>
    <n v="0"/>
    <x v="3"/>
    <x v="1"/>
    <n v="13"/>
    <n v="-0.5"/>
  </r>
  <r>
    <x v="166"/>
    <s v="HCA HOUSTON HEALTHCARE KINGWOOD"/>
    <s v="22999 US HWY 59"/>
    <s v="KINGWOOD"/>
    <s v="TX"/>
    <s v="77325"/>
    <s v="HARRIS"/>
    <s v="(281) 359-7500"/>
    <s v="Acute Care Hospitals"/>
    <x v="0"/>
    <s v="Yes"/>
    <x v="2"/>
    <s v="3"/>
    <s v=""/>
    <n v="69"/>
    <n v="70"/>
    <n v="50"/>
    <n v="78"/>
    <n v="57"/>
    <n v="53"/>
    <s v="1103"/>
    <n v="12"/>
    <d v="2024-07-01T00:00:00"/>
    <d v="2025-06-30T00:00:00"/>
    <n v="15.8"/>
    <x v="0"/>
    <n v="4123"/>
    <n v="15"/>
    <n v="16.7"/>
    <s v=""/>
    <d v="2023-07-01T00:00:00"/>
    <d v="2024-06-30T00:00:00"/>
    <x v="0"/>
    <x v="0"/>
    <x v="0"/>
    <s v="Middle (3)"/>
    <n v="0"/>
    <n v="1"/>
    <n v="0"/>
    <n v="3"/>
    <n v="1"/>
    <x v="2"/>
    <x v="0"/>
    <n v="-18"/>
    <n v="0.90000000000000036"/>
  </r>
  <r>
    <x v="167"/>
    <s v="TEXAS HEALTH HARRIS METHODIST HOSPITAL SOUTHWEST F"/>
    <s v="6100 HARRIS PKWY"/>
    <s v="FORT WORTH"/>
    <s v="TX"/>
    <s v="76132"/>
    <s v="TARRANT"/>
    <s v="(817) 433-5000"/>
    <s v="Acute Care Hospitals"/>
    <x v="1"/>
    <s v="Yes"/>
    <x v="3"/>
    <s v="5"/>
    <s v=""/>
    <n v="81"/>
    <n v="78"/>
    <n v="61"/>
    <n v="87"/>
    <n v="77"/>
    <n v="79"/>
    <s v="1539"/>
    <n v="18"/>
    <d v="2024-07-01T00:00:00"/>
    <d v="2025-06-30T00:00:00"/>
    <n v="13.8"/>
    <x v="1"/>
    <n v="2140"/>
    <n v="12.8"/>
    <n v="14.9"/>
    <s v=""/>
    <d v="2023-07-01T00:00:00"/>
    <d v="2024-06-30T00:00:00"/>
    <x v="0"/>
    <x v="0"/>
    <x v="0"/>
    <s v="High (4-5)"/>
    <n v="0"/>
    <n v="0"/>
    <n v="0"/>
    <n v="3"/>
    <n v="0"/>
    <x v="1"/>
    <x v="3"/>
    <n v="8"/>
    <n v="-1.0999999999999996"/>
  </r>
  <r>
    <x v="168"/>
    <s v="CORPUS CHRISTI MEDICAL CENTER,THE"/>
    <s v="3315 S ALAMEDA ST"/>
    <s v="CORPUS CHRISTI"/>
    <s v="TX"/>
    <s v="78411"/>
    <s v="NUECES"/>
    <s v="(361) 761-1501"/>
    <s v="Acute Care Hospitals"/>
    <x v="4"/>
    <s v="Yes"/>
    <x v="1"/>
    <s v="4"/>
    <s v=""/>
    <n v="76"/>
    <n v="75"/>
    <n v="59"/>
    <n v="83"/>
    <n v="65"/>
    <n v="66"/>
    <s v="1284"/>
    <n v="13"/>
    <d v="2024-07-01T00:00:00"/>
    <d v="2025-06-30T00:00:00"/>
    <n v="14.5"/>
    <x v="0"/>
    <n v="2270"/>
    <n v="13.4"/>
    <n v="15.6"/>
    <s v=""/>
    <d v="2023-07-01T00:00:00"/>
    <d v="2024-06-30T00:00:00"/>
    <x v="0"/>
    <x v="0"/>
    <x v="0"/>
    <s v="High (4-5)"/>
    <n v="0"/>
    <n v="1"/>
    <n v="0"/>
    <n v="3"/>
    <n v="1"/>
    <x v="2"/>
    <x v="0"/>
    <n v="-5"/>
    <n v="-0.40000000000000036"/>
  </r>
  <r>
    <x v="169"/>
    <s v="CHRISTUS ST MICHAEL HEALTH SYSTEM"/>
    <s v="2600 ST MICHAEL DR"/>
    <s v="TEXARKANA"/>
    <s v="TX"/>
    <s v="75503"/>
    <s v="BOWIE"/>
    <s v="(903) 614-1000"/>
    <s v="Acute Care Hospitals"/>
    <x v="7"/>
    <s v="Yes"/>
    <x v="2"/>
    <s v="3"/>
    <s v=""/>
    <n v="81"/>
    <n v="82"/>
    <n v="63"/>
    <n v="85"/>
    <n v="71"/>
    <n v="69"/>
    <s v="542"/>
    <n v="18"/>
    <d v="2024-07-01T00:00:00"/>
    <d v="2025-06-30T00:00:00"/>
    <n v="14.8"/>
    <x v="0"/>
    <n v="2805"/>
    <n v="13.9"/>
    <n v="15.9"/>
    <s v=""/>
    <d v="2023-07-01T00:00:00"/>
    <d v="2024-06-30T00:00:00"/>
    <x v="0"/>
    <x v="0"/>
    <x v="0"/>
    <s v="Middle (3)"/>
    <n v="0"/>
    <n v="1"/>
    <n v="0"/>
    <n v="3"/>
    <n v="1"/>
    <x v="2"/>
    <x v="2"/>
    <n v="-2"/>
    <n v="-9.9999999999999645E-2"/>
  </r>
  <r>
    <x v="170"/>
    <s v="TEXAS ORTHOPEDIC HOSPITAL"/>
    <s v="7401 SOUTH MAIN STREET"/>
    <s v="HOUSTON"/>
    <s v="TX"/>
    <s v="77030"/>
    <s v="HARRIS"/>
    <s v="(713) 799-8600"/>
    <s v="Acute Care Hospitals"/>
    <x v="4"/>
    <s v="Yes"/>
    <x v="4"/>
    <s v="Not Available"/>
    <s v="16"/>
    <n v="84"/>
    <n v="86"/>
    <n v="65"/>
    <n v="88"/>
    <n v="83"/>
    <n v="83"/>
    <s v="366"/>
    <n v="37"/>
    <d v="2024-07-01T00:00:00"/>
    <d v="2025-06-30T00:00:00"/>
    <n v="14.1"/>
    <x v="0"/>
    <n v="591"/>
    <n v="11.8"/>
    <n v="16.8"/>
    <s v=""/>
    <d v="2023-07-01T00:00:00"/>
    <d v="2024-06-30T00:00:00"/>
    <x v="1"/>
    <x v="0"/>
    <x v="0"/>
    <s v="Unavailable"/>
    <s v=""/>
    <n v="0"/>
    <n v="0"/>
    <n v="2"/>
    <n v="0"/>
    <x v="3"/>
    <x v="1"/>
    <n v="12"/>
    <n v="-0.80000000000000071"/>
  </r>
  <r>
    <x v="171"/>
    <s v="NORTHWEST HILLS SURGICAL HOSPITAL"/>
    <s v="6818 AUSTIN CTR BLVD SUITE 100"/>
    <s v="AUSTIN"/>
    <s v="TX"/>
    <s v="78731"/>
    <s v="TRAVIS"/>
    <s v="(512) 346-1994"/>
    <s v="Acute Care Hospitals"/>
    <x v="1"/>
    <s v="Yes"/>
    <x v="4"/>
    <s v="Not Available"/>
    <s v="16"/>
    <n v="86"/>
    <n v="85"/>
    <n v="79"/>
    <n v="93"/>
    <n v="82"/>
    <n v="78"/>
    <s v="82"/>
    <n v="25"/>
    <d v="2024-07-01T00:00:00"/>
    <d v="2025-06-30T00:00:00"/>
    <n v="14.4"/>
    <x v="0"/>
    <n v="60"/>
    <n v="11.5"/>
    <n v="18"/>
    <s v=""/>
    <d v="2023-07-01T00:00:00"/>
    <d v="2024-06-30T00:00:00"/>
    <x v="1"/>
    <x v="0"/>
    <x v="0"/>
    <s v="Unavailable"/>
    <s v=""/>
    <n v="0"/>
    <n v="0"/>
    <n v="2"/>
    <n v="0"/>
    <x v="3"/>
    <x v="3"/>
    <n v="7"/>
    <n v="-0.5"/>
  </r>
  <r>
    <x v="172"/>
    <s v="NORTH AUSTIN MEDICAL CENTER"/>
    <s v="12221 MOPAC EXPRESSWAY NORTH"/>
    <s v="AUSTIN"/>
    <s v="TX"/>
    <s v="78758"/>
    <s v="TRAVIS"/>
    <s v="(512) 901-1000"/>
    <s v="Acute Care Hospitals"/>
    <x v="0"/>
    <s v="Yes"/>
    <x v="2"/>
    <s v="3"/>
    <s v=""/>
    <n v="72"/>
    <n v="75"/>
    <n v="53"/>
    <n v="81"/>
    <n v="67"/>
    <n v="70"/>
    <s v="977"/>
    <n v="13"/>
    <d v="2024-07-01T00:00:00"/>
    <d v="2025-06-30T00:00:00"/>
    <n v="14.4"/>
    <x v="0"/>
    <n v="2124"/>
    <n v="13.7"/>
    <n v="16"/>
    <s v=""/>
    <d v="2023-07-01T00:00:00"/>
    <d v="2024-06-30T00:00:00"/>
    <x v="0"/>
    <x v="0"/>
    <x v="0"/>
    <s v="Middle (3)"/>
    <n v="0"/>
    <n v="1"/>
    <n v="0"/>
    <n v="3"/>
    <n v="1"/>
    <x v="2"/>
    <x v="2"/>
    <n v="-1"/>
    <n v="-0.5"/>
  </r>
  <r>
    <x v="173"/>
    <s v="HOUSTON METHODIST SUGARLAND HOSPITAL"/>
    <s v="16655 SOUTHWEST FREEWAY"/>
    <s v="SUGAR LAND"/>
    <s v="TX"/>
    <s v="77479"/>
    <s v="FORT BEND"/>
    <s v="(281) 274-8000"/>
    <s v="Acute Care Hospitals"/>
    <x v="1"/>
    <s v="Yes"/>
    <x v="3"/>
    <s v="5"/>
    <s v=""/>
    <n v="77"/>
    <n v="77"/>
    <n v="60"/>
    <n v="87"/>
    <n v="79"/>
    <n v="80"/>
    <s v="2929"/>
    <n v="18"/>
    <d v="2024-07-01T00:00:00"/>
    <d v="2025-06-30T00:00:00"/>
    <n v="14.6"/>
    <x v="0"/>
    <n v="4332"/>
    <n v="13.8"/>
    <n v="15.4"/>
    <s v=""/>
    <d v="2023-07-01T00:00:00"/>
    <d v="2024-06-30T00:00:00"/>
    <x v="0"/>
    <x v="0"/>
    <x v="0"/>
    <s v="High (4-5)"/>
    <n v="0"/>
    <n v="0"/>
    <n v="0"/>
    <n v="3"/>
    <n v="0"/>
    <x v="1"/>
    <x v="1"/>
    <n v="9"/>
    <n v="-0.30000000000000071"/>
  </r>
  <r>
    <x v="174"/>
    <s v="MEDICAL CITY LAS COLINAS"/>
    <s v="6800 N MACARTHUR BLVD"/>
    <s v="IRVING"/>
    <s v="TX"/>
    <s v="75039"/>
    <s v="DALLAS"/>
    <s v="(972) 969-2000"/>
    <s v="Acute Care Hospitals"/>
    <x v="0"/>
    <s v="Yes"/>
    <x v="1"/>
    <s v="4"/>
    <s v=""/>
    <n v="75"/>
    <n v="72"/>
    <n v="51"/>
    <n v="80"/>
    <n v="68"/>
    <n v="67"/>
    <s v="450"/>
    <n v="11"/>
    <d v="2024-07-01T00:00:00"/>
    <d v="2025-06-30T00:00:00"/>
    <n v="14.7"/>
    <x v="0"/>
    <n v="357"/>
    <n v="13.1"/>
    <n v="16.5"/>
    <s v=""/>
    <d v="2023-07-01T00:00:00"/>
    <d v="2024-06-30T00:00:00"/>
    <x v="0"/>
    <x v="0"/>
    <x v="0"/>
    <s v="High (4-5)"/>
    <n v="0"/>
    <n v="1"/>
    <n v="0"/>
    <n v="3"/>
    <n v="1"/>
    <x v="2"/>
    <x v="2"/>
    <n v="-4"/>
    <n v="-0.20000000000000107"/>
  </r>
  <r>
    <x v="175"/>
    <s v="CORNERSTONE REGIONAL HOSPITAL"/>
    <s v="2302 CORNERSTONE BOULEVARD"/>
    <s v="EDINBURG"/>
    <s v="TX"/>
    <s v="78539"/>
    <s v="HIDALGO"/>
    <s v="(956) 618-4444"/>
    <s v="Acute Care Hospitals"/>
    <x v="0"/>
    <s v="Yes"/>
    <x v="4"/>
    <s v="Not Available"/>
    <s v="16"/>
    <n v="86"/>
    <n v="82"/>
    <n v="41"/>
    <n v="84"/>
    <n v="74"/>
    <n v="74"/>
    <s v="28"/>
    <n v="24"/>
    <d v="2024-07-01T00:00:00"/>
    <d v="2025-06-30T00:00:00"/>
    <m/>
    <x v="3"/>
    <m/>
    <m/>
    <m/>
    <s v="1"/>
    <d v="2023-07-01T00:00:00"/>
    <d v="2024-06-30T00:00:00"/>
    <x v="1"/>
    <x v="0"/>
    <x v="1"/>
    <s v="Unavailable"/>
    <s v=""/>
    <n v="0"/>
    <s v=""/>
    <n v="1"/>
    <n v="0"/>
    <x v="3"/>
    <x v="3"/>
    <n v="3"/>
    <s v=""/>
  </r>
  <r>
    <x v="176"/>
    <s v="KELL WEST REGIONAL HOSPITAL"/>
    <s v="5420 KELL WEST BOULEVARD"/>
    <s v="WICHITA FALLS"/>
    <s v="TX"/>
    <s v="76310"/>
    <s v="WICHITA"/>
    <s v="(940) 692-5888"/>
    <s v="Acute Care Hospitals"/>
    <x v="0"/>
    <s v="Yes"/>
    <x v="4"/>
    <s v="Not Available"/>
    <s v="16"/>
    <n v="78"/>
    <n v="83"/>
    <n v="53"/>
    <n v="88"/>
    <n v="71"/>
    <n v="73"/>
    <s v="92"/>
    <n v="25"/>
    <d v="2024-07-01T00:00:00"/>
    <d v="2025-06-30T00:00:00"/>
    <n v="14.4"/>
    <x v="0"/>
    <n v="225"/>
    <n v="12.4"/>
    <n v="16.7"/>
    <s v=""/>
    <d v="2023-07-01T00:00:00"/>
    <d v="2024-06-30T00:00:00"/>
    <x v="1"/>
    <x v="0"/>
    <x v="0"/>
    <s v="Unavailable"/>
    <s v=""/>
    <n v="0"/>
    <n v="0"/>
    <n v="2"/>
    <n v="0"/>
    <x v="3"/>
    <x v="3"/>
    <n v="2"/>
    <n v="-0.5"/>
  </r>
  <r>
    <x v="177"/>
    <s v="CHRISTUS SPOHN HOSPITAL ALICE"/>
    <s v="2500 E MAIN STREET"/>
    <s v="ALICE"/>
    <s v="TX"/>
    <s v="78332"/>
    <s v="JIM WELLS"/>
    <s v="(361) 661-8016"/>
    <s v="Acute Care Hospitals"/>
    <x v="1"/>
    <s v="Yes"/>
    <x v="2"/>
    <s v="3"/>
    <s v=""/>
    <n v="85"/>
    <n v="84"/>
    <n v="67"/>
    <n v="84"/>
    <n v="75"/>
    <n v="64"/>
    <s v="169"/>
    <n v="11"/>
    <d v="2024-07-01T00:00:00"/>
    <d v="2025-06-30T00:00:00"/>
    <n v="14.4"/>
    <x v="0"/>
    <n v="268"/>
    <n v="13"/>
    <n v="16.100000000000001"/>
    <s v=""/>
    <d v="2023-07-01T00:00:00"/>
    <d v="2024-06-30T00:00:00"/>
    <x v="0"/>
    <x v="0"/>
    <x v="0"/>
    <s v="Middle (3)"/>
    <n v="0"/>
    <n v="1"/>
    <n v="0"/>
    <n v="3"/>
    <n v="1"/>
    <x v="2"/>
    <x v="0"/>
    <n v="-7"/>
    <n v="-0.5"/>
  </r>
  <r>
    <x v="178"/>
    <s v="SURGERY SPECIALTY HOSPITALS OF AMERICA SE HOUSTON"/>
    <s v="4301 B VISTA"/>
    <s v="PASADENA"/>
    <s v="TX"/>
    <s v="77504"/>
    <s v="HARRIS"/>
    <s v="(713) 378-3000"/>
    <s v="Acute Care Hospitals"/>
    <x v="0"/>
    <s v="Yes"/>
    <x v="4"/>
    <s v="Not Available"/>
    <s v="16"/>
    <m/>
    <m/>
    <m/>
    <m/>
    <m/>
    <m/>
    <s v="Not Available"/>
    <m/>
    <d v="2024-07-01T00:00:00"/>
    <d v="2025-06-30T00:00:00"/>
    <m/>
    <x v="3"/>
    <m/>
    <m/>
    <m/>
    <s v="1"/>
    <d v="2023-07-01T00:00:00"/>
    <d v="2024-06-30T00:00:00"/>
    <x v="1"/>
    <x v="1"/>
    <x v="1"/>
    <s v="Unavailable"/>
    <s v=""/>
    <s v=""/>
    <s v=""/>
    <n v="0"/>
    <n v="0"/>
    <x v="3"/>
    <x v="4"/>
    <s v=""/>
    <s v=""/>
  </r>
  <r>
    <x v="179"/>
    <s v="ENNIS REGIONAL MEDICAL CENTER"/>
    <s v="2201 WEST LAMPASAS STREET"/>
    <s v="ENNIS"/>
    <s v="TX"/>
    <s v="75119"/>
    <s v="ELLIS"/>
    <s v="(972) 875-0900"/>
    <s v="Acute Care Hospitals"/>
    <x v="0"/>
    <s v="Yes"/>
    <x v="4"/>
    <s v="Not Available"/>
    <s v="16"/>
    <n v="86"/>
    <n v="80"/>
    <n v="70"/>
    <n v="83"/>
    <n v="79"/>
    <n v="81"/>
    <s v="35"/>
    <n v="15"/>
    <d v="2024-07-01T00:00:00"/>
    <d v="2025-06-30T00:00:00"/>
    <n v="14.8"/>
    <x v="0"/>
    <n v="59"/>
    <n v="12.7"/>
    <n v="17.2"/>
    <s v=""/>
    <d v="2023-07-01T00:00:00"/>
    <d v="2024-06-30T00:00:00"/>
    <x v="1"/>
    <x v="0"/>
    <x v="0"/>
    <s v="Unavailable"/>
    <s v=""/>
    <n v="0"/>
    <n v="0"/>
    <n v="2"/>
    <n v="0"/>
    <x v="3"/>
    <x v="1"/>
    <n v="10"/>
    <n v="-9.9999999999999645E-2"/>
  </r>
  <r>
    <x v="180"/>
    <s v="PHYSICIANS CENTRE,THE"/>
    <s v="3131 UNIVERSITY DRIVE EAST"/>
    <s v="BRYAN"/>
    <s v="TX"/>
    <s v="77802"/>
    <s v="BRAZOS"/>
    <s v="(979) 731-3100"/>
    <s v="Acute Care Hospitals"/>
    <x v="0"/>
    <s v="Yes"/>
    <x v="4"/>
    <s v="Not Available"/>
    <s v="16"/>
    <n v="87"/>
    <n v="84"/>
    <n v="74"/>
    <n v="91"/>
    <n v="84"/>
    <n v="86"/>
    <s v="193"/>
    <n v="44"/>
    <d v="2024-07-01T00:00:00"/>
    <d v="2025-06-30T00:00:00"/>
    <n v="15.1"/>
    <x v="0"/>
    <n v="189"/>
    <n v="12.3"/>
    <n v="19"/>
    <s v=""/>
    <d v="2023-07-01T00:00:00"/>
    <d v="2024-06-30T00:00:00"/>
    <x v="1"/>
    <x v="0"/>
    <x v="0"/>
    <s v="Unavailable"/>
    <s v=""/>
    <n v="0"/>
    <n v="0"/>
    <n v="2"/>
    <n v="0"/>
    <x v="3"/>
    <x v="1"/>
    <n v="15"/>
    <n v="0.19999999999999929"/>
  </r>
  <r>
    <x v="181"/>
    <s v="TEXAS HEALTH PRESBYTERIAN HOSPITAL ALLEN"/>
    <s v="1105 CENTRAL EXPRESSWAY NORTH"/>
    <s v="ALLEN"/>
    <s v="TX"/>
    <s v="75013"/>
    <s v="COLLIN"/>
    <s v="(972) 747-1000"/>
    <s v="Acute Care Hospitals"/>
    <x v="1"/>
    <s v="Yes"/>
    <x v="1"/>
    <s v="4"/>
    <s v=""/>
    <n v="81"/>
    <n v="80"/>
    <n v="61"/>
    <n v="88"/>
    <n v="76"/>
    <n v="77"/>
    <s v="527"/>
    <n v="19"/>
    <d v="2024-07-01T00:00:00"/>
    <d v="2025-06-30T00:00:00"/>
    <n v="14.6"/>
    <x v="0"/>
    <n v="719"/>
    <n v="13.2"/>
    <n v="16.100000000000001"/>
    <s v=""/>
    <d v="2023-07-01T00:00:00"/>
    <d v="2024-06-30T00:00:00"/>
    <x v="0"/>
    <x v="0"/>
    <x v="0"/>
    <s v="High (4-5)"/>
    <n v="0"/>
    <n v="0"/>
    <n v="0"/>
    <n v="3"/>
    <n v="0"/>
    <x v="1"/>
    <x v="3"/>
    <n v="6"/>
    <n v="-0.30000000000000071"/>
  </r>
  <r>
    <x v="182"/>
    <s v="HOUSTON METHODIST WILLOWBROOK HOSPITAL"/>
    <s v="18220 STATE HIGHWAY 249"/>
    <s v="HOUSTON"/>
    <s v="TX"/>
    <s v="77070"/>
    <s v="HARRIS"/>
    <s v="(281) 477-1000"/>
    <s v="Acute Care Hospitals"/>
    <x v="1"/>
    <s v="Yes"/>
    <x v="3"/>
    <s v="5"/>
    <s v=""/>
    <n v="81"/>
    <n v="78"/>
    <n v="64"/>
    <n v="90"/>
    <n v="78"/>
    <n v="78"/>
    <s v="2590"/>
    <n v="15"/>
    <d v="2024-07-01T00:00:00"/>
    <d v="2025-06-30T00:00:00"/>
    <n v="14.8"/>
    <x v="0"/>
    <n v="3510"/>
    <n v="14"/>
    <n v="15.7"/>
    <s v=""/>
    <d v="2023-07-01T00:00:00"/>
    <d v="2024-06-30T00:00:00"/>
    <x v="0"/>
    <x v="0"/>
    <x v="0"/>
    <s v="High (4-5)"/>
    <n v="0"/>
    <n v="0"/>
    <n v="0"/>
    <n v="3"/>
    <n v="0"/>
    <x v="1"/>
    <x v="3"/>
    <n v="7"/>
    <n v="-9.9999999999999645E-2"/>
  </r>
  <r>
    <x v="183"/>
    <s v="MEMORIAL HERMANN KATY HOSPITAL"/>
    <s v="23900 KATY FREEWAY"/>
    <s v="KATY"/>
    <s v="TX"/>
    <s v="77494"/>
    <s v="FORT BEND"/>
    <s v="(281) 392-1111"/>
    <s v="Acute Care Hospitals"/>
    <x v="1"/>
    <s v="Yes"/>
    <x v="2"/>
    <s v="3"/>
    <s v=""/>
    <n v="76"/>
    <n v="75"/>
    <n v="54"/>
    <n v="86"/>
    <n v="69"/>
    <n v="70"/>
    <s v="654"/>
    <n v="13"/>
    <d v="2024-07-01T00:00:00"/>
    <d v="2025-06-30T00:00:00"/>
    <n v="15.2"/>
    <x v="0"/>
    <n v="1942"/>
    <n v="14.1"/>
    <n v="16.3"/>
    <s v=""/>
    <d v="2023-07-01T00:00:00"/>
    <d v="2024-06-30T00:00:00"/>
    <x v="0"/>
    <x v="0"/>
    <x v="0"/>
    <s v="Middle (3)"/>
    <n v="0"/>
    <n v="1"/>
    <n v="0"/>
    <n v="3"/>
    <n v="1"/>
    <x v="2"/>
    <x v="2"/>
    <n v="-1"/>
    <n v="0.29999999999999893"/>
  </r>
  <r>
    <x v="184"/>
    <s v="MEMORIAL HERMANN SUGAR LAND HOSPITAL"/>
    <s v="17500 W GRAND PARKWAY SOUTH"/>
    <s v="SUGAR LAND"/>
    <s v="TX"/>
    <s v="77479"/>
    <s v="FORT BEND"/>
    <s v="(281) 725-5000"/>
    <s v="Acute Care Hospitals"/>
    <x v="1"/>
    <s v="Yes"/>
    <x v="1"/>
    <s v="4"/>
    <s v=""/>
    <n v="73"/>
    <n v="77"/>
    <n v="56"/>
    <n v="86"/>
    <n v="71"/>
    <n v="69"/>
    <s v="721"/>
    <n v="13"/>
    <d v="2024-07-01T00:00:00"/>
    <d v="2025-06-30T00:00:00"/>
    <n v="16.100000000000001"/>
    <x v="0"/>
    <n v="1261"/>
    <n v="15"/>
    <n v="17.3"/>
    <s v=""/>
    <d v="2023-07-01T00:00:00"/>
    <d v="2024-06-30T00:00:00"/>
    <x v="0"/>
    <x v="0"/>
    <x v="0"/>
    <s v="High (4-5)"/>
    <n v="0"/>
    <n v="1"/>
    <n v="0"/>
    <n v="3"/>
    <n v="1"/>
    <x v="2"/>
    <x v="2"/>
    <n v="-2"/>
    <n v="1.2000000000000011"/>
  </r>
  <r>
    <x v="185"/>
    <s v="BAYLOR SCOTT &amp; WHITE HEART &amp; VASCULAR HOSPITAL - DALLAS"/>
    <s v="621 NORTH HALL STREET"/>
    <s v="DALLAS"/>
    <s v="TX"/>
    <s v="75226"/>
    <s v="DALLAS"/>
    <s v="(214) 820-0600"/>
    <s v="Acute Care Hospitals"/>
    <x v="0"/>
    <s v="Yes"/>
    <x v="3"/>
    <s v="5"/>
    <s v=""/>
    <n v="88"/>
    <n v="86"/>
    <n v="73"/>
    <n v="90"/>
    <n v="87"/>
    <n v="88"/>
    <s v="602"/>
    <n v="24"/>
    <d v="2024-07-01T00:00:00"/>
    <d v="2025-06-30T00:00:00"/>
    <n v="15.2"/>
    <x v="0"/>
    <n v="763"/>
    <n v="13.6"/>
    <n v="16.8"/>
    <s v=""/>
    <d v="2023-07-01T00:00:00"/>
    <d v="2024-06-30T00:00:00"/>
    <x v="0"/>
    <x v="0"/>
    <x v="0"/>
    <s v="High (4-5)"/>
    <n v="0"/>
    <n v="0"/>
    <n v="0"/>
    <n v="3"/>
    <n v="0"/>
    <x v="1"/>
    <x v="1"/>
    <n v="17"/>
    <n v="0.29999999999999893"/>
  </r>
  <r>
    <x v="186"/>
    <s v="BAYLOR SCOTT &amp; WHITE MEDICAL CENTER - FRISCO"/>
    <s v="5601 WARREN PARKWAY"/>
    <s v="FRISCO"/>
    <s v="TX"/>
    <s v="75034"/>
    <s v="DENTON"/>
    <s v="(214) 407-5000"/>
    <s v="Acute Care Hospitals"/>
    <x v="0"/>
    <s v="Yes"/>
    <x v="2"/>
    <s v="3"/>
    <s v=""/>
    <n v="81"/>
    <n v="84"/>
    <n v="62"/>
    <n v="87"/>
    <n v="82"/>
    <n v="79"/>
    <s v="272"/>
    <n v="11"/>
    <d v="2024-07-01T00:00:00"/>
    <d v="2025-06-30T00:00:00"/>
    <n v="15.1"/>
    <x v="0"/>
    <n v="174"/>
    <n v="12.7"/>
    <n v="18"/>
    <s v=""/>
    <d v="2023-07-01T00:00:00"/>
    <d v="2024-06-30T00:00:00"/>
    <x v="0"/>
    <x v="0"/>
    <x v="0"/>
    <s v="Middle (3)"/>
    <n v="0"/>
    <n v="0"/>
    <n v="0"/>
    <n v="3"/>
    <n v="0"/>
    <x v="1"/>
    <x v="3"/>
    <n v="8"/>
    <n v="0.19999999999999929"/>
  </r>
  <r>
    <x v="187"/>
    <s v="HARLINGEN MEDICAL CENTER"/>
    <s v="5501 SOUTH EXPRESSWAY 77"/>
    <s v="HARLINGEN"/>
    <s v="TX"/>
    <s v="78550"/>
    <s v="CAMERON"/>
    <s v="(956) 365-1000"/>
    <s v="Acute Care Hospitals"/>
    <x v="0"/>
    <s v="Yes"/>
    <x v="1"/>
    <s v="4"/>
    <s v=""/>
    <n v="78"/>
    <n v="71"/>
    <n v="57"/>
    <n v="79"/>
    <n v="72"/>
    <n v="76"/>
    <s v="416"/>
    <n v="41"/>
    <d v="2024-07-01T00:00:00"/>
    <d v="2025-06-30T00:00:00"/>
    <n v="14.6"/>
    <x v="0"/>
    <n v="699"/>
    <n v="13.2"/>
    <n v="16"/>
    <s v=""/>
    <d v="2023-07-01T00:00:00"/>
    <d v="2024-06-30T00:00:00"/>
    <x v="0"/>
    <x v="0"/>
    <x v="0"/>
    <s v="High (4-5)"/>
    <n v="0"/>
    <n v="0"/>
    <n v="0"/>
    <n v="3"/>
    <n v="0"/>
    <x v="1"/>
    <x v="3"/>
    <n v="5"/>
    <n v="-0.30000000000000071"/>
  </r>
  <r>
    <x v="188"/>
    <s v="SOUTH TEXAS SPINE AND SURGICAL HOSPITAL"/>
    <s v="18600 NORTH HARDY OAK BLVD"/>
    <s v="SAN ANTONIO"/>
    <s v="TX"/>
    <s v="78258"/>
    <s v="BEXAR"/>
    <s v="(210) 404-0800"/>
    <s v="Acute Care Hospitals"/>
    <x v="5"/>
    <s v="Yes"/>
    <x v="4"/>
    <s v="Not Available"/>
    <s v="16"/>
    <n v="88"/>
    <n v="86"/>
    <n v="71"/>
    <n v="89"/>
    <n v="85"/>
    <n v="85"/>
    <s v="351"/>
    <n v="42"/>
    <d v="2024-07-01T00:00:00"/>
    <d v="2025-06-30T00:00:00"/>
    <n v="14.4"/>
    <x v="0"/>
    <n v="414"/>
    <n v="11.8"/>
    <n v="17.600000000000001"/>
    <s v=""/>
    <d v="2023-07-01T00:00:00"/>
    <d v="2024-06-30T00:00:00"/>
    <x v="1"/>
    <x v="0"/>
    <x v="0"/>
    <s v="Unavailable"/>
    <s v=""/>
    <n v="0"/>
    <n v="0"/>
    <n v="2"/>
    <n v="0"/>
    <x v="3"/>
    <x v="1"/>
    <n v="14"/>
    <n v="-0.5"/>
  </r>
  <r>
    <x v="189"/>
    <s v="SUGAR LAND SURGICAL HOSPITAL LLP"/>
    <s v="16906 SOUTHWEST FREEWAY"/>
    <s v="SUGAR LAND"/>
    <s v="TX"/>
    <s v="77479"/>
    <s v="FORT BEND"/>
    <s v="(281) 243-1000"/>
    <s v="Acute Care Hospitals"/>
    <x v="5"/>
    <s v="Yes"/>
    <x v="4"/>
    <s v="Not Available"/>
    <s v="16"/>
    <n v="88"/>
    <n v="90"/>
    <n v="71"/>
    <n v="89"/>
    <n v="88"/>
    <n v="88"/>
    <s v="39"/>
    <n v="23"/>
    <d v="2024-07-01T00:00:00"/>
    <d v="2025-06-30T00:00:00"/>
    <m/>
    <x v="3"/>
    <m/>
    <m/>
    <m/>
    <s v="1"/>
    <d v="2023-07-01T00:00:00"/>
    <d v="2024-06-30T00:00:00"/>
    <x v="1"/>
    <x v="0"/>
    <x v="1"/>
    <s v="Unavailable"/>
    <s v=""/>
    <n v="0"/>
    <s v=""/>
    <n v="1"/>
    <n v="0"/>
    <x v="3"/>
    <x v="1"/>
    <n v="17"/>
    <s v=""/>
  </r>
  <r>
    <x v="190"/>
    <s v="ST LUKE'S THE WOODLANDS HOSPITAL"/>
    <s v="17200 ST LUKE'S WAY"/>
    <s v="THE WOODLANDS"/>
    <s v="TX"/>
    <s v="77384"/>
    <s v="MONTGOMERY"/>
    <s v="(936) 266-4050"/>
    <s v="Acute Care Hospitals"/>
    <x v="1"/>
    <s v="Yes"/>
    <x v="2"/>
    <s v="3"/>
    <s v=""/>
    <n v="83"/>
    <n v="79"/>
    <n v="62"/>
    <n v="86"/>
    <n v="78"/>
    <n v="78"/>
    <s v="510"/>
    <n v="13"/>
    <d v="2024-07-01T00:00:00"/>
    <d v="2025-06-30T00:00:00"/>
    <n v="14.6"/>
    <x v="0"/>
    <n v="1581"/>
    <n v="13.5"/>
    <n v="15.7"/>
    <s v=""/>
    <d v="2023-07-01T00:00:00"/>
    <d v="2024-06-30T00:00:00"/>
    <x v="0"/>
    <x v="0"/>
    <x v="0"/>
    <s v="Middle (3)"/>
    <n v="0"/>
    <n v="0"/>
    <n v="0"/>
    <n v="3"/>
    <n v="0"/>
    <x v="1"/>
    <x v="3"/>
    <n v="7"/>
    <n v="-0.30000000000000071"/>
  </r>
  <r>
    <x v="191"/>
    <s v="BAYLOR SCOTT &amp; WHITE TEXAS SPINE &amp; JOINT HOSPITAL"/>
    <s v="1814 ROSELAND BOULEVARD"/>
    <s v="TYLER"/>
    <s v="TX"/>
    <s v="75701"/>
    <s v="SMITH"/>
    <s v="(903) 525-3300"/>
    <s v="Acute Care Hospitals"/>
    <x v="5"/>
    <s v="Yes"/>
    <x v="3"/>
    <s v="5"/>
    <s v=""/>
    <n v="87"/>
    <n v="87"/>
    <n v="65"/>
    <n v="90"/>
    <n v="83"/>
    <n v="87"/>
    <s v="407"/>
    <n v="43"/>
    <d v="2024-07-01T00:00:00"/>
    <d v="2025-06-30T00:00:00"/>
    <n v="13.4"/>
    <x v="0"/>
    <n v="571"/>
    <n v="11"/>
    <n v="16.100000000000001"/>
    <s v=""/>
    <d v="2023-07-01T00:00:00"/>
    <d v="2024-06-30T00:00:00"/>
    <x v="0"/>
    <x v="0"/>
    <x v="0"/>
    <s v="High (4-5)"/>
    <n v="0"/>
    <n v="0"/>
    <n v="0"/>
    <n v="3"/>
    <n v="0"/>
    <x v="1"/>
    <x v="1"/>
    <n v="16"/>
    <n v="-1.5"/>
  </r>
  <r>
    <x v="192"/>
    <s v="ASCENSION SETON  SOUTHWEST"/>
    <s v="7900 FM 1826"/>
    <s v="AUSTIN"/>
    <s v="TX"/>
    <s v="78737"/>
    <s v="HAYS"/>
    <s v="(512) 324-9000"/>
    <s v="Acute Care Hospitals"/>
    <x v="1"/>
    <s v="Yes"/>
    <x v="4"/>
    <s v="Not Available"/>
    <s v="16"/>
    <n v="91"/>
    <n v="87"/>
    <n v="77"/>
    <n v="91"/>
    <n v="86"/>
    <n v="87"/>
    <s v="51"/>
    <n v="22"/>
    <d v="2024-07-01T00:00:00"/>
    <d v="2025-06-30T00:00:00"/>
    <n v="14.8"/>
    <x v="0"/>
    <n v="33"/>
    <n v="13.2"/>
    <n v="17.600000000000001"/>
    <s v="29"/>
    <d v="2023-07-01T00:00:00"/>
    <d v="2024-06-30T00:00:00"/>
    <x v="1"/>
    <x v="0"/>
    <x v="0"/>
    <s v="Unavailable"/>
    <s v=""/>
    <n v="0"/>
    <n v="0"/>
    <n v="2"/>
    <n v="0"/>
    <x v="3"/>
    <x v="1"/>
    <n v="16"/>
    <n v="-9.9999999999999645E-2"/>
  </r>
  <r>
    <x v="193"/>
    <s v="ASCENSION SETON NORTHWEST"/>
    <s v="11113 RESEARCH BOULEVARD"/>
    <s v="AUSTIN"/>
    <s v="TX"/>
    <s v="78759"/>
    <s v="TRAVIS"/>
    <s v="(512) 324-6000"/>
    <s v="Acute Care Hospitals"/>
    <x v="1"/>
    <s v="Yes"/>
    <x v="1"/>
    <s v="4"/>
    <s v="29"/>
    <n v="77"/>
    <n v="76"/>
    <n v="56"/>
    <n v="83"/>
    <n v="71"/>
    <n v="70"/>
    <s v="384"/>
    <n v="14"/>
    <d v="2024-07-01T00:00:00"/>
    <d v="2025-06-30T00:00:00"/>
    <n v="14.4"/>
    <x v="0"/>
    <n v="268"/>
    <n v="13"/>
    <n v="16.3"/>
    <s v="29"/>
    <d v="2023-07-01T00:00:00"/>
    <d v="2024-06-30T00:00:00"/>
    <x v="0"/>
    <x v="0"/>
    <x v="0"/>
    <s v="High (4-5)"/>
    <n v="0"/>
    <n v="1"/>
    <n v="0"/>
    <n v="3"/>
    <n v="1"/>
    <x v="2"/>
    <x v="2"/>
    <n v="-1"/>
    <n v="-0.5"/>
  </r>
  <r>
    <x v="194"/>
    <s v="DOCTORS HOSPTAL AT RENAISSANCE"/>
    <s v="5501 SOUTH MCCOLL"/>
    <s v="EDINBURG"/>
    <s v="TX"/>
    <s v="78539"/>
    <s v="HIDALGO"/>
    <s v="(956) 362-8677"/>
    <s v="Acute Care Hospitals"/>
    <x v="5"/>
    <s v="Yes"/>
    <x v="2"/>
    <s v="3"/>
    <s v=""/>
    <n v="74"/>
    <n v="78"/>
    <n v="56"/>
    <n v="85"/>
    <n v="70"/>
    <n v="71"/>
    <s v="3274"/>
    <n v="20"/>
    <d v="2024-07-01T00:00:00"/>
    <d v="2025-06-30T00:00:00"/>
    <n v="15.6"/>
    <x v="0"/>
    <n v="1153"/>
    <n v="14.5"/>
    <n v="17"/>
    <s v=""/>
    <d v="2023-07-01T00:00:00"/>
    <d v="2024-06-30T00:00:00"/>
    <x v="0"/>
    <x v="0"/>
    <x v="0"/>
    <s v="Middle (3)"/>
    <n v="0"/>
    <n v="0"/>
    <n v="0"/>
    <n v="3"/>
    <n v="0"/>
    <x v="1"/>
    <x v="2"/>
    <n v="0"/>
    <n v="0.69999999999999929"/>
  </r>
  <r>
    <x v="195"/>
    <s v="USMD HOSPITAL AT ARLINGTON L P"/>
    <s v="801 W INTERSTATE 20"/>
    <s v="ARLINGTON"/>
    <s v="TX"/>
    <s v="76017"/>
    <s v="TARRANT"/>
    <s v="(817) 472-3400"/>
    <s v="Acute Care Hospitals"/>
    <x v="5"/>
    <s v="Yes"/>
    <x v="4"/>
    <s v="Not Available"/>
    <s v="16"/>
    <n v="75"/>
    <n v="81"/>
    <n v="60"/>
    <n v="79"/>
    <n v="67"/>
    <n v="66"/>
    <s v="133"/>
    <n v="25"/>
    <d v="2024-07-01T00:00:00"/>
    <d v="2025-06-30T00:00:00"/>
    <n v="14.8"/>
    <x v="0"/>
    <n v="83"/>
    <n v="12.4"/>
    <n v="17.600000000000001"/>
    <s v=""/>
    <d v="2023-07-01T00:00:00"/>
    <d v="2024-06-30T00:00:00"/>
    <x v="1"/>
    <x v="0"/>
    <x v="0"/>
    <s v="Unavailable"/>
    <s v=""/>
    <n v="1"/>
    <n v="0"/>
    <n v="2"/>
    <n v="1"/>
    <x v="3"/>
    <x v="0"/>
    <n v="-5"/>
    <n v="-9.9999999999999645E-2"/>
  </r>
  <r>
    <x v="196"/>
    <s v="BAYLOR SURGICAL HOSPITAL AT LAS COLINAS"/>
    <s v="400 WEST LYNDON B JOHNSON SUITE 101B"/>
    <s v="IRVING"/>
    <s v="TX"/>
    <s v="75063"/>
    <s v="DALLAS"/>
    <s v="(972) 868-4000"/>
    <s v="Acute Care Hospitals"/>
    <x v="0"/>
    <s v="Yes"/>
    <x v="4"/>
    <s v="Not Available"/>
    <s v="16"/>
    <n v="78"/>
    <n v="82"/>
    <n v="55"/>
    <n v="88"/>
    <n v="73"/>
    <n v="76"/>
    <s v="192"/>
    <n v="31"/>
    <d v="2024-07-01T00:00:00"/>
    <d v="2025-06-30T00:00:00"/>
    <n v="14.9"/>
    <x v="0"/>
    <n v="105"/>
    <n v="11.9"/>
    <n v="18.7"/>
    <s v=""/>
    <d v="2023-07-01T00:00:00"/>
    <d v="2024-06-30T00:00:00"/>
    <x v="1"/>
    <x v="0"/>
    <x v="0"/>
    <s v="Unavailable"/>
    <s v=""/>
    <n v="0"/>
    <n v="0"/>
    <n v="2"/>
    <n v="0"/>
    <x v="3"/>
    <x v="3"/>
    <n v="5"/>
    <n v="0"/>
  </r>
  <r>
    <x v="197"/>
    <s v="QUAIL CREEK SURGICAL HOSPITAL"/>
    <s v="6819 PLUM CREEK"/>
    <s v="AMARILLO"/>
    <s v="TX"/>
    <s v="79124"/>
    <s v="POTTER"/>
    <s v="(806) 354-6100"/>
    <s v="Acute Care Hospitals"/>
    <x v="0"/>
    <s v="Yes"/>
    <x v="4"/>
    <s v="Not Available"/>
    <s v="16"/>
    <n v="88"/>
    <n v="85"/>
    <n v="74"/>
    <n v="91"/>
    <n v="90"/>
    <n v="90"/>
    <s v="260"/>
    <n v="44"/>
    <d v="2024-07-01T00:00:00"/>
    <d v="2025-06-30T00:00:00"/>
    <n v="14.3"/>
    <x v="0"/>
    <n v="181"/>
    <n v="11.7"/>
    <n v="17.8"/>
    <s v=""/>
    <d v="2023-07-01T00:00:00"/>
    <d v="2024-06-30T00:00:00"/>
    <x v="1"/>
    <x v="0"/>
    <x v="0"/>
    <s v="Unavailable"/>
    <s v=""/>
    <n v="0"/>
    <n v="0"/>
    <n v="2"/>
    <n v="0"/>
    <x v="3"/>
    <x v="1"/>
    <n v="19"/>
    <n v="-0.59999999999999964"/>
  </r>
  <r>
    <x v="198"/>
    <s v="LUBBOCK HEART HOSPITAL LP"/>
    <s v="4810 NORTH LOOP 289"/>
    <s v="LUBBOCK"/>
    <s v="TX"/>
    <s v="79416"/>
    <s v="LUBBOCK"/>
    <s v="(806) 687-7777"/>
    <s v="Acute Care Hospitals"/>
    <x v="2"/>
    <s v="Yes"/>
    <x v="0"/>
    <s v="2"/>
    <s v=""/>
    <n v="81"/>
    <n v="82"/>
    <n v="62"/>
    <n v="84"/>
    <n v="82"/>
    <n v="83"/>
    <s v="394"/>
    <n v="33"/>
    <d v="2024-07-01T00:00:00"/>
    <d v="2025-06-30T00:00:00"/>
    <n v="15.4"/>
    <x v="0"/>
    <n v="512"/>
    <n v="13.8"/>
    <n v="17.2"/>
    <s v=""/>
    <d v="2023-07-01T00:00:00"/>
    <d v="2024-06-30T00:00:00"/>
    <x v="0"/>
    <x v="0"/>
    <x v="0"/>
    <s v="Low (1-2)"/>
    <n v="1"/>
    <n v="0"/>
    <n v="0"/>
    <n v="3"/>
    <n v="1"/>
    <x v="2"/>
    <x v="1"/>
    <n v="12"/>
    <n v="0.5"/>
  </r>
  <r>
    <x v="199"/>
    <s v="BAYLOR SCOTT AND WHITE SURGICAL HOSPITAL FORTWORTH"/>
    <s v="1800 PARK PLACE AVENUE"/>
    <s v="FORT WORTH"/>
    <s v="TX"/>
    <s v="76110"/>
    <s v="TARRANT"/>
    <s v="(682) 703-5600"/>
    <s v="Acute Care Hospitals"/>
    <x v="5"/>
    <s v="Yes"/>
    <x v="4"/>
    <s v="Not Available"/>
    <s v="16"/>
    <n v="78"/>
    <n v="85"/>
    <n v="62"/>
    <n v="88"/>
    <n v="77"/>
    <n v="76"/>
    <s v="311"/>
    <n v="33"/>
    <d v="2024-07-01T00:00:00"/>
    <d v="2025-06-30T00:00:00"/>
    <n v="14.8"/>
    <x v="0"/>
    <n v="342"/>
    <n v="12.3"/>
    <n v="17.8"/>
    <s v=""/>
    <d v="2023-07-01T00:00:00"/>
    <d v="2024-06-30T00:00:00"/>
    <x v="1"/>
    <x v="0"/>
    <x v="0"/>
    <s v="Unavailable"/>
    <s v=""/>
    <n v="0"/>
    <n v="0"/>
    <n v="2"/>
    <n v="0"/>
    <x v="3"/>
    <x v="3"/>
    <n v="5"/>
    <n v="-9.9999999999999645E-2"/>
  </r>
  <r>
    <x v="200"/>
    <s v="BAYLOR MEDICAL CENTER AT TROPHY CLUB"/>
    <s v="2850  E STATE HIGHWAY 114"/>
    <s v="TROPHY CLUB"/>
    <s v="TX"/>
    <s v="76262"/>
    <s v="DENTON"/>
    <s v="(817) 837-4600"/>
    <s v="Acute Care Hospitals"/>
    <x v="0"/>
    <s v="Yes"/>
    <x v="4"/>
    <s v="Not Available"/>
    <s v="16"/>
    <n v="76"/>
    <n v="82"/>
    <n v="55"/>
    <n v="87"/>
    <n v="72"/>
    <n v="73"/>
    <s v="120"/>
    <n v="22"/>
    <d v="2024-07-01T00:00:00"/>
    <d v="2025-06-30T00:00:00"/>
    <n v="14.6"/>
    <x v="0"/>
    <n v="74"/>
    <n v="11.7"/>
    <n v="18"/>
    <s v=""/>
    <d v="2023-07-01T00:00:00"/>
    <d v="2024-06-30T00:00:00"/>
    <x v="1"/>
    <x v="0"/>
    <x v="0"/>
    <s v="Unavailable"/>
    <s v=""/>
    <n v="0"/>
    <n v="0"/>
    <n v="2"/>
    <n v="0"/>
    <x v="3"/>
    <x v="3"/>
    <n v="2"/>
    <n v="-0.30000000000000071"/>
  </r>
  <r>
    <x v="201"/>
    <s v="BAYLOR SCOTT &amp;  WHITE MEDICAL CENTER - CENTENNIAL"/>
    <s v="12505 LEBANON ROAD"/>
    <s v="FRISCO"/>
    <s v="TX"/>
    <s v="75035"/>
    <s v="COLLIN"/>
    <s v="(972) 963-3333"/>
    <s v="Acute Care Hospitals"/>
    <x v="4"/>
    <s v="Yes"/>
    <x v="3"/>
    <s v="5"/>
    <s v=""/>
    <n v="79"/>
    <n v="79"/>
    <n v="66"/>
    <n v="88"/>
    <n v="75"/>
    <n v="75"/>
    <s v="430"/>
    <n v="12"/>
    <d v="2024-07-01T00:00:00"/>
    <d v="2025-06-30T00:00:00"/>
    <n v="13.9"/>
    <x v="0"/>
    <n v="831"/>
    <n v="12.6"/>
    <n v="15.3"/>
    <s v=""/>
    <d v="2023-07-01T00:00:00"/>
    <d v="2024-06-30T00:00:00"/>
    <x v="0"/>
    <x v="0"/>
    <x v="0"/>
    <s v="High (4-5)"/>
    <n v="0"/>
    <n v="0"/>
    <n v="0"/>
    <n v="3"/>
    <n v="0"/>
    <x v="1"/>
    <x v="3"/>
    <n v="4"/>
    <n v="-1"/>
  </r>
  <r>
    <x v="202"/>
    <s v="TEXAS HEALTH HARRIS METHODIST HOSPITAL SOUTHLAKE"/>
    <s v="1545 E SOUTHLAKE BLVD"/>
    <s v="SOUTHLAKE"/>
    <s v="TX"/>
    <s v="76092"/>
    <s v="TARRANT"/>
    <s v="(817) 748-8700"/>
    <s v="Acute Care Hospitals"/>
    <x v="0"/>
    <s v="Yes"/>
    <x v="4"/>
    <s v="Not Available"/>
    <s v="16"/>
    <n v="88"/>
    <n v="85"/>
    <n v="73"/>
    <n v="90"/>
    <n v="88"/>
    <n v="90"/>
    <s v="134"/>
    <n v="40"/>
    <d v="2024-07-01T00:00:00"/>
    <d v="2025-06-30T00:00:00"/>
    <n v="15"/>
    <x v="0"/>
    <n v="90"/>
    <n v="12"/>
    <n v="18.600000000000001"/>
    <s v=""/>
    <d v="2023-07-01T00:00:00"/>
    <d v="2024-06-30T00:00:00"/>
    <x v="1"/>
    <x v="0"/>
    <x v="0"/>
    <s v="Unavailable"/>
    <s v=""/>
    <n v="0"/>
    <n v="0"/>
    <n v="2"/>
    <n v="0"/>
    <x v="3"/>
    <x v="1"/>
    <n v="19"/>
    <n v="9.9999999999999645E-2"/>
  </r>
  <r>
    <x v="203"/>
    <s v="TEXAS INSTITUTE FOR SURGERY AT PRESBYTERIAN HOSPIT"/>
    <s v="7115 GREENVILLE AVENUE SUITE 100"/>
    <s v="DALLAS"/>
    <s v="TX"/>
    <s v="75231"/>
    <s v="DALLAS"/>
    <s v="(214) 647-5300"/>
    <s v="Acute Care Hospitals"/>
    <x v="5"/>
    <s v="Yes"/>
    <x v="4"/>
    <s v="Not Available"/>
    <s v="16"/>
    <n v="91"/>
    <n v="87"/>
    <n v="68"/>
    <n v="91"/>
    <n v="87"/>
    <n v="89"/>
    <s v="123"/>
    <n v="43"/>
    <d v="2024-07-01T00:00:00"/>
    <d v="2025-06-30T00:00:00"/>
    <n v="14.6"/>
    <x v="0"/>
    <n v="105"/>
    <n v="11.8"/>
    <n v="18.3"/>
    <s v=""/>
    <d v="2023-07-01T00:00:00"/>
    <d v="2024-06-30T00:00:00"/>
    <x v="1"/>
    <x v="0"/>
    <x v="0"/>
    <s v="Unavailable"/>
    <s v=""/>
    <n v="0"/>
    <n v="0"/>
    <n v="2"/>
    <n v="0"/>
    <x v="3"/>
    <x v="1"/>
    <n v="18"/>
    <n v="-0.30000000000000071"/>
  </r>
  <r>
    <x v="204"/>
    <s v="BAYLOR SCOTT &amp; WHITE MEDICAL CENTER PLANO"/>
    <s v="4700 ALLIANCE BOULEVARD"/>
    <s v="PLANO"/>
    <s v="TX"/>
    <s v="75093"/>
    <s v="COLLIN"/>
    <s v="(469) 814-2000"/>
    <s v="Acute Care Hospitals"/>
    <x v="4"/>
    <s v="Yes"/>
    <x v="1"/>
    <s v="4"/>
    <s v=""/>
    <n v="81"/>
    <n v="82"/>
    <n v="64"/>
    <n v="88"/>
    <n v="81"/>
    <n v="83"/>
    <s v="734"/>
    <n v="21"/>
    <d v="2024-07-01T00:00:00"/>
    <d v="2025-06-30T00:00:00"/>
    <n v="15.1"/>
    <x v="0"/>
    <n v="2699"/>
    <n v="14.2"/>
    <n v="16.2"/>
    <s v=""/>
    <d v="2023-07-01T00:00:00"/>
    <d v="2024-06-30T00:00:00"/>
    <x v="0"/>
    <x v="0"/>
    <x v="0"/>
    <s v="High (4-5)"/>
    <n v="0"/>
    <n v="0"/>
    <n v="0"/>
    <n v="3"/>
    <n v="0"/>
    <x v="1"/>
    <x v="1"/>
    <n v="12"/>
    <n v="0.19999999999999929"/>
  </r>
  <r>
    <x v="205"/>
    <s v="TEXAS HEALTH CENTER FOR DIAGNOSTICS &amp; SURGERY PLAN"/>
    <s v="6020 W PARKER ROAD"/>
    <s v="PLANO"/>
    <s v="TX"/>
    <s v="75093"/>
    <s v="COLLIN"/>
    <s v="(972) 403-2700"/>
    <s v="Acute Care Hospitals"/>
    <x v="5"/>
    <s v="Yes"/>
    <x v="4"/>
    <s v="Not Available"/>
    <s v="16"/>
    <n v="90"/>
    <n v="86"/>
    <n v="77"/>
    <n v="86"/>
    <n v="89"/>
    <n v="88"/>
    <s v="103"/>
    <n v="31"/>
    <d v="2024-07-01T00:00:00"/>
    <d v="2025-06-30T00:00:00"/>
    <n v="15"/>
    <x v="0"/>
    <n v="43"/>
    <n v="11.8"/>
    <n v="18.600000000000001"/>
    <s v=""/>
    <d v="2023-07-01T00:00:00"/>
    <d v="2024-06-30T00:00:00"/>
    <x v="1"/>
    <x v="0"/>
    <x v="0"/>
    <s v="Unavailable"/>
    <s v=""/>
    <n v="0"/>
    <n v="0"/>
    <n v="2"/>
    <n v="0"/>
    <x v="3"/>
    <x v="1"/>
    <n v="17"/>
    <n v="9.9999999999999645E-2"/>
  </r>
  <r>
    <x v="206"/>
    <s v="THE HEART HOSPITAL BAYLOR DENTON"/>
    <s v="2801 SOUTH MAYHILL ROAD"/>
    <s v="DENTON"/>
    <s v="TX"/>
    <s v="76208"/>
    <s v="DENTON"/>
    <s v="(940) 220-0600"/>
    <s v="Acute Care Hospitals"/>
    <x v="5"/>
    <s v="Yes"/>
    <x v="3"/>
    <s v="5"/>
    <s v=""/>
    <n v="86"/>
    <n v="84"/>
    <n v="66"/>
    <n v="92"/>
    <n v="88"/>
    <n v="86"/>
    <s v="318"/>
    <n v="35"/>
    <d v="2024-07-01T00:00:00"/>
    <d v="2025-06-30T00:00:00"/>
    <n v="15"/>
    <x v="0"/>
    <n v="472"/>
    <n v="13.2"/>
    <n v="16.899999999999999"/>
    <s v=""/>
    <d v="2023-07-01T00:00:00"/>
    <d v="2024-06-30T00:00:00"/>
    <x v="0"/>
    <x v="0"/>
    <x v="0"/>
    <s v="High (4-5)"/>
    <n v="0"/>
    <n v="0"/>
    <n v="0"/>
    <n v="3"/>
    <n v="0"/>
    <x v="1"/>
    <x v="1"/>
    <n v="15"/>
    <n v="9.9999999999999645E-2"/>
  </r>
  <r>
    <x v="207"/>
    <s v="BAYLOR SCOTT WHITE THE HEART HOSPITAL CORINTH"/>
    <s v="2813 S MAYHILL ROAD"/>
    <s v="DENTON"/>
    <s v="TX"/>
    <s v="76208"/>
    <s v="DENTON"/>
    <s v="(940) 320-2300"/>
    <s v="Acute Care Hospitals"/>
    <x v="0"/>
    <s v="Yes"/>
    <x v="4"/>
    <s v="Not Available"/>
    <s v="5"/>
    <m/>
    <m/>
    <m/>
    <m/>
    <m/>
    <m/>
    <s v="Not Available"/>
    <m/>
    <d v="2024-07-01T00:00:00"/>
    <d v="2025-06-30T00:00:00"/>
    <m/>
    <x v="3"/>
    <m/>
    <m/>
    <m/>
    <s v="5"/>
    <d v="2023-07-01T00:00:00"/>
    <d v="2024-06-30T00:00:00"/>
    <x v="1"/>
    <x v="1"/>
    <x v="1"/>
    <s v="Unavailable"/>
    <s v=""/>
    <s v=""/>
    <s v=""/>
    <n v="0"/>
    <n v="0"/>
    <x v="3"/>
    <x v="4"/>
    <s v=""/>
    <s v=""/>
  </r>
  <r>
    <x v="208"/>
    <s v="MEMORIAL HERMANN SURGICAL HOSPITAL KINGWOOD"/>
    <s v="300 KINGWOOD MEDICAL DRIVE"/>
    <s v="KINGWOOD"/>
    <s v="TX"/>
    <s v="77339"/>
    <s v="HARRIS"/>
    <s v="(281) 312-4000"/>
    <s v="Acute Care Hospitals"/>
    <x v="0"/>
    <s v="Yes"/>
    <x v="4"/>
    <s v="Not Available"/>
    <s v="16"/>
    <n v="84"/>
    <n v="85"/>
    <n v="48"/>
    <n v="88"/>
    <n v="76"/>
    <n v="79"/>
    <s v="37"/>
    <n v="23"/>
    <d v="2024-07-01T00:00:00"/>
    <d v="2025-06-30T00:00:00"/>
    <n v="14.8"/>
    <x v="0"/>
    <n v="54"/>
    <n v="11.8"/>
    <n v="18.8"/>
    <s v=""/>
    <d v="2023-07-01T00:00:00"/>
    <d v="2024-06-30T00:00:00"/>
    <x v="1"/>
    <x v="0"/>
    <x v="0"/>
    <s v="Unavailable"/>
    <s v=""/>
    <n v="0"/>
    <n v="0"/>
    <n v="2"/>
    <n v="0"/>
    <x v="3"/>
    <x v="3"/>
    <n v="8"/>
    <n v="-9.9999999999999645E-2"/>
  </r>
  <r>
    <x v="209"/>
    <s v="THE HOSPITAL AT WESTLAKE MEDICAL CENTER"/>
    <s v="5656 BEE CAVES ROAD, SUITE M-302"/>
    <s v="AUSTIN"/>
    <s v="TX"/>
    <s v="78746"/>
    <s v="TRAVIS"/>
    <s v="(512) 327-0000"/>
    <s v="Acute Care Hospitals"/>
    <x v="5"/>
    <s v="Yes"/>
    <x v="4"/>
    <s v="Not Available"/>
    <s v="16"/>
    <n v="76"/>
    <n v="78"/>
    <n v="66"/>
    <n v="83"/>
    <n v="64"/>
    <n v="68"/>
    <s v="124"/>
    <n v="32"/>
    <d v="2024-07-01T00:00:00"/>
    <d v="2025-06-30T00:00:00"/>
    <n v="14.2"/>
    <x v="0"/>
    <n v="190"/>
    <n v="11.6"/>
    <n v="17.5"/>
    <s v=""/>
    <d v="2023-07-01T00:00:00"/>
    <d v="2024-06-30T00:00:00"/>
    <x v="1"/>
    <x v="0"/>
    <x v="0"/>
    <s v="Unavailable"/>
    <s v=""/>
    <n v="1"/>
    <n v="0"/>
    <n v="2"/>
    <n v="1"/>
    <x v="3"/>
    <x v="2"/>
    <n v="-3"/>
    <n v="-0.70000000000000107"/>
  </r>
  <r>
    <x v="210"/>
    <s v="MEMORIAL HERMANN HOUSTON PHYSICIANS HOSPITAL"/>
    <s v="333 N TEXAS AVENUE, SUITE 1000"/>
    <s v="WEBSTER"/>
    <s v="TX"/>
    <s v="77598"/>
    <s v="HARRIS"/>
    <s v="(281) 335-1700"/>
    <s v="Acute Care Hospitals"/>
    <x v="5"/>
    <s v="Yes"/>
    <x v="4"/>
    <s v="Not Available"/>
    <s v="16"/>
    <n v="88"/>
    <n v="84"/>
    <n v="76"/>
    <n v="87"/>
    <n v="86"/>
    <n v="88"/>
    <s v="193"/>
    <n v="36"/>
    <d v="2024-07-01T00:00:00"/>
    <d v="2025-06-30T00:00:00"/>
    <n v="13.8"/>
    <x v="0"/>
    <n v="241"/>
    <n v="11.3"/>
    <n v="17"/>
    <s v=""/>
    <d v="2023-07-01T00:00:00"/>
    <d v="2024-06-30T00:00:00"/>
    <x v="1"/>
    <x v="0"/>
    <x v="0"/>
    <s v="Unavailable"/>
    <s v=""/>
    <n v="0"/>
    <n v="0"/>
    <n v="2"/>
    <n v="0"/>
    <x v="3"/>
    <x v="1"/>
    <n v="17"/>
    <n v="-1.0999999999999996"/>
  </r>
  <r>
    <x v="211"/>
    <s v="MAYHILL HOSPITAL"/>
    <s v="2809 SOUTH MAYHILL ROAD"/>
    <s v="DENTON"/>
    <s v="TX"/>
    <s v="76208"/>
    <s v="DENTON"/>
    <s v="(940) 239-3000"/>
    <s v="Acute Care Hospitals"/>
    <x v="0"/>
    <s v="No"/>
    <x v="4"/>
    <s v="Not Available"/>
    <s v="16"/>
    <m/>
    <m/>
    <m/>
    <m/>
    <m/>
    <m/>
    <s v="Not Available"/>
    <m/>
    <d v="2024-07-01T00:00:00"/>
    <d v="2025-06-30T00:00:00"/>
    <m/>
    <x v="3"/>
    <m/>
    <m/>
    <m/>
    <s v="5"/>
    <d v="2023-07-01T00:00:00"/>
    <d v="2024-06-30T00:00:00"/>
    <x v="1"/>
    <x v="1"/>
    <x v="1"/>
    <s v="Unavailable"/>
    <s v=""/>
    <s v=""/>
    <s v=""/>
    <n v="0"/>
    <n v="0"/>
    <x v="3"/>
    <x v="4"/>
    <s v=""/>
    <s v=""/>
  </r>
  <r>
    <x v="212"/>
    <s v="METHODIST MANSFIELD MEDICAL CENTER"/>
    <s v="2700 E BROAD STREET"/>
    <s v="MANSFIELD"/>
    <s v="TX"/>
    <s v="76063"/>
    <s v="TARRANT"/>
    <s v="(682) 622-2059"/>
    <s v="Acute Care Hospitals"/>
    <x v="1"/>
    <s v="Yes"/>
    <x v="1"/>
    <s v="4"/>
    <s v=""/>
    <n v="82"/>
    <n v="80"/>
    <n v="63"/>
    <n v="89"/>
    <n v="81"/>
    <n v="83"/>
    <s v="1482"/>
    <n v="18"/>
    <d v="2024-07-01T00:00:00"/>
    <d v="2025-06-30T00:00:00"/>
    <n v="15"/>
    <x v="0"/>
    <n v="1690"/>
    <n v="13.9"/>
    <n v="16.2"/>
    <s v=""/>
    <d v="2023-07-01T00:00:00"/>
    <d v="2024-06-30T00:00:00"/>
    <x v="0"/>
    <x v="0"/>
    <x v="0"/>
    <s v="High (4-5)"/>
    <n v="0"/>
    <n v="0"/>
    <n v="0"/>
    <n v="3"/>
    <n v="0"/>
    <x v="1"/>
    <x v="1"/>
    <n v="12"/>
    <n v="9.9999999999999645E-2"/>
  </r>
  <r>
    <x v="213"/>
    <s v="BAYLOR SCOTT &amp; WHITE THE HEART HOSPITAL PLANO"/>
    <s v="1100 ALLIED DRIVE"/>
    <s v="PLANO"/>
    <s v="TX"/>
    <s v="75093"/>
    <s v="COLLIN"/>
    <s v="(469) 814-3278"/>
    <s v="Acute Care Hospitals"/>
    <x v="5"/>
    <s v="Yes"/>
    <x v="1"/>
    <s v="4"/>
    <s v=""/>
    <n v="85"/>
    <n v="84"/>
    <n v="68"/>
    <n v="90"/>
    <n v="88"/>
    <n v="89"/>
    <s v="1917"/>
    <n v="31"/>
    <d v="2024-07-01T00:00:00"/>
    <d v="2025-06-30T00:00:00"/>
    <n v="14.1"/>
    <x v="0"/>
    <n v="2452"/>
    <n v="13"/>
    <n v="15.3"/>
    <s v=""/>
    <d v="2023-07-01T00:00:00"/>
    <d v="2024-06-30T00:00:00"/>
    <x v="0"/>
    <x v="0"/>
    <x v="0"/>
    <s v="High (4-5)"/>
    <n v="0"/>
    <n v="0"/>
    <n v="0"/>
    <n v="3"/>
    <n v="0"/>
    <x v="1"/>
    <x v="1"/>
    <n v="18"/>
    <n v="-0.80000000000000071"/>
  </r>
  <r>
    <x v="214"/>
    <s v="ST LUKE'S PATIENTS MEDICAL CENTER"/>
    <s v="4600 EAST SAM HOUSTON PARKWAY SOUTH"/>
    <s v="PASADENA"/>
    <s v="TX"/>
    <s v="77505"/>
    <s v="HARRIS"/>
    <s v="(281) 487-0700"/>
    <s v="Acute Care Hospitals"/>
    <x v="0"/>
    <s v="Yes"/>
    <x v="2"/>
    <s v="3"/>
    <s v=""/>
    <n v="75"/>
    <n v="72"/>
    <n v="57"/>
    <n v="81"/>
    <n v="68"/>
    <n v="65"/>
    <s v="389"/>
    <n v="17"/>
    <d v="2024-07-01T00:00:00"/>
    <d v="2025-06-30T00:00:00"/>
    <n v="14.6"/>
    <x v="0"/>
    <n v="389"/>
    <n v="13.1"/>
    <n v="16.3"/>
    <s v=""/>
    <d v="2023-07-01T00:00:00"/>
    <d v="2024-06-30T00:00:00"/>
    <x v="0"/>
    <x v="0"/>
    <x v="0"/>
    <s v="Middle (3)"/>
    <n v="0"/>
    <n v="1"/>
    <n v="0"/>
    <n v="3"/>
    <n v="1"/>
    <x v="2"/>
    <x v="0"/>
    <n v="-6"/>
    <n v="-0.30000000000000071"/>
  </r>
  <r>
    <x v="215"/>
    <s v="BAYLOR SCOTT &amp; WHITE MEDICAL CENTER - ROUND ROCK"/>
    <s v="300 UNIVERSITY BLVD"/>
    <s v="ROUND ROCK"/>
    <s v="TX"/>
    <s v="78664"/>
    <s v="WILLIAMSON"/>
    <s v="(512) 509-0401"/>
    <s v="Acute Care Hospitals"/>
    <x v="1"/>
    <s v="Yes"/>
    <x v="1"/>
    <s v="4"/>
    <s v=""/>
    <n v="81"/>
    <n v="80"/>
    <n v="62"/>
    <n v="89"/>
    <n v="77"/>
    <n v="78"/>
    <s v="1659"/>
    <n v="20"/>
    <d v="2024-07-01T00:00:00"/>
    <d v="2025-06-30T00:00:00"/>
    <n v="13.9"/>
    <x v="0"/>
    <n v="2814"/>
    <n v="13.1"/>
    <n v="15.1"/>
    <s v=""/>
    <d v="2023-07-01T00:00:00"/>
    <d v="2024-06-30T00:00:00"/>
    <x v="0"/>
    <x v="0"/>
    <x v="0"/>
    <s v="High (4-5)"/>
    <n v="0"/>
    <n v="0"/>
    <n v="0"/>
    <n v="3"/>
    <n v="0"/>
    <x v="1"/>
    <x v="3"/>
    <n v="7"/>
    <n v="-1"/>
  </r>
  <r>
    <x v="216"/>
    <s v="ASCENSION SETON WILLIAMSON"/>
    <s v="201 SETON PARKWAY"/>
    <s v="ROUND ROCK"/>
    <s v="TX"/>
    <s v="78664"/>
    <s v="WILLIAMSON"/>
    <s v="(512) 324-0000"/>
    <s v="Acute Care Hospitals"/>
    <x v="1"/>
    <s v="Yes"/>
    <x v="1"/>
    <s v="4"/>
    <s v="29"/>
    <n v="75"/>
    <n v="77"/>
    <n v="61"/>
    <n v="85"/>
    <n v="71"/>
    <n v="72"/>
    <s v="316"/>
    <n v="15"/>
    <d v="2024-07-01T00:00:00"/>
    <d v="2025-06-30T00:00:00"/>
    <n v="14.4"/>
    <x v="0"/>
    <n v="936"/>
    <n v="13.7"/>
    <n v="16"/>
    <s v="29"/>
    <d v="2023-07-01T00:00:00"/>
    <d v="2024-06-30T00:00:00"/>
    <x v="0"/>
    <x v="0"/>
    <x v="0"/>
    <s v="High (4-5)"/>
    <n v="0"/>
    <n v="0"/>
    <n v="0"/>
    <n v="3"/>
    <n v="0"/>
    <x v="1"/>
    <x v="3"/>
    <n v="1"/>
    <n v="-0.5"/>
  </r>
  <r>
    <x v="217"/>
    <s v="ASCENSION SETON CEDAR PARK"/>
    <s v="1401 MEDICAL PARKWAY"/>
    <s v="CEDAR PARK"/>
    <s v="TX"/>
    <s v="78613"/>
    <s v="WILLIAMSON"/>
    <s v="(512) 528-7000"/>
    <s v="Acute Care Hospitals"/>
    <x v="4"/>
    <s v="Yes"/>
    <x v="2"/>
    <s v="3"/>
    <s v=""/>
    <n v="73"/>
    <n v="77"/>
    <n v="57"/>
    <n v="81"/>
    <n v="65"/>
    <n v="62"/>
    <s v="427"/>
    <n v="12"/>
    <d v="2024-07-01T00:00:00"/>
    <d v="2025-06-30T00:00:00"/>
    <n v="15.6"/>
    <x v="0"/>
    <n v="1020"/>
    <n v="14.5"/>
    <n v="17.2"/>
    <s v=""/>
    <d v="2023-07-01T00:00:00"/>
    <d v="2024-06-30T00:00:00"/>
    <x v="0"/>
    <x v="0"/>
    <x v="0"/>
    <s v="Middle (3)"/>
    <n v="0"/>
    <n v="1"/>
    <n v="0"/>
    <n v="3"/>
    <n v="1"/>
    <x v="2"/>
    <x v="0"/>
    <n v="-9"/>
    <n v="0.69999999999999929"/>
  </r>
  <r>
    <x v="218"/>
    <s v="TEXAS HEALTH PRESBYTERIAN HOSPITAL ROCKWALL"/>
    <s v="3150 HORIZON ROAD"/>
    <s v="ROCKWALL"/>
    <s v="TX"/>
    <s v="75032"/>
    <s v="ROCKWALL"/>
    <s v="(469) 698-1000"/>
    <s v="Acute Care Hospitals"/>
    <x v="0"/>
    <s v="Yes"/>
    <x v="3"/>
    <s v="5"/>
    <s v=""/>
    <n v="80"/>
    <n v="78"/>
    <n v="63"/>
    <n v="88"/>
    <n v="78"/>
    <n v="80"/>
    <s v="790"/>
    <n v="19"/>
    <d v="2024-07-01T00:00:00"/>
    <d v="2025-06-30T00:00:00"/>
    <n v="14.6"/>
    <x v="0"/>
    <n v="819"/>
    <n v="13.2"/>
    <n v="16.2"/>
    <s v=""/>
    <d v="2023-07-01T00:00:00"/>
    <d v="2024-06-30T00:00:00"/>
    <x v="0"/>
    <x v="0"/>
    <x v="0"/>
    <s v="High (4-5)"/>
    <n v="0"/>
    <n v="0"/>
    <n v="0"/>
    <n v="3"/>
    <n v="0"/>
    <x v="1"/>
    <x v="1"/>
    <n v="9"/>
    <n v="-0.30000000000000071"/>
  </r>
  <r>
    <x v="219"/>
    <s v="THE HOSPITALS OF PROVIDENCE - EAST CAMPUS"/>
    <s v="3280 JOE BATTLE BLVD"/>
    <s v="EL PASO"/>
    <s v="TX"/>
    <s v="79938"/>
    <s v="EL PASO"/>
    <s v="(915) 856-7349"/>
    <s v="Acute Care Hospitals"/>
    <x v="0"/>
    <s v="Yes"/>
    <x v="0"/>
    <s v="2"/>
    <s v=""/>
    <n v="69"/>
    <n v="68"/>
    <n v="51"/>
    <n v="77"/>
    <n v="58"/>
    <n v="57"/>
    <s v="901"/>
    <n v="12"/>
    <d v="2024-07-01T00:00:00"/>
    <d v="2025-06-30T00:00:00"/>
    <n v="15.1"/>
    <x v="0"/>
    <n v="910"/>
    <n v="13.8"/>
    <n v="16.5"/>
    <s v=""/>
    <d v="2023-07-01T00:00:00"/>
    <d v="2024-06-30T00:00:00"/>
    <x v="0"/>
    <x v="0"/>
    <x v="0"/>
    <s v="Low (1-2)"/>
    <n v="1"/>
    <n v="1"/>
    <n v="0"/>
    <n v="3"/>
    <n v="2"/>
    <x v="0"/>
    <x v="0"/>
    <n v="-14"/>
    <n v="0.19999999999999929"/>
  </r>
  <r>
    <x v="220"/>
    <s v="NORTH CENTRAL SURGICAL CENTER LLP"/>
    <s v="9301 NORTH CENTRAL EXPRESSWAY SUITE 100"/>
    <s v="DALLAS"/>
    <s v="TX"/>
    <s v="75231"/>
    <s v="DALLAS"/>
    <s v="(214) 265-2810"/>
    <s v="Acute Care Hospitals"/>
    <x v="4"/>
    <s v="Yes"/>
    <x v="4"/>
    <s v="Not Available"/>
    <s v="16"/>
    <n v="78"/>
    <n v="85"/>
    <n v="65"/>
    <n v="91"/>
    <n v="78"/>
    <n v="80"/>
    <s v="385"/>
    <n v="41"/>
    <d v="2024-07-01T00:00:00"/>
    <d v="2025-06-30T00:00:00"/>
    <n v="14.2"/>
    <x v="0"/>
    <n v="368"/>
    <n v="11.6"/>
    <n v="17.5"/>
    <s v=""/>
    <d v="2023-07-01T00:00:00"/>
    <d v="2024-06-30T00:00:00"/>
    <x v="1"/>
    <x v="0"/>
    <x v="0"/>
    <s v="Unavailable"/>
    <s v=""/>
    <n v="0"/>
    <n v="0"/>
    <n v="2"/>
    <n v="0"/>
    <x v="3"/>
    <x v="1"/>
    <n v="9"/>
    <n v="-0.70000000000000107"/>
  </r>
  <r>
    <x v="221"/>
    <s v="ST LUKE'S SUGAR LAND HOSPITAL"/>
    <s v="1317 LAKE POINTE PARKWAY"/>
    <s v="SUGAR LAND"/>
    <s v="TX"/>
    <s v="77478"/>
    <s v="FORT BEND"/>
    <s v="(281) 637-7000"/>
    <s v="Acute Care Hospitals"/>
    <x v="1"/>
    <s v="Yes"/>
    <x v="2"/>
    <s v="3"/>
    <s v=""/>
    <n v="71"/>
    <n v="77"/>
    <n v="57"/>
    <n v="86"/>
    <n v="64"/>
    <n v="61"/>
    <s v="299"/>
    <n v="9"/>
    <d v="2024-07-01T00:00:00"/>
    <d v="2025-06-30T00:00:00"/>
    <n v="15.5"/>
    <x v="0"/>
    <n v="336"/>
    <n v="13.9"/>
    <n v="17.2"/>
    <s v=""/>
    <d v="2023-07-01T00:00:00"/>
    <d v="2024-06-30T00:00:00"/>
    <x v="0"/>
    <x v="0"/>
    <x v="0"/>
    <s v="Middle (3)"/>
    <n v="0"/>
    <n v="1"/>
    <n v="0"/>
    <n v="3"/>
    <n v="1"/>
    <x v="2"/>
    <x v="0"/>
    <n v="-10"/>
    <n v="0.59999999999999964"/>
  </r>
  <r>
    <x v="222"/>
    <s v="FOUNDATION SURGICAL HOSPITAL OF SAN ANTONIO"/>
    <s v="9522 HUEBNER ROAD"/>
    <s v="SAN ANTONIO"/>
    <s v="TX"/>
    <s v="78240"/>
    <s v="BEXAR"/>
    <s v="(210) 478-5400"/>
    <s v="Acute Care Hospitals"/>
    <x v="0"/>
    <s v="Yes"/>
    <x v="4"/>
    <s v="Not Available"/>
    <s v="16"/>
    <n v="87"/>
    <n v="87"/>
    <n v="79"/>
    <n v="88"/>
    <n v="86"/>
    <n v="84"/>
    <s v="83"/>
    <n v="20"/>
    <d v="2024-07-01T00:00:00"/>
    <d v="2025-06-30T00:00:00"/>
    <n v="14.2"/>
    <x v="0"/>
    <n v="94"/>
    <n v="11.4"/>
    <n v="17.5"/>
    <s v=""/>
    <d v="2023-07-01T00:00:00"/>
    <d v="2024-06-30T00:00:00"/>
    <x v="1"/>
    <x v="0"/>
    <x v="0"/>
    <s v="Unavailable"/>
    <s v=""/>
    <n v="0"/>
    <n v="0"/>
    <n v="2"/>
    <n v="0"/>
    <x v="3"/>
    <x v="1"/>
    <n v="13"/>
    <n v="-0.70000000000000107"/>
  </r>
  <r>
    <x v="223"/>
    <s v="METHODIST HOSPITAL  STONE OAK"/>
    <s v="1139 E SONTERRA BLVD,"/>
    <s v="SAN ANTONIO"/>
    <s v="TX"/>
    <s v="78258"/>
    <s v="BEXAR"/>
    <s v="(210) 638-2101"/>
    <s v="Acute Care Hospitals"/>
    <x v="0"/>
    <s v="Yes"/>
    <x v="1"/>
    <s v="4"/>
    <s v=""/>
    <n v="75"/>
    <n v="76"/>
    <n v="58"/>
    <n v="82"/>
    <n v="69"/>
    <n v="71"/>
    <s v="661"/>
    <n v="22"/>
    <d v="2024-07-01T00:00:00"/>
    <d v="2025-06-30T00:00:00"/>
    <n v="15.4"/>
    <x v="0"/>
    <n v="3707"/>
    <n v="14.5"/>
    <n v="16.399999999999999"/>
    <s v=""/>
    <d v="2023-07-01T00:00:00"/>
    <d v="2024-06-30T00:00:00"/>
    <x v="0"/>
    <x v="0"/>
    <x v="0"/>
    <s v="High (4-5)"/>
    <n v="0"/>
    <n v="0"/>
    <n v="0"/>
    <n v="3"/>
    <n v="0"/>
    <x v="1"/>
    <x v="2"/>
    <n v="0"/>
    <n v="0.5"/>
  </r>
  <r>
    <x v="224"/>
    <s v="ASCENSION  SETON HAYS"/>
    <s v="6001 KYLE PKWY"/>
    <s v="KYLE"/>
    <s v="TX"/>
    <s v="78640"/>
    <s v="HAYS"/>
    <s v="(512) 324-5000"/>
    <s v="Acute Care Hospitals"/>
    <x v="1"/>
    <s v="Yes"/>
    <x v="2"/>
    <s v="3"/>
    <s v="29"/>
    <n v="74"/>
    <n v="76"/>
    <n v="59"/>
    <n v="85"/>
    <n v="66"/>
    <n v="65"/>
    <s v="322"/>
    <n v="14"/>
    <d v="2024-07-01T00:00:00"/>
    <d v="2025-06-30T00:00:00"/>
    <n v="14.4"/>
    <x v="0"/>
    <n v="761"/>
    <n v="13.4"/>
    <n v="15.9"/>
    <s v="29"/>
    <d v="2023-07-01T00:00:00"/>
    <d v="2024-06-30T00:00:00"/>
    <x v="0"/>
    <x v="0"/>
    <x v="0"/>
    <s v="Middle (3)"/>
    <n v="0"/>
    <n v="1"/>
    <n v="0"/>
    <n v="3"/>
    <n v="1"/>
    <x v="2"/>
    <x v="0"/>
    <n v="-6"/>
    <n v="-0.5"/>
  </r>
  <r>
    <x v="225"/>
    <s v="CHI ST LUKES LAKESIDE HOSPITAL"/>
    <s v="17400 ST LUKES WAY"/>
    <s v="THE WOODLANDS"/>
    <s v="TX"/>
    <s v="77384"/>
    <s v="MONTGOMERY"/>
    <s v="(936) 266-4055"/>
    <s v="Acute Care Hospitals"/>
    <x v="4"/>
    <s v="Yes"/>
    <x v="4"/>
    <s v="Not Available"/>
    <s v="16"/>
    <n v="78"/>
    <n v="80"/>
    <n v="60"/>
    <n v="86"/>
    <n v="80"/>
    <n v="77"/>
    <s v="150"/>
    <n v="30"/>
    <d v="2024-07-01T00:00:00"/>
    <d v="2025-06-30T00:00:00"/>
    <n v="14.4"/>
    <x v="0"/>
    <n v="141"/>
    <n v="11.8"/>
    <n v="17.600000000000001"/>
    <s v=""/>
    <d v="2023-07-01T00:00:00"/>
    <d v="2024-06-30T00:00:00"/>
    <x v="1"/>
    <x v="0"/>
    <x v="0"/>
    <s v="Unavailable"/>
    <s v=""/>
    <n v="0"/>
    <n v="0"/>
    <n v="2"/>
    <n v="0"/>
    <x v="3"/>
    <x v="3"/>
    <n v="6"/>
    <n v="-0.5"/>
  </r>
  <r>
    <x v="226"/>
    <s v="BAYLOR SCOTT AND WHITE MEDICAL CENTER SUNNYVALE"/>
    <s v="231 SOUTH COLLINS ROAD"/>
    <s v="SUNNYVALE"/>
    <s v="TX"/>
    <s v="75182"/>
    <s v="DALLAS"/>
    <s v="(972) 892-3000"/>
    <s v="Acute Care Hospitals"/>
    <x v="1"/>
    <s v="Yes"/>
    <x v="0"/>
    <s v="2"/>
    <s v=""/>
    <n v="63"/>
    <n v="70"/>
    <n v="46"/>
    <n v="78"/>
    <n v="54"/>
    <n v="50"/>
    <s v="364"/>
    <n v="12"/>
    <d v="2024-07-01T00:00:00"/>
    <d v="2025-06-30T00:00:00"/>
    <n v="15.4"/>
    <x v="0"/>
    <n v="625"/>
    <n v="14"/>
    <n v="17"/>
    <s v=""/>
    <d v="2023-07-01T00:00:00"/>
    <d v="2024-06-30T00:00:00"/>
    <x v="0"/>
    <x v="0"/>
    <x v="0"/>
    <s v="Low (1-2)"/>
    <n v="1"/>
    <n v="1"/>
    <n v="0"/>
    <n v="3"/>
    <n v="2"/>
    <x v="0"/>
    <x v="0"/>
    <n v="-21"/>
    <n v="0.5"/>
  </r>
  <r>
    <x v="227"/>
    <s v="BAYLOR EMERGENCY MEDICAL CENTER AT AUBREY"/>
    <s v="26791 HIGHWAY 380"/>
    <s v="AUBREY"/>
    <s v="TX"/>
    <s v="76227"/>
    <s v="DENTON"/>
    <s v="(972) 347-2525"/>
    <s v="Acute Care Hospitals"/>
    <x v="0"/>
    <s v="Yes"/>
    <x v="4"/>
    <s v="Not Available"/>
    <s v="16"/>
    <n v="90"/>
    <n v="84"/>
    <n v="67"/>
    <n v="87"/>
    <n v="72"/>
    <n v="70"/>
    <s v="79"/>
    <n v="20"/>
    <d v="2024-07-01T00:00:00"/>
    <d v="2025-06-30T00:00:00"/>
    <n v="15.1"/>
    <x v="0"/>
    <n v="57"/>
    <n v="13.1"/>
    <n v="17.5"/>
    <s v=""/>
    <d v="2023-07-01T00:00:00"/>
    <d v="2024-06-30T00:00:00"/>
    <x v="1"/>
    <x v="0"/>
    <x v="0"/>
    <s v="Unavailable"/>
    <s v=""/>
    <n v="1"/>
    <n v="0"/>
    <n v="2"/>
    <n v="1"/>
    <x v="3"/>
    <x v="2"/>
    <n v="-1"/>
    <n v="0.19999999999999929"/>
  </r>
  <r>
    <x v="228"/>
    <s v="BAYLOR SCOTT AND WHITE ORTHOPEDIC AND SPINE HOSPI"/>
    <s v="707 HIGHLANDER BLVD"/>
    <s v="ARLINGTON"/>
    <s v="TX"/>
    <s v="76015"/>
    <s v="TARRANT"/>
    <s v="(817) 583-7100"/>
    <s v="Acute Care Hospitals"/>
    <x v="0"/>
    <s v="Yes"/>
    <x v="4"/>
    <s v="Not Available"/>
    <s v="16"/>
    <n v="84"/>
    <n v="85"/>
    <n v="67"/>
    <n v="91"/>
    <n v="81"/>
    <n v="82"/>
    <s v="363"/>
    <n v="34"/>
    <d v="2024-07-01T00:00:00"/>
    <d v="2025-06-30T00:00:00"/>
    <n v="14.6"/>
    <x v="0"/>
    <n v="676"/>
    <n v="12.2"/>
    <n v="17.600000000000001"/>
    <s v=""/>
    <d v="2023-07-01T00:00:00"/>
    <d v="2024-06-30T00:00:00"/>
    <x v="1"/>
    <x v="0"/>
    <x v="0"/>
    <s v="Unavailable"/>
    <s v=""/>
    <n v="0"/>
    <n v="0"/>
    <n v="2"/>
    <n v="0"/>
    <x v="3"/>
    <x v="1"/>
    <n v="11"/>
    <n v="-0.30000000000000071"/>
  </r>
  <r>
    <x v="229"/>
    <s v="TEXAS HEALTH PRESBYTERIAN HOSPITAL FLOWER MOUND"/>
    <s v="4400 LONG PRAIRIE ROAD"/>
    <s v="FLOWER MOUND"/>
    <s v="TX"/>
    <s v="75028"/>
    <s v="DENTON"/>
    <s v="(972) 419-1530"/>
    <s v="Acute Care Hospitals"/>
    <x v="0"/>
    <s v="Yes"/>
    <x v="3"/>
    <s v="5"/>
    <s v=""/>
    <n v="77"/>
    <n v="80"/>
    <n v="61"/>
    <n v="89"/>
    <n v="78"/>
    <n v="79"/>
    <s v="862"/>
    <n v="21"/>
    <d v="2024-07-01T00:00:00"/>
    <d v="2025-06-30T00:00:00"/>
    <n v="13.9"/>
    <x v="0"/>
    <n v="1007"/>
    <n v="12.7"/>
    <n v="15.3"/>
    <s v=""/>
    <d v="2023-07-01T00:00:00"/>
    <d v="2024-06-30T00:00:00"/>
    <x v="0"/>
    <x v="0"/>
    <x v="0"/>
    <s v="High (4-5)"/>
    <n v="0"/>
    <n v="0"/>
    <n v="0"/>
    <n v="3"/>
    <n v="0"/>
    <x v="1"/>
    <x v="3"/>
    <n v="8"/>
    <n v="-1"/>
  </r>
  <r>
    <x v="230"/>
    <s v="METHODIST MCKINNEY HOSPITAL"/>
    <s v="8000 W ELDORADO PKWY BLDG C SUITE C"/>
    <s v="MCKINNEY"/>
    <s v="TX"/>
    <s v="75070"/>
    <s v="COLLIN"/>
    <s v="(214) 491-5710"/>
    <s v="Acute Care Hospitals"/>
    <x v="5"/>
    <s v="Yes"/>
    <x v="4"/>
    <s v="Not Available"/>
    <s v="16"/>
    <n v="88"/>
    <n v="86"/>
    <n v="71"/>
    <n v="91"/>
    <n v="85"/>
    <n v="88"/>
    <s v="99"/>
    <n v="28"/>
    <d v="2024-07-01T00:00:00"/>
    <d v="2025-06-30T00:00:00"/>
    <n v="15.4"/>
    <x v="0"/>
    <n v="133"/>
    <n v="12.5"/>
    <n v="19.100000000000001"/>
    <s v=""/>
    <d v="2023-07-01T00:00:00"/>
    <d v="2024-06-30T00:00:00"/>
    <x v="1"/>
    <x v="0"/>
    <x v="0"/>
    <s v="Unavailable"/>
    <s v=""/>
    <n v="0"/>
    <n v="0"/>
    <n v="2"/>
    <n v="0"/>
    <x v="3"/>
    <x v="1"/>
    <n v="17"/>
    <n v="0.5"/>
  </r>
  <r>
    <x v="231"/>
    <s v="TEXAS HEALTH HEART &amp; VASCULAR HOSPITAL ARLINGTON"/>
    <s v="811 WRIGHT STREET"/>
    <s v="ARLINGTON"/>
    <s v="TX"/>
    <s v="76012"/>
    <s v="TARRANT"/>
    <s v="(817) 960-3500"/>
    <s v="Acute Care Hospitals"/>
    <x v="5"/>
    <s v="No"/>
    <x v="1"/>
    <s v="4"/>
    <s v=""/>
    <n v="84"/>
    <n v="83"/>
    <n v="65"/>
    <n v="89"/>
    <n v="84"/>
    <n v="86"/>
    <s v="278"/>
    <n v="31"/>
    <d v="2024-07-01T00:00:00"/>
    <d v="2025-06-30T00:00:00"/>
    <n v="14.3"/>
    <x v="0"/>
    <n v="261"/>
    <n v="12.6"/>
    <n v="16.399999999999999"/>
    <s v=""/>
    <d v="2023-07-01T00:00:00"/>
    <d v="2024-06-30T00:00:00"/>
    <x v="0"/>
    <x v="0"/>
    <x v="0"/>
    <s v="High (4-5)"/>
    <n v="0"/>
    <n v="0"/>
    <n v="0"/>
    <n v="3"/>
    <n v="0"/>
    <x v="1"/>
    <x v="1"/>
    <n v="15"/>
    <n v="-0.59999999999999964"/>
  </r>
  <r>
    <x v="232"/>
    <s v="METHODIST HOSPITAL FOR SURGERY"/>
    <s v="17101 DALLAS PARKWAY"/>
    <s v="ADDISON"/>
    <s v="TX"/>
    <s v="75001"/>
    <s v="DALLAS"/>
    <s v="(469) 248-3900"/>
    <s v="Acute Care Hospitals"/>
    <x v="0"/>
    <s v="Yes"/>
    <x v="1"/>
    <s v="4"/>
    <s v=""/>
    <n v="82"/>
    <n v="83"/>
    <n v="66"/>
    <n v="89"/>
    <n v="82"/>
    <n v="83"/>
    <s v="376"/>
    <n v="26"/>
    <d v="2024-07-01T00:00:00"/>
    <d v="2025-06-30T00:00:00"/>
    <n v="14.4"/>
    <x v="0"/>
    <n v="187"/>
    <n v="11.8"/>
    <n v="17.5"/>
    <s v=""/>
    <d v="2023-07-01T00:00:00"/>
    <d v="2024-06-30T00:00:00"/>
    <x v="0"/>
    <x v="0"/>
    <x v="0"/>
    <s v="High (4-5)"/>
    <n v="0"/>
    <n v="0"/>
    <n v="0"/>
    <n v="3"/>
    <n v="0"/>
    <x v="1"/>
    <x v="1"/>
    <n v="12"/>
    <n v="-0.5"/>
  </r>
  <r>
    <x v="233"/>
    <s v="ST LUKE'S HOSPITAL AT THE VINTAGE"/>
    <s v="20171 CHASEWOOD PARK DRIVE"/>
    <s v="HOUSTON"/>
    <s v="TX"/>
    <s v="77070"/>
    <s v="HARRIS"/>
    <s v="(832) 534-5000"/>
    <s v="Acute Care Hospitals"/>
    <x v="1"/>
    <s v="Yes"/>
    <x v="1"/>
    <s v="4"/>
    <s v=""/>
    <n v="80"/>
    <n v="75"/>
    <n v="63"/>
    <n v="83"/>
    <n v="78"/>
    <n v="78"/>
    <s v="387"/>
    <n v="11"/>
    <d v="2024-07-01T00:00:00"/>
    <d v="2025-06-30T00:00:00"/>
    <n v="15"/>
    <x v="0"/>
    <n v="438"/>
    <n v="13.5"/>
    <n v="16.600000000000001"/>
    <s v=""/>
    <d v="2023-07-01T00:00:00"/>
    <d v="2024-06-30T00:00:00"/>
    <x v="0"/>
    <x v="0"/>
    <x v="0"/>
    <s v="High (4-5)"/>
    <n v="0"/>
    <n v="0"/>
    <n v="0"/>
    <n v="3"/>
    <n v="0"/>
    <x v="1"/>
    <x v="3"/>
    <n v="7"/>
    <n v="9.9999999999999645E-2"/>
  </r>
  <r>
    <x v="234"/>
    <s v="BAYLOR SCOTT AND WHITE SURGICAL HOSPITAL AT SHERMA"/>
    <s v="3601 CALAIS DRIVE"/>
    <s v="SHERMAN"/>
    <s v="TX"/>
    <s v="75090"/>
    <s v="GRAYSON"/>
    <s v="(903) 813-3728"/>
    <s v="Acute Care Hospitals"/>
    <x v="5"/>
    <s v="Yes"/>
    <x v="2"/>
    <s v="3"/>
    <s v=""/>
    <n v="90"/>
    <n v="89"/>
    <n v="76"/>
    <n v="89"/>
    <n v="83"/>
    <n v="86"/>
    <s v="69"/>
    <n v="31"/>
    <d v="2024-07-01T00:00:00"/>
    <d v="2025-06-30T00:00:00"/>
    <n v="14.9"/>
    <x v="0"/>
    <n v="92"/>
    <n v="12.6"/>
    <n v="17.899999999999999"/>
    <s v=""/>
    <d v="2023-07-01T00:00:00"/>
    <d v="2024-06-30T00:00:00"/>
    <x v="0"/>
    <x v="0"/>
    <x v="0"/>
    <s v="Middle (3)"/>
    <n v="0"/>
    <n v="0"/>
    <n v="0"/>
    <n v="3"/>
    <n v="0"/>
    <x v="1"/>
    <x v="1"/>
    <n v="15"/>
    <n v="0"/>
  </r>
  <r>
    <x v="235"/>
    <s v="HOUSTON METHODIST WEST HOSPITAL"/>
    <s v="18500 KATY FREEWAY"/>
    <s v="HOUSTON"/>
    <s v="TX"/>
    <s v="77094"/>
    <s v="HARRIS"/>
    <s v="(832) 522-1000"/>
    <s v="Acute Care Hospitals"/>
    <x v="1"/>
    <s v="Yes"/>
    <x v="3"/>
    <s v="5"/>
    <s v=""/>
    <n v="79"/>
    <n v="76"/>
    <n v="62"/>
    <n v="89"/>
    <n v="81"/>
    <n v="83"/>
    <s v="2014"/>
    <n v="16"/>
    <d v="2024-07-01T00:00:00"/>
    <d v="2025-06-30T00:00:00"/>
    <n v="15.1"/>
    <x v="0"/>
    <n v="2643"/>
    <n v="14.2"/>
    <n v="16.2"/>
    <s v=""/>
    <d v="2023-07-01T00:00:00"/>
    <d v="2024-06-30T00:00:00"/>
    <x v="0"/>
    <x v="0"/>
    <x v="0"/>
    <s v="High (4-5)"/>
    <n v="0"/>
    <n v="0"/>
    <n v="0"/>
    <n v="3"/>
    <n v="0"/>
    <x v="1"/>
    <x v="1"/>
    <n v="12"/>
    <n v="0.19999999999999929"/>
  </r>
  <r>
    <x v="236"/>
    <s v="BAPTIST NEIGHBORHOOD HOSPITAL THOUSAND OAKS"/>
    <s v="16088 SAN PEDRO"/>
    <s v="SAN ANTONIO"/>
    <s v="TX"/>
    <s v="78232"/>
    <s v="BEXAR"/>
    <s v="(210) 402-4092"/>
    <s v="Acute Care Hospitals"/>
    <x v="0"/>
    <s v="Yes"/>
    <x v="3"/>
    <s v="5"/>
    <s v=""/>
    <n v="85"/>
    <n v="83"/>
    <n v="71"/>
    <n v="87"/>
    <n v="83"/>
    <n v="81"/>
    <s v="250"/>
    <n v="17"/>
    <d v="2024-07-01T00:00:00"/>
    <d v="2025-06-30T00:00:00"/>
    <n v="15"/>
    <x v="0"/>
    <n v="143"/>
    <n v="12.9"/>
    <n v="17.399999999999999"/>
    <s v=""/>
    <d v="2023-07-01T00:00:00"/>
    <d v="2024-06-30T00:00:00"/>
    <x v="0"/>
    <x v="0"/>
    <x v="0"/>
    <s v="High (4-5)"/>
    <n v="0"/>
    <n v="0"/>
    <n v="0"/>
    <n v="3"/>
    <n v="0"/>
    <x v="1"/>
    <x v="1"/>
    <n v="10"/>
    <n v="9.9999999999999645E-2"/>
  </r>
  <r>
    <x v="237"/>
    <s v="SETON MEDICAL CENTER HARKER HEIGHTS"/>
    <s v="850 W CENTRAL TEXAS EXPRESSWAY"/>
    <s v="HARKER HEIGHTS"/>
    <s v="TX"/>
    <s v="76548"/>
    <s v="BELL"/>
    <s v="(254) 690-0900"/>
    <s v="Acute Care Hospitals"/>
    <x v="0"/>
    <s v="Yes"/>
    <x v="1"/>
    <s v="4"/>
    <s v=""/>
    <n v="81"/>
    <n v="81"/>
    <n v="68"/>
    <n v="87"/>
    <n v="74"/>
    <n v="73"/>
    <s v="421"/>
    <n v="16"/>
    <d v="2024-07-01T00:00:00"/>
    <d v="2025-06-30T00:00:00"/>
    <n v="16.3"/>
    <x v="0"/>
    <n v="617"/>
    <n v="14.9"/>
    <n v="18"/>
    <s v=""/>
    <d v="2023-07-01T00:00:00"/>
    <d v="2024-06-30T00:00:00"/>
    <x v="0"/>
    <x v="0"/>
    <x v="0"/>
    <s v="High (4-5)"/>
    <n v="0"/>
    <n v="0"/>
    <n v="0"/>
    <n v="3"/>
    <n v="0"/>
    <x v="1"/>
    <x v="3"/>
    <n v="2"/>
    <n v="1.4000000000000004"/>
  </r>
  <r>
    <x v="238"/>
    <s v="BAYLOR SCOTT AND WHITE  MEDICAL CENTER  MCKINNEY"/>
    <s v="5252 WEST UNIVERSITY DRIVE"/>
    <s v="MC KINNEY"/>
    <s v="TX"/>
    <s v="75071"/>
    <s v="COLLIN"/>
    <s v="(469) 742-2200"/>
    <s v="Acute Care Hospitals"/>
    <x v="1"/>
    <s v="Yes"/>
    <x v="1"/>
    <s v="4"/>
    <s v=""/>
    <n v="79"/>
    <n v="79"/>
    <n v="59"/>
    <n v="87"/>
    <n v="79"/>
    <n v="78"/>
    <s v="1116"/>
    <n v="14"/>
    <d v="2024-07-01T00:00:00"/>
    <d v="2025-06-30T00:00:00"/>
    <n v="15.5"/>
    <x v="0"/>
    <n v="2431"/>
    <n v="14.5"/>
    <n v="16.600000000000001"/>
    <s v=""/>
    <d v="2023-07-01T00:00:00"/>
    <d v="2024-06-30T00:00:00"/>
    <x v="0"/>
    <x v="0"/>
    <x v="0"/>
    <s v="High (4-5)"/>
    <n v="0"/>
    <n v="0"/>
    <n v="0"/>
    <n v="3"/>
    <n v="0"/>
    <x v="1"/>
    <x v="3"/>
    <n v="7"/>
    <n v="0.59999999999999964"/>
  </r>
  <r>
    <x v="239"/>
    <s v="TEXAS HEALTH HARRIS METHODIST HOSPITAL ALLIANCE"/>
    <s v="10864 TEXAS HEALTH TRAIL"/>
    <s v="FORT WORTH"/>
    <s v="TX"/>
    <s v="76244"/>
    <s v="TARRANT"/>
    <s v="(682) 212-2004"/>
    <s v="Acute Care Hospitals"/>
    <x v="1"/>
    <s v="Yes"/>
    <x v="3"/>
    <s v="5"/>
    <s v=""/>
    <n v="78"/>
    <n v="77"/>
    <n v="59"/>
    <n v="89"/>
    <n v="73"/>
    <n v="73"/>
    <s v="597"/>
    <n v="16"/>
    <d v="2024-07-01T00:00:00"/>
    <d v="2025-06-30T00:00:00"/>
    <n v="13.9"/>
    <x v="0"/>
    <n v="883"/>
    <n v="12.6"/>
    <n v="15.4"/>
    <s v=""/>
    <d v="2023-07-01T00:00:00"/>
    <d v="2024-06-30T00:00:00"/>
    <x v="0"/>
    <x v="0"/>
    <x v="0"/>
    <s v="High (4-5)"/>
    <n v="0"/>
    <n v="0"/>
    <n v="0"/>
    <n v="3"/>
    <n v="0"/>
    <x v="1"/>
    <x v="3"/>
    <n v="2"/>
    <n v="-1"/>
  </r>
  <r>
    <x v="240"/>
    <s v="BAYLOR SCOTT &amp; WHITE MEDICAL CENTER- COLLEGE STATI"/>
    <s v="700 SCOTT &amp; WHITE DRIVE"/>
    <s v="COLLEGE STATION"/>
    <s v="TX"/>
    <s v="77845"/>
    <s v="BRAZOS"/>
    <s v="(979) 691-3701"/>
    <s v="Acute Care Hospitals"/>
    <x v="1"/>
    <s v="Yes"/>
    <x v="1"/>
    <s v="4"/>
    <s v=""/>
    <n v="82"/>
    <n v="84"/>
    <n v="67"/>
    <n v="88"/>
    <n v="81"/>
    <n v="82"/>
    <s v="1137"/>
    <n v="19"/>
    <d v="2024-07-01T00:00:00"/>
    <d v="2025-06-30T00:00:00"/>
    <n v="14.9"/>
    <x v="0"/>
    <n v="1630"/>
    <n v="13.8"/>
    <n v="16.2"/>
    <s v=""/>
    <d v="2023-07-01T00:00:00"/>
    <d v="2024-06-30T00:00:00"/>
    <x v="0"/>
    <x v="0"/>
    <x v="0"/>
    <s v="High (4-5)"/>
    <n v="0"/>
    <n v="0"/>
    <n v="0"/>
    <n v="3"/>
    <n v="0"/>
    <x v="1"/>
    <x v="1"/>
    <n v="11"/>
    <n v="0"/>
  </r>
  <r>
    <x v="241"/>
    <s v="CRESCENT MEDICAL CENTER LANCASTER"/>
    <s v="2600 WEST PLEASANT RUN ROAD"/>
    <s v="LANCASTER"/>
    <s v="TX"/>
    <s v="75146"/>
    <s v="DALLAS"/>
    <s v="(972) 230-8888"/>
    <s v="Acute Care Hospitals"/>
    <x v="5"/>
    <s v="Yes"/>
    <x v="0"/>
    <s v="2"/>
    <s v=""/>
    <n v="71"/>
    <n v="78"/>
    <n v="61"/>
    <n v="79"/>
    <n v="61"/>
    <n v="49"/>
    <s v="44"/>
    <n v="8"/>
    <d v="2024-07-01T00:00:00"/>
    <d v="2025-06-30T00:00:00"/>
    <n v="14.9"/>
    <x v="0"/>
    <n v="85"/>
    <n v="13.1"/>
    <n v="17"/>
    <s v=""/>
    <d v="2023-07-01T00:00:00"/>
    <d v="2024-06-30T00:00:00"/>
    <x v="0"/>
    <x v="0"/>
    <x v="0"/>
    <s v="Low (1-2)"/>
    <n v="1"/>
    <n v="1"/>
    <n v="0"/>
    <n v="3"/>
    <n v="2"/>
    <x v="0"/>
    <x v="0"/>
    <n v="-22"/>
    <n v="0"/>
  </r>
  <r>
    <x v="242"/>
    <s v="ASPIRE HOSPITAL"/>
    <s v="2006 SOUTH LOOP 336 WEST, SUITE 500"/>
    <s v="CONROE"/>
    <s v="TX"/>
    <s v="77304"/>
    <s v="MONTGOMERY"/>
    <s v="(936) 647-3500"/>
    <s v="Acute Care Hospitals"/>
    <x v="5"/>
    <s v="No"/>
    <x v="4"/>
    <s v="Not Available"/>
    <s v="16"/>
    <m/>
    <m/>
    <m/>
    <m/>
    <m/>
    <m/>
    <s v="Not Available"/>
    <m/>
    <d v="2024-07-01T00:00:00"/>
    <d v="2025-06-30T00:00:00"/>
    <m/>
    <x v="3"/>
    <m/>
    <m/>
    <m/>
    <s v="5"/>
    <d v="2023-07-01T00:00:00"/>
    <d v="2024-06-30T00:00:00"/>
    <x v="1"/>
    <x v="1"/>
    <x v="1"/>
    <s v="Unavailable"/>
    <s v=""/>
    <s v=""/>
    <s v=""/>
    <n v="0"/>
    <n v="0"/>
    <x v="3"/>
    <x v="4"/>
    <s v=""/>
    <s v=""/>
  </r>
  <r>
    <x v="243"/>
    <s v="RESOLUTE HEALTH HOSPITAL"/>
    <s v="555 CREEKSIDE XING,"/>
    <s v="NEW BRAUNFELS"/>
    <s v="TX"/>
    <s v="78130"/>
    <s v="COMAL"/>
    <s v="(469) 839-6778"/>
    <s v="Acute Care Hospitals"/>
    <x v="0"/>
    <s v="Yes"/>
    <x v="1"/>
    <s v="4"/>
    <s v=""/>
    <n v="79"/>
    <n v="76"/>
    <n v="62"/>
    <n v="84"/>
    <n v="75"/>
    <n v="75"/>
    <s v="788"/>
    <n v="15"/>
    <d v="2024-07-01T00:00:00"/>
    <d v="2025-06-30T00:00:00"/>
    <n v="15.3"/>
    <x v="0"/>
    <n v="835"/>
    <n v="14"/>
    <n v="16.8"/>
    <s v=""/>
    <d v="2023-07-01T00:00:00"/>
    <d v="2024-06-30T00:00:00"/>
    <x v="0"/>
    <x v="0"/>
    <x v="0"/>
    <s v="High (4-5)"/>
    <n v="0"/>
    <n v="0"/>
    <n v="0"/>
    <n v="3"/>
    <n v="0"/>
    <x v="1"/>
    <x v="3"/>
    <n v="4"/>
    <n v="0.40000000000000036"/>
  </r>
  <r>
    <x v="244"/>
    <s v="AD HOSPITAL EAST, LLC"/>
    <s v="12950 EAST FREEWAY, SUITE 100"/>
    <s v="HOUSTON"/>
    <s v="TX"/>
    <s v="77015"/>
    <s v="HARRIS"/>
    <s v="(281) 863-2100"/>
    <s v="Acute Care Hospitals"/>
    <x v="0"/>
    <s v="Yes"/>
    <x v="4"/>
    <s v="Not Available"/>
    <s v="16"/>
    <n v="71"/>
    <n v="76"/>
    <n v="45"/>
    <n v="70"/>
    <n v="56"/>
    <n v="58"/>
    <s v="60"/>
    <n v="5"/>
    <d v="2024-07-01T00:00:00"/>
    <d v="2025-06-30T00:00:00"/>
    <n v="15.3"/>
    <x v="0"/>
    <n v="40"/>
    <n v="13.4"/>
    <n v="17.600000000000001"/>
    <s v=""/>
    <d v="2023-07-01T00:00:00"/>
    <d v="2024-06-30T00:00:00"/>
    <x v="1"/>
    <x v="0"/>
    <x v="0"/>
    <s v="Unavailable"/>
    <s v=""/>
    <n v="1"/>
    <n v="0"/>
    <n v="2"/>
    <n v="1"/>
    <x v="3"/>
    <x v="0"/>
    <n v="-13"/>
    <n v="0.40000000000000036"/>
  </r>
  <r>
    <x v="245"/>
    <s v="MEDICAL CITY ALLIANCE"/>
    <s v="3101 NORTH TARRANT PARKWAY"/>
    <s v="FORT WORTH"/>
    <s v="TX"/>
    <s v="76177"/>
    <s v="TARRANT"/>
    <s v="(817) 639-1100"/>
    <s v="Acute Care Hospitals"/>
    <x v="1"/>
    <s v="Yes"/>
    <x v="2"/>
    <s v="3"/>
    <s v=""/>
    <n v="76"/>
    <n v="73"/>
    <n v="61"/>
    <n v="84"/>
    <n v="72"/>
    <n v="70"/>
    <s v="610"/>
    <n v="13"/>
    <d v="2024-07-01T00:00:00"/>
    <d v="2025-06-30T00:00:00"/>
    <n v="15.9"/>
    <x v="0"/>
    <n v="613"/>
    <n v="14.4"/>
    <n v="17.399999999999999"/>
    <s v=""/>
    <d v="2023-07-01T00:00:00"/>
    <d v="2024-06-30T00:00:00"/>
    <x v="0"/>
    <x v="0"/>
    <x v="0"/>
    <s v="Middle (3)"/>
    <n v="0"/>
    <n v="1"/>
    <n v="0"/>
    <n v="3"/>
    <n v="1"/>
    <x v="2"/>
    <x v="2"/>
    <n v="-1"/>
    <n v="1"/>
  </r>
  <r>
    <x v="246"/>
    <s v="HCA HOUSTON HEALTHCARE PEARLAND"/>
    <s v="11100 SHADOW CREEK PARKWAY"/>
    <s v="PEARLAND"/>
    <s v="TX"/>
    <s v="77584"/>
    <s v="BRAZORIA"/>
    <s v="(713) 770-7000"/>
    <s v="Acute Care Hospitals"/>
    <x v="0"/>
    <s v="Yes"/>
    <x v="2"/>
    <s v="3"/>
    <s v=""/>
    <n v="73"/>
    <n v="73"/>
    <n v="52"/>
    <n v="81"/>
    <n v="64"/>
    <n v="60"/>
    <s v="293"/>
    <n v="9"/>
    <d v="2024-07-01T00:00:00"/>
    <d v="2025-06-30T00:00:00"/>
    <n v="15.2"/>
    <x v="0"/>
    <n v="335"/>
    <n v="13.6"/>
    <n v="16.8"/>
    <s v=""/>
    <d v="2023-07-01T00:00:00"/>
    <d v="2024-06-30T00:00:00"/>
    <x v="0"/>
    <x v="0"/>
    <x v="0"/>
    <s v="Middle (3)"/>
    <n v="0"/>
    <n v="1"/>
    <n v="0"/>
    <n v="3"/>
    <n v="1"/>
    <x v="2"/>
    <x v="0"/>
    <n v="-11"/>
    <n v="0.29999999999999893"/>
  </r>
  <r>
    <x v="247"/>
    <s v="BAYLOR SCOTT AND WHITE EMERGENCY HOSPITAL"/>
    <s v="12500 SOUTH FREEWAY SUITE 100"/>
    <s v="BURLESON"/>
    <s v="TX"/>
    <s v="76028"/>
    <s v="JOHNSON"/>
    <s v="(214) 294-6250"/>
    <s v="Acute Care Hospitals"/>
    <x v="0"/>
    <s v="Yes"/>
    <x v="4"/>
    <s v="Not Available"/>
    <s v="16"/>
    <n v="80"/>
    <n v="72"/>
    <n v="66"/>
    <n v="83"/>
    <n v="69"/>
    <n v="71"/>
    <s v="48"/>
    <n v="15"/>
    <d v="2024-07-01T00:00:00"/>
    <d v="2025-06-30T00:00:00"/>
    <m/>
    <x v="3"/>
    <m/>
    <m/>
    <m/>
    <s v="1"/>
    <d v="2023-07-01T00:00:00"/>
    <d v="2024-06-30T00:00:00"/>
    <x v="1"/>
    <x v="0"/>
    <x v="1"/>
    <s v="Unavailable"/>
    <s v=""/>
    <n v="0"/>
    <s v=""/>
    <n v="1"/>
    <n v="0"/>
    <x v="3"/>
    <x v="2"/>
    <n v="0"/>
    <s v=""/>
  </r>
  <r>
    <x v="248"/>
    <s v="BAYLOR SCOTT &amp; WHITE MEDICAL CENTER - MARBLE FALLS"/>
    <s v="810 W HIGHWAY 71"/>
    <s v="MARBLE FALLS"/>
    <s v="TX"/>
    <s v="78654"/>
    <s v="BURNET"/>
    <s v="(254) 215-9791"/>
    <s v="Acute Care Hospitals"/>
    <x v="1"/>
    <s v="Yes"/>
    <x v="1"/>
    <s v="4"/>
    <s v=""/>
    <n v="83"/>
    <n v="80"/>
    <n v="69"/>
    <n v="91"/>
    <n v="77"/>
    <n v="79"/>
    <s v="420"/>
    <n v="20"/>
    <d v="2024-07-01T00:00:00"/>
    <d v="2025-06-30T00:00:00"/>
    <n v="14.1"/>
    <x v="0"/>
    <n v="629"/>
    <n v="12.9"/>
    <n v="15.8"/>
    <s v=""/>
    <d v="2023-07-01T00:00:00"/>
    <d v="2024-06-30T00:00:00"/>
    <x v="0"/>
    <x v="0"/>
    <x v="0"/>
    <s v="High (4-5)"/>
    <n v="0"/>
    <n v="0"/>
    <n v="0"/>
    <n v="3"/>
    <n v="0"/>
    <x v="1"/>
    <x v="3"/>
    <n v="8"/>
    <n v="-0.80000000000000071"/>
  </r>
  <r>
    <x v="249"/>
    <s v="BAYTOWN MEDICAL CENTER LP"/>
    <s v="1626 W BAKER ROAD"/>
    <s v="BAYTOWN"/>
    <s v="TX"/>
    <s v="77521"/>
    <s v="HARRIS"/>
    <s v="(281) 837-7600"/>
    <s v="Acute Care Hospitals"/>
    <x v="0"/>
    <s v="Yes"/>
    <x v="4"/>
    <s v="Not Available"/>
    <s v="16"/>
    <m/>
    <m/>
    <m/>
    <m/>
    <m/>
    <m/>
    <s v="Not Available"/>
    <m/>
    <d v="2024-07-01T00:00:00"/>
    <d v="2025-06-30T00:00:00"/>
    <m/>
    <x v="3"/>
    <m/>
    <m/>
    <m/>
    <s v="1"/>
    <d v="2023-07-01T00:00:00"/>
    <d v="2024-06-30T00:00:00"/>
    <x v="1"/>
    <x v="1"/>
    <x v="1"/>
    <s v="Unavailable"/>
    <s v=""/>
    <s v=""/>
    <s v=""/>
    <n v="0"/>
    <n v="0"/>
    <x v="3"/>
    <x v="4"/>
    <s v=""/>
    <s v=""/>
  </r>
  <r>
    <x v="250"/>
    <s v="LEGENT ORTHOPEDIC + SPINE"/>
    <s v="5330 NORTH LOOP 1604 WEST"/>
    <s v="SAN ANTONIO"/>
    <s v="TX"/>
    <s v="78249"/>
    <s v="BEXAR"/>
    <s v="(717) 620-2424"/>
    <s v="Acute Care Hospitals"/>
    <x v="0"/>
    <s v="No"/>
    <x v="4"/>
    <s v="Not Available"/>
    <s v="16"/>
    <n v="87"/>
    <n v="81"/>
    <n v="78"/>
    <n v="89"/>
    <n v="85"/>
    <n v="84"/>
    <s v="124"/>
    <n v="28"/>
    <d v="2024-07-01T00:00:00"/>
    <d v="2025-06-30T00:00:00"/>
    <n v="14.4"/>
    <x v="0"/>
    <n v="136"/>
    <n v="11.7"/>
    <n v="17.7"/>
    <s v=""/>
    <d v="2023-07-01T00:00:00"/>
    <d v="2024-06-30T00:00:00"/>
    <x v="1"/>
    <x v="0"/>
    <x v="0"/>
    <s v="Unavailable"/>
    <s v=""/>
    <n v="0"/>
    <n v="0"/>
    <n v="2"/>
    <n v="0"/>
    <x v="3"/>
    <x v="1"/>
    <n v="13"/>
    <n v="-0.5"/>
  </r>
  <r>
    <x v="251"/>
    <s v="CLEVELAND EMERGENCY HOSPITAL"/>
    <s v="8901 FM 1960 BYPASS RD W, SUITE 105"/>
    <s v="HUMBLE"/>
    <s v="TX"/>
    <s v="77338"/>
    <s v="HARRIS"/>
    <s v="(281) 592-5400"/>
    <s v="Acute Care Hospitals"/>
    <x v="0"/>
    <s v="Yes"/>
    <x v="4"/>
    <s v="Not Available"/>
    <s v="16"/>
    <m/>
    <m/>
    <m/>
    <m/>
    <m/>
    <m/>
    <s v="Not Available"/>
    <m/>
    <d v="2024-07-01T00:00:00"/>
    <d v="2025-06-30T00:00:00"/>
    <m/>
    <x v="3"/>
    <m/>
    <m/>
    <m/>
    <s v="5"/>
    <d v="2023-07-01T00:00:00"/>
    <d v="2024-06-30T00:00:00"/>
    <x v="1"/>
    <x v="1"/>
    <x v="1"/>
    <s v="Unavailable"/>
    <s v=""/>
    <s v=""/>
    <s v=""/>
    <n v="0"/>
    <n v="0"/>
    <x v="3"/>
    <x v="4"/>
    <s v=""/>
    <s v=""/>
  </r>
  <r>
    <x v="252"/>
    <s v="THE HOSPITALS OF PROVIDENCE TRANSMOUNTAIN CAMPUS"/>
    <s v="2000 TRANSMOUNTAIN RD"/>
    <s v="EL PASO"/>
    <s v="TX"/>
    <s v="79911"/>
    <s v="EL PASO"/>
    <s v="(915) 877-8136"/>
    <s v="Acute Care Hospitals"/>
    <x v="0"/>
    <s v="Yes"/>
    <x v="0"/>
    <s v="2"/>
    <s v=""/>
    <n v="74"/>
    <n v="74"/>
    <n v="55"/>
    <n v="80"/>
    <n v="67"/>
    <n v="64"/>
    <s v="701"/>
    <n v="14"/>
    <d v="2024-07-01T00:00:00"/>
    <d v="2025-06-30T00:00:00"/>
    <n v="15.3"/>
    <x v="0"/>
    <n v="683"/>
    <n v="13.9"/>
    <n v="16.899999999999999"/>
    <s v=""/>
    <d v="2023-07-01T00:00:00"/>
    <d v="2024-06-30T00:00:00"/>
    <x v="0"/>
    <x v="0"/>
    <x v="0"/>
    <s v="Low (1-2)"/>
    <n v="1"/>
    <n v="1"/>
    <n v="0"/>
    <n v="3"/>
    <n v="2"/>
    <x v="0"/>
    <x v="0"/>
    <n v="-7"/>
    <n v="0.40000000000000036"/>
  </r>
  <r>
    <x v="253"/>
    <s v="SAINT CAMILLUS MEDICAL CENTER"/>
    <s v="1612 HURST TOWN CENTER DRIVE"/>
    <s v="HURST"/>
    <s v="TX"/>
    <s v="76054"/>
    <s v="TARRANT"/>
    <s v="(817) 519-3700"/>
    <s v="Acute Care Hospitals"/>
    <x v="0"/>
    <s v="Yes"/>
    <x v="4"/>
    <s v="Not Available"/>
    <s v="16"/>
    <m/>
    <m/>
    <m/>
    <m/>
    <m/>
    <m/>
    <s v="Not Available"/>
    <m/>
    <d v="2024-07-01T00:00:00"/>
    <d v="2025-06-30T00:00:00"/>
    <m/>
    <x v="3"/>
    <m/>
    <m/>
    <m/>
    <s v="5"/>
    <d v="2023-07-01T00:00:00"/>
    <d v="2024-06-30T00:00:00"/>
    <x v="1"/>
    <x v="1"/>
    <x v="1"/>
    <s v="Unavailable"/>
    <s v=""/>
    <s v=""/>
    <s v=""/>
    <n v="0"/>
    <n v="0"/>
    <x v="3"/>
    <x v="4"/>
    <s v=""/>
    <s v=""/>
  </r>
  <r>
    <x v="254"/>
    <s v="HOUSTON METHODIST THE WOODLANDS HOSPITAL"/>
    <s v="17201 INTERSTATE 45 SOUTH"/>
    <s v="THE WOODLANDS"/>
    <s v="TX"/>
    <s v="77385"/>
    <s v="MONTGOMERY"/>
    <s v="(936) 270-2000"/>
    <s v="Acute Care Hospitals"/>
    <x v="1"/>
    <s v="Yes"/>
    <x v="3"/>
    <s v="5"/>
    <s v=""/>
    <n v="80"/>
    <n v="77"/>
    <n v="62"/>
    <n v="89"/>
    <n v="83"/>
    <n v="84"/>
    <s v="2971"/>
    <n v="20"/>
    <d v="2024-07-01T00:00:00"/>
    <d v="2025-06-30T00:00:00"/>
    <n v="13.6"/>
    <x v="1"/>
    <n v="3807"/>
    <n v="12.8"/>
    <n v="14.4"/>
    <s v=""/>
    <d v="2023-07-01T00:00:00"/>
    <d v="2024-06-30T00:00:00"/>
    <x v="0"/>
    <x v="0"/>
    <x v="0"/>
    <s v="High (4-5)"/>
    <n v="0"/>
    <n v="0"/>
    <n v="0"/>
    <n v="3"/>
    <n v="0"/>
    <x v="1"/>
    <x v="1"/>
    <n v="13"/>
    <n v="-1.3000000000000007"/>
  </r>
  <r>
    <x v="255"/>
    <s v="THE HOSPITALS OF PROVIDENCE HORIZON CITY CAMPUS"/>
    <s v="13600 HORIZON STREET, SUITE 100"/>
    <s v="HORIZON CITY"/>
    <s v="TX"/>
    <s v="79928"/>
    <s v="EL PASO"/>
    <s v="(915) 407-7878"/>
    <s v="Acute Care Hospitals"/>
    <x v="0"/>
    <s v="Yes"/>
    <x v="4"/>
    <s v="Not Available"/>
    <s v="16"/>
    <n v="88"/>
    <n v="84"/>
    <n v="75"/>
    <n v="89"/>
    <n v="77"/>
    <n v="85"/>
    <s v="90"/>
    <n v="18"/>
    <d v="2024-07-01T00:00:00"/>
    <d v="2025-06-30T00:00:00"/>
    <n v="14.8"/>
    <x v="0"/>
    <n v="40"/>
    <n v="12.8"/>
    <n v="17.3"/>
    <s v=""/>
    <d v="2023-07-01T00:00:00"/>
    <d v="2024-06-30T00:00:00"/>
    <x v="1"/>
    <x v="0"/>
    <x v="0"/>
    <s v="Unavailable"/>
    <s v=""/>
    <n v="0"/>
    <n v="0"/>
    <n v="2"/>
    <n v="0"/>
    <x v="3"/>
    <x v="1"/>
    <n v="14"/>
    <n v="-9.9999999999999645E-2"/>
  </r>
  <r>
    <x v="256"/>
    <s v="TEXAS CENTER FOR INFECTIOUS DISEASE"/>
    <s v="2303 SE MILITARY DR P O BOX 23340"/>
    <s v="SAN ANTONIO"/>
    <s v="TX"/>
    <s v="78223"/>
    <s v="BEXAR"/>
    <s v="(210) 534-8857"/>
    <s v="Acute Care Hospitals"/>
    <x v="3"/>
    <s v="No"/>
    <x v="4"/>
    <s v="Not Available"/>
    <s v="19"/>
    <m/>
    <m/>
    <m/>
    <m/>
    <m/>
    <m/>
    <s v="Not Available"/>
    <m/>
    <d v="2024-07-01T00:00:00"/>
    <d v="2025-06-30T00:00:00"/>
    <m/>
    <x v="3"/>
    <m/>
    <m/>
    <m/>
    <s v="19"/>
    <d v="2023-07-01T00:00:00"/>
    <d v="2024-06-30T00:00:00"/>
    <x v="1"/>
    <x v="1"/>
    <x v="1"/>
    <s v="Unavailable"/>
    <s v=""/>
    <s v=""/>
    <s v=""/>
    <n v="0"/>
    <n v="0"/>
    <x v="3"/>
    <x v="4"/>
    <s v=""/>
    <s v=""/>
  </r>
  <r>
    <x v="257"/>
    <s v="BAYLOR SCOTT &amp; WHITE MEDICAL CENTER PFLUGERVILLE"/>
    <s v="2600 EAST  PFLUGERVILLE  PARKWAY"/>
    <s v="PFLUGERVILLE"/>
    <s v="TX"/>
    <s v="78660"/>
    <s v="TRAVIS"/>
    <s v="(512) 654-6100"/>
    <s v="Acute Care Hospitals"/>
    <x v="1"/>
    <s v="Yes"/>
    <x v="1"/>
    <s v="4"/>
    <s v=""/>
    <n v="85"/>
    <n v="81"/>
    <n v="64"/>
    <n v="91"/>
    <n v="79"/>
    <n v="77"/>
    <s v="150"/>
    <n v="14"/>
    <d v="2024-07-01T00:00:00"/>
    <d v="2025-06-30T00:00:00"/>
    <n v="14.8"/>
    <x v="0"/>
    <n v="206"/>
    <n v="13.3"/>
    <n v="16.8"/>
    <s v=""/>
    <d v="2023-07-01T00:00:00"/>
    <d v="2024-06-30T00:00:00"/>
    <x v="0"/>
    <x v="0"/>
    <x v="0"/>
    <s v="High (4-5)"/>
    <n v="0"/>
    <n v="0"/>
    <n v="0"/>
    <n v="3"/>
    <n v="0"/>
    <x v="1"/>
    <x v="3"/>
    <n v="6"/>
    <n v="-9.9999999999999645E-2"/>
  </r>
  <r>
    <x v="258"/>
    <s v="BAYLOR SCOTT &amp; WHITE MEDICAL CENTER - BUDA"/>
    <s v="5330 OVERPASS ROAD SUITE 110"/>
    <s v="BUDA"/>
    <s v="TX"/>
    <s v="78610"/>
    <s v="HAYS"/>
    <s v="(737) 999-6200"/>
    <s v="Acute Care Hospitals"/>
    <x v="1"/>
    <s v="Yes"/>
    <x v="4"/>
    <s v="Not Available"/>
    <s v="16"/>
    <n v="83"/>
    <n v="80"/>
    <n v="63"/>
    <n v="86"/>
    <n v="88"/>
    <n v="87"/>
    <s v="47"/>
    <n v="14"/>
    <d v="2024-07-01T00:00:00"/>
    <d v="2025-06-30T00:00:00"/>
    <n v="14.8"/>
    <x v="0"/>
    <n v="56"/>
    <n v="13.3"/>
    <n v="16.899999999999999"/>
    <s v=""/>
    <d v="2023-07-01T00:00:00"/>
    <d v="2024-06-30T00:00:00"/>
    <x v="1"/>
    <x v="0"/>
    <x v="0"/>
    <s v="Unavailable"/>
    <s v=""/>
    <n v="0"/>
    <n v="0"/>
    <n v="2"/>
    <n v="0"/>
    <x v="3"/>
    <x v="1"/>
    <n v="16"/>
    <n v="-9.9999999999999645E-2"/>
  </r>
  <r>
    <x v="259"/>
    <s v="METHODIST SOUTHLAKE MEDICAL CENTER"/>
    <s v="421 E STATE HIGHWAY 114"/>
    <s v="SOUTHLAKE"/>
    <s v="TX"/>
    <s v="76092"/>
    <s v="TARRANT"/>
    <s v="(878) 654-4400"/>
    <s v="Acute Care Hospitals"/>
    <x v="0"/>
    <s v="Yes"/>
    <x v="4"/>
    <s v="Not Available"/>
    <s v="16"/>
    <n v="88"/>
    <n v="86"/>
    <n v="69"/>
    <n v="92"/>
    <n v="91"/>
    <n v="90"/>
    <s v="95"/>
    <n v="24"/>
    <d v="2024-07-01T00:00:00"/>
    <d v="2025-06-30T00:00:00"/>
    <n v="15.1"/>
    <x v="0"/>
    <n v="73"/>
    <n v="13.5"/>
    <n v="17"/>
    <s v=""/>
    <d v="2023-07-01T00:00:00"/>
    <d v="2024-06-30T00:00:00"/>
    <x v="1"/>
    <x v="0"/>
    <x v="0"/>
    <s v="Unavailable"/>
    <s v=""/>
    <n v="0"/>
    <n v="0"/>
    <n v="2"/>
    <n v="0"/>
    <x v="3"/>
    <x v="1"/>
    <n v="19"/>
    <n v="0.19999999999999929"/>
  </r>
  <r>
    <x v="260"/>
    <s v="ALTUS LUMBERTON HOSPITAL"/>
    <s v="220 BLANCO ST"/>
    <s v="LUMBERTON"/>
    <s v="TX"/>
    <s v="77657"/>
    <s v="HARDIN"/>
    <s v="(409) 227-0520"/>
    <s v="Acute Care Hospitals"/>
    <x v="0"/>
    <s v="Yes"/>
    <x v="4"/>
    <s v="Not Available"/>
    <s v="16"/>
    <n v="93"/>
    <n v="93"/>
    <n v="76"/>
    <n v="85"/>
    <n v="93"/>
    <n v="93"/>
    <s v="42"/>
    <n v="25"/>
    <d v="2024-07-01T00:00:00"/>
    <d v="2025-06-30T00:00:00"/>
    <n v="14.8"/>
    <x v="0"/>
    <n v="37"/>
    <n v="12.8"/>
    <n v="17.100000000000001"/>
    <s v=""/>
    <d v="2023-07-01T00:00:00"/>
    <d v="2024-06-30T00:00:00"/>
    <x v="1"/>
    <x v="0"/>
    <x v="0"/>
    <s v="Unavailable"/>
    <s v=""/>
    <n v="0"/>
    <n v="0"/>
    <n v="2"/>
    <n v="0"/>
    <x v="3"/>
    <x v="1"/>
    <n v="22"/>
    <n v="-9.9999999999999645E-2"/>
  </r>
  <r>
    <x v="261"/>
    <s v="ALTUS HOUSTON HOSPITAL, LP"/>
    <s v="6011 W SAM HOUSTON PKWY SOUTH"/>
    <s v="HOUSTON"/>
    <s v="TX"/>
    <s v="77072"/>
    <s v="HARRIS"/>
    <s v="(713) 773-0556"/>
    <s v="Acute Care Hospitals"/>
    <x v="0"/>
    <s v="Yes"/>
    <x v="4"/>
    <s v="Not Available"/>
    <s v="16"/>
    <m/>
    <m/>
    <m/>
    <m/>
    <m/>
    <m/>
    <s v="Not Available"/>
    <m/>
    <d v="2024-07-01T00:00:00"/>
    <d v="2025-06-30T00:00:00"/>
    <m/>
    <x v="3"/>
    <m/>
    <m/>
    <m/>
    <s v="1"/>
    <d v="2023-07-01T00:00:00"/>
    <d v="2024-06-30T00:00:00"/>
    <x v="1"/>
    <x v="1"/>
    <x v="1"/>
    <s v="Unavailable"/>
    <s v=""/>
    <s v=""/>
    <s v=""/>
    <n v="0"/>
    <n v="0"/>
    <x v="3"/>
    <x v="4"/>
    <s v=""/>
    <s v=""/>
  </r>
  <r>
    <x v="262"/>
    <s v="BAYLOR SCOTT &amp; WHITE MEDICAL CENTER- AUSTIN"/>
    <s v="5245 W US 290"/>
    <s v="AUSTIN"/>
    <s v="TX"/>
    <s v="78735"/>
    <s v="TRAVIS"/>
    <s v="(512) 654-2100"/>
    <s v="Acute Care Hospitals"/>
    <x v="1"/>
    <s v="No"/>
    <x v="4"/>
    <s v="Not Available"/>
    <s v="16"/>
    <n v="85"/>
    <n v="85"/>
    <n v="67"/>
    <n v="88"/>
    <n v="83"/>
    <n v="85"/>
    <s v="60"/>
    <n v="15"/>
    <d v="2024-07-01T00:00:00"/>
    <d v="2025-06-30T00:00:00"/>
    <n v="15.3"/>
    <x v="0"/>
    <n v="140"/>
    <n v="13.5"/>
    <n v="17.3"/>
    <s v=""/>
    <d v="2023-07-01T00:00:00"/>
    <d v="2024-06-30T00:00:00"/>
    <x v="1"/>
    <x v="0"/>
    <x v="0"/>
    <s v="Unavailable"/>
    <s v=""/>
    <n v="0"/>
    <n v="0"/>
    <n v="2"/>
    <n v="0"/>
    <x v="3"/>
    <x v="1"/>
    <n v="14"/>
    <n v="0.40000000000000036"/>
  </r>
  <r>
    <x v="263"/>
    <s v="TEXAS HEALTH HOSPITAL FRISCO"/>
    <s v="12400 N DALLAS PARKWAY"/>
    <s v="FRISCO"/>
    <s v="TX"/>
    <s v="75033"/>
    <s v="DENTON"/>
    <s v="(469) 495-2000"/>
    <s v="Acute Care Hospitals"/>
    <x v="1"/>
    <s v="Yes"/>
    <x v="1"/>
    <s v="4"/>
    <s v=""/>
    <n v="77"/>
    <n v="78"/>
    <n v="57"/>
    <n v="87"/>
    <n v="78"/>
    <n v="80"/>
    <s v="702"/>
    <n v="15"/>
    <d v="2024-07-01T00:00:00"/>
    <d v="2025-06-30T00:00:00"/>
    <n v="15.2"/>
    <x v="0"/>
    <n v="720"/>
    <n v="13.8"/>
    <n v="16.8"/>
    <s v=""/>
    <d v="2023-07-01T00:00:00"/>
    <d v="2024-06-30T00:00:00"/>
    <x v="0"/>
    <x v="0"/>
    <x v="0"/>
    <s v="High (4-5)"/>
    <n v="0"/>
    <n v="0"/>
    <n v="0"/>
    <n v="3"/>
    <n v="0"/>
    <x v="1"/>
    <x v="1"/>
    <n v="9"/>
    <n v="0.29999999999999893"/>
  </r>
  <r>
    <x v="264"/>
    <s v="LEGENT ORTHOPEDIC HOSPITAL"/>
    <s v="4201 WILLIAM D TATE AVENUE"/>
    <s v="GRAPEVINE"/>
    <s v="TX"/>
    <s v="76051"/>
    <s v="TARRANT"/>
    <s v="(817) 288-1300"/>
    <s v="Acute Care Hospitals"/>
    <x v="0"/>
    <s v="No"/>
    <x v="4"/>
    <s v="Not Available"/>
    <s v="16"/>
    <n v="80"/>
    <n v="75"/>
    <n v="61"/>
    <n v="85"/>
    <n v="69"/>
    <n v="75"/>
    <s v="115"/>
    <n v="22"/>
    <d v="2024-07-01T00:00:00"/>
    <d v="2025-06-30T00:00:00"/>
    <n v="15.3"/>
    <x v="0"/>
    <n v="86"/>
    <n v="12.5"/>
    <n v="18.899999999999999"/>
    <s v=""/>
    <d v="2023-07-01T00:00:00"/>
    <d v="2024-06-30T00:00:00"/>
    <x v="1"/>
    <x v="0"/>
    <x v="0"/>
    <s v="Unavailable"/>
    <s v=""/>
    <n v="0"/>
    <n v="0"/>
    <n v="2"/>
    <n v="0"/>
    <x v="3"/>
    <x v="3"/>
    <n v="4"/>
    <n v="0.40000000000000036"/>
  </r>
  <r>
    <x v="265"/>
    <s v="TOWNSEN MEMORIAL HOSPITAL"/>
    <s v="1475 FM 1960 BYPASS E"/>
    <s v="HUMBLE"/>
    <s v="TX"/>
    <s v="77338"/>
    <s v="HARRIS"/>
    <s v="(281) 369-9001"/>
    <s v="Acute Care Hospitals"/>
    <x v="0"/>
    <s v="Yes"/>
    <x v="4"/>
    <s v="Not Available"/>
    <s v="16"/>
    <n v="75"/>
    <n v="77"/>
    <n v="55"/>
    <n v="83"/>
    <n v="69"/>
    <n v="67"/>
    <s v="47"/>
    <n v="10"/>
    <d v="2024-07-01T00:00:00"/>
    <d v="2025-06-30T00:00:00"/>
    <m/>
    <x v="3"/>
    <m/>
    <m/>
    <m/>
    <s v="1"/>
    <d v="2023-07-01T00:00:00"/>
    <d v="2024-06-30T00:00:00"/>
    <x v="1"/>
    <x v="0"/>
    <x v="1"/>
    <s v="Unavailable"/>
    <s v=""/>
    <n v="1"/>
    <s v=""/>
    <n v="1"/>
    <n v="1"/>
    <x v="3"/>
    <x v="2"/>
    <n v="-4"/>
    <s v=""/>
  </r>
  <r>
    <x v="266"/>
    <s v="THE WOODLANDS SPECIALTY HOSPITAL"/>
    <s v="25440 INTERSTATE 45 NORTH"/>
    <s v="SPRING"/>
    <s v="TX"/>
    <s v="77386"/>
    <s v="MONTGOMERY"/>
    <s v="(281) 602-8160"/>
    <s v="Acute Care Hospitals"/>
    <x v="0"/>
    <s v="Yes"/>
    <x v="4"/>
    <s v="Not Available"/>
    <s v="16"/>
    <n v="82"/>
    <n v="86"/>
    <n v="55"/>
    <n v="88"/>
    <n v="67"/>
    <n v="59"/>
    <s v="53"/>
    <n v="18"/>
    <d v="2024-07-01T00:00:00"/>
    <d v="2025-06-30T00:00:00"/>
    <n v="15"/>
    <x v="0"/>
    <n v="33"/>
    <n v="12.6"/>
    <n v="18"/>
    <s v=""/>
    <d v="2023-07-01T00:00:00"/>
    <d v="2024-06-30T00:00:00"/>
    <x v="1"/>
    <x v="0"/>
    <x v="0"/>
    <s v="Unavailable"/>
    <s v=""/>
    <n v="1"/>
    <n v="0"/>
    <n v="2"/>
    <n v="1"/>
    <x v="3"/>
    <x v="0"/>
    <n v="-12"/>
    <n v="9.9999999999999645E-2"/>
  </r>
  <r>
    <x v="267"/>
    <s v="ELITE HOSPITAL KINGWOOD"/>
    <s v="23330 HIGHWAY 59 N"/>
    <s v="KINGWOOD"/>
    <s v="TX"/>
    <s v="77339"/>
    <s v="HARRIS"/>
    <s v="(832) 777-6165"/>
    <s v="Acute Care Hospitals"/>
    <x v="0"/>
    <s v="No"/>
    <x v="4"/>
    <s v="Not Available"/>
    <s v="16"/>
    <m/>
    <m/>
    <m/>
    <m/>
    <m/>
    <m/>
    <s v="Not Available"/>
    <m/>
    <d v="2024-07-01T00:00:00"/>
    <d v="2025-06-30T00:00:00"/>
    <m/>
    <x v="3"/>
    <m/>
    <m/>
    <m/>
    <s v="1"/>
    <d v="2023-07-01T00:00:00"/>
    <d v="2024-06-30T00:00:00"/>
    <x v="1"/>
    <x v="1"/>
    <x v="1"/>
    <s v="Unavailable"/>
    <s v=""/>
    <s v=""/>
    <s v=""/>
    <n v="0"/>
    <n v="0"/>
    <x v="3"/>
    <x v="4"/>
    <s v=""/>
    <s v=""/>
  </r>
  <r>
    <x v="268"/>
    <s v="METHODIST MIDLOTHIAN MEDICAL CENTER"/>
    <s v="1201 E HIGHWAY 287"/>
    <s v="MIDLOTHIAN"/>
    <s v="TX"/>
    <s v="76065"/>
    <s v="ELLIS"/>
    <s v="(469) 846-2000"/>
    <s v="Acute Care Hospitals"/>
    <x v="1"/>
    <s v="Yes"/>
    <x v="1"/>
    <s v="4"/>
    <s v=""/>
    <n v="80"/>
    <n v="79"/>
    <n v="67"/>
    <n v="86"/>
    <n v="83"/>
    <n v="82"/>
    <s v="343"/>
    <n v="20"/>
    <d v="2024-07-01T00:00:00"/>
    <d v="2025-06-30T00:00:00"/>
    <n v="14.4"/>
    <x v="0"/>
    <n v="273"/>
    <n v="12.9"/>
    <n v="16.2"/>
    <s v=""/>
    <d v="2023-07-01T00:00:00"/>
    <d v="2024-06-30T00:00:00"/>
    <x v="0"/>
    <x v="0"/>
    <x v="0"/>
    <s v="High (4-5)"/>
    <n v="0"/>
    <n v="0"/>
    <n v="0"/>
    <n v="3"/>
    <n v="0"/>
    <x v="1"/>
    <x v="1"/>
    <n v="11"/>
    <n v="-0.5"/>
  </r>
  <r>
    <x v="269"/>
    <s v="TEXAS HEALTH HOSPITAL MANSFIELD"/>
    <s v="2300 LONE STAR ROAD"/>
    <s v="MANSFIELD"/>
    <s v="TX"/>
    <s v="76063"/>
    <s v="TARRANT"/>
    <s v="(682) 341-5000"/>
    <s v="Acute Care Hospitals"/>
    <x v="0"/>
    <s v="Yes"/>
    <x v="3"/>
    <s v="5"/>
    <s v=""/>
    <n v="78"/>
    <n v="75"/>
    <n v="57"/>
    <n v="87"/>
    <n v="79"/>
    <n v="80"/>
    <s v="187"/>
    <n v="11"/>
    <d v="2024-07-01T00:00:00"/>
    <d v="2025-06-30T00:00:00"/>
    <n v="15.3"/>
    <x v="0"/>
    <n v="176"/>
    <n v="13.8"/>
    <n v="17"/>
    <s v=""/>
    <d v="2023-07-01T00:00:00"/>
    <d v="2024-06-30T00:00:00"/>
    <x v="0"/>
    <x v="0"/>
    <x v="0"/>
    <s v="High (4-5)"/>
    <n v="0"/>
    <n v="0"/>
    <n v="0"/>
    <n v="3"/>
    <n v="0"/>
    <x v="1"/>
    <x v="1"/>
    <n v="9"/>
    <n v="0.40000000000000036"/>
  </r>
  <r>
    <x v="270"/>
    <s v="ST MICHAELS MEDICAL HOSPITAL LLC"/>
    <s v="16000 SOUTHWEST FREEWAY, SUITE 100"/>
    <s v="SUGAR LAND"/>
    <s v="TX"/>
    <s v="77479"/>
    <s v="FORT BEND"/>
    <s v="(281) 980-4357"/>
    <s v="Acute Care Hospitals"/>
    <x v="0"/>
    <s v="Yes"/>
    <x v="4"/>
    <s v="Not Available"/>
    <s v="16"/>
    <m/>
    <m/>
    <m/>
    <m/>
    <m/>
    <m/>
    <s v="Not Available"/>
    <m/>
    <d v="2024-07-01T00:00:00"/>
    <d v="2025-06-30T00:00:00"/>
    <m/>
    <x v="3"/>
    <m/>
    <m/>
    <m/>
    <s v="1"/>
    <d v="2023-07-01T00:00:00"/>
    <d v="2024-06-30T00:00:00"/>
    <x v="1"/>
    <x v="1"/>
    <x v="1"/>
    <s v="Unavailable"/>
    <s v=""/>
    <s v=""/>
    <s v=""/>
    <n v="0"/>
    <n v="0"/>
    <x v="3"/>
    <x v="4"/>
    <s v=""/>
    <s v=""/>
  </r>
  <r>
    <x v="271"/>
    <s v="EAST HOUSTON MEDICAL CENTER"/>
    <s v="15149 WALLISVILLE ROAD"/>
    <s v="HOUSTON"/>
    <s v="TX"/>
    <s v="77049"/>
    <s v="HARRIS"/>
    <s v="(281) 988-9800"/>
    <s v="Acute Care Hospitals"/>
    <x v="0"/>
    <s v="Yes"/>
    <x v="4"/>
    <s v="Not Available"/>
    <s v="5"/>
    <m/>
    <m/>
    <m/>
    <m/>
    <m/>
    <m/>
    <s v="Not Available"/>
    <m/>
    <d v="2024-07-01T00:00:00"/>
    <d v="2025-06-30T00:00:00"/>
    <m/>
    <x v="3"/>
    <m/>
    <m/>
    <m/>
    <s v="1"/>
    <d v="2023-07-01T00:00:00"/>
    <d v="2024-06-30T00:00:00"/>
    <x v="1"/>
    <x v="1"/>
    <x v="1"/>
    <s v="Unavailable"/>
    <s v=""/>
    <s v=""/>
    <s v=""/>
    <n v="0"/>
    <n v="0"/>
    <x v="3"/>
    <x v="4"/>
    <s v=""/>
    <s v=""/>
  </r>
  <r>
    <x v="272"/>
    <s v="ADVANCED DALLAS HOSPITALS AND CLINICS"/>
    <s v="7502 GREENVILLE AVENUE"/>
    <s v="DALLAS"/>
    <s v="TX"/>
    <s v="75231"/>
    <s v="DALLAS"/>
    <s v="(214) 221-6000"/>
    <s v="Acute Care Hospitals"/>
    <x v="0"/>
    <s v="Yes"/>
    <x v="4"/>
    <s v="Not Available"/>
    <s v="16"/>
    <m/>
    <m/>
    <m/>
    <m/>
    <m/>
    <m/>
    <s v="Not Available"/>
    <m/>
    <d v="2024-07-01T00:00:00"/>
    <d v="2025-06-30T00:00:00"/>
    <m/>
    <x v="3"/>
    <m/>
    <m/>
    <m/>
    <s v="1"/>
    <d v="2023-07-01T00:00:00"/>
    <d v="2024-06-30T00:00:00"/>
    <x v="1"/>
    <x v="1"/>
    <x v="1"/>
    <s v="Unavailable"/>
    <s v=""/>
    <s v=""/>
    <s v=""/>
    <n v="0"/>
    <n v="0"/>
    <x v="3"/>
    <x v="4"/>
    <s v=""/>
    <s v=""/>
  </r>
  <r>
    <x v="273"/>
    <s v="LEGENT SURGICAL HOSPITAL PLANO"/>
    <s v="4100 MAPLESHADE LANE"/>
    <s v="PLANO"/>
    <s v="TX"/>
    <s v="75075"/>
    <s v="COLLIN"/>
    <s v="(972) 265-1050"/>
    <s v="Acute Care Hospitals"/>
    <x v="0"/>
    <s v="Yes"/>
    <x v="4"/>
    <s v="Not Available"/>
    <s v="16"/>
    <n v="88"/>
    <n v="78"/>
    <n v="68"/>
    <n v="90"/>
    <n v="77"/>
    <n v="77"/>
    <s v="39"/>
    <n v="26"/>
    <d v="2024-07-01T00:00:00"/>
    <d v="2025-06-30T00:00:00"/>
    <m/>
    <x v="3"/>
    <m/>
    <m/>
    <m/>
    <s v="1"/>
    <d v="2023-07-01T00:00:00"/>
    <d v="2024-06-30T00:00:00"/>
    <x v="1"/>
    <x v="0"/>
    <x v="1"/>
    <s v="Unavailable"/>
    <s v=""/>
    <n v="0"/>
    <s v=""/>
    <n v="1"/>
    <n v="0"/>
    <x v="3"/>
    <x v="3"/>
    <n v="6"/>
    <s v=""/>
  </r>
  <r>
    <x v="274"/>
    <s v="BRUSHY CREEK FAMILY HOSPITAL LLC"/>
    <s v="230 DEER RIDGE DR"/>
    <s v="ROUND ROCK"/>
    <s v="TX"/>
    <s v="78681"/>
    <s v="WILLIAMSON"/>
    <s v="(512) 766-1400"/>
    <s v="Acute Care Hospitals"/>
    <x v="0"/>
    <s v="No"/>
    <x v="4"/>
    <s v="Not Available"/>
    <s v="5"/>
    <m/>
    <m/>
    <m/>
    <m/>
    <m/>
    <m/>
    <s v="Not Available"/>
    <m/>
    <d v="2024-07-01T00:00:00"/>
    <d v="2025-06-30T00:00:00"/>
    <m/>
    <x v="3"/>
    <m/>
    <m/>
    <m/>
    <s v="5"/>
    <d v="2023-07-01T00:00:00"/>
    <d v="2024-06-30T00:00:00"/>
    <x v="1"/>
    <x v="1"/>
    <x v="1"/>
    <s v="Unavailable"/>
    <s v=""/>
    <s v=""/>
    <s v=""/>
    <n v="0"/>
    <n v="0"/>
    <x v="3"/>
    <x v="4"/>
    <s v=""/>
    <s v=""/>
  </r>
  <r>
    <x v="275"/>
    <s v="EXCEPTIONAL COMMUNITY HOSPITAL LUBBOCK"/>
    <s v="6401 SPUR 327"/>
    <s v="LUBBOCK"/>
    <s v="TX"/>
    <s v="79424"/>
    <s v="LUBBOCK"/>
    <s v="(469) 341-7800"/>
    <s v="Acute Care Hospitals"/>
    <x v="0"/>
    <s v="Yes"/>
    <x v="4"/>
    <s v="Not Available"/>
    <s v="19"/>
    <m/>
    <m/>
    <m/>
    <m/>
    <m/>
    <m/>
    <s v="Not Available"/>
    <m/>
    <d v="2024-07-01T00:00:00"/>
    <d v="2025-06-30T00:00:00"/>
    <m/>
    <x v="3"/>
    <m/>
    <m/>
    <m/>
    <s v="19"/>
    <d v="2023-07-01T00:00:00"/>
    <d v="2024-06-30T00:00:00"/>
    <x v="1"/>
    <x v="1"/>
    <x v="1"/>
    <s v="Unavailable"/>
    <s v=""/>
    <s v=""/>
    <s v=""/>
    <n v="0"/>
    <n v="0"/>
    <x v="3"/>
    <x v="4"/>
    <s v=""/>
    <s v=""/>
  </r>
  <r>
    <x v="276"/>
    <s v="MID COAST MEDICAL CENTER-TRINITY"/>
    <s v="317 PROSPECT DRIVE"/>
    <s v="TRINITY"/>
    <s v="TX"/>
    <s v="75862"/>
    <s v="TRINITY"/>
    <s v="(936) 744-1256"/>
    <s v="Acute Care Hospitals"/>
    <x v="4"/>
    <s v="Yes"/>
    <x v="4"/>
    <s v="Not Available"/>
    <s v="5"/>
    <m/>
    <m/>
    <m/>
    <m/>
    <m/>
    <m/>
    <s v="Not Available"/>
    <m/>
    <d v="2024-07-01T00:00:00"/>
    <d v="2025-06-30T00:00:00"/>
    <m/>
    <x v="3"/>
    <m/>
    <m/>
    <m/>
    <s v="5"/>
    <d v="2023-07-01T00:00:00"/>
    <d v="2024-06-30T00:00:00"/>
    <x v="1"/>
    <x v="1"/>
    <x v="1"/>
    <s v="Unavailable"/>
    <s v=""/>
    <s v=""/>
    <s v=""/>
    <n v="0"/>
    <n v="0"/>
    <x v="3"/>
    <x v="4"/>
    <s v=""/>
    <s v=""/>
  </r>
  <r>
    <x v="277"/>
    <s v="WESTOVER HILLS BAPTIST HOSPITAL"/>
    <s v="3011 W LOOP 1604 N"/>
    <s v="SAN ANTONIO"/>
    <s v="TX"/>
    <s v="78251"/>
    <s v="BEXAR"/>
    <s v="(726) 266-8100"/>
    <s v="Acute Care Hospitals"/>
    <x v="0"/>
    <s v="Yes"/>
    <x v="4"/>
    <s v="Not Available"/>
    <s v="5"/>
    <m/>
    <m/>
    <m/>
    <m/>
    <m/>
    <m/>
    <s v="Not Available"/>
    <m/>
    <d v="2024-07-01T00:00:00"/>
    <d v="2025-06-30T00:00:00"/>
    <m/>
    <x v="3"/>
    <m/>
    <m/>
    <m/>
    <s v="5"/>
    <d v="2023-07-01T00:00:00"/>
    <d v="2024-06-30T00:00:00"/>
    <x v="1"/>
    <x v="1"/>
    <x v="1"/>
    <s v="Unavailable"/>
    <s v=""/>
    <s v=""/>
    <s v=""/>
    <n v="0"/>
    <n v="0"/>
    <x v="3"/>
    <x v="4"/>
    <s v=""/>
    <s v=""/>
  </r>
  <r>
    <x v="278"/>
    <s v="UT HEALTH SAN ANTONIO MULTISPECIALTY &amp; RESEARCH HO"/>
    <s v="8311 EWING HALSELL DR"/>
    <s v="SAN ANTONIO"/>
    <s v="TX"/>
    <s v="78229"/>
    <s v="BEXAR"/>
    <s v="(210) 450-7044"/>
    <s v="Acute Care Hospitals"/>
    <x v="3"/>
    <s v="No"/>
    <x v="4"/>
    <s v="Not Available"/>
    <s v="5"/>
    <m/>
    <m/>
    <m/>
    <m/>
    <m/>
    <m/>
    <s v="Not Available"/>
    <m/>
    <d v="2024-07-01T00:00:00"/>
    <d v="2025-06-30T00:00:00"/>
    <m/>
    <x v="3"/>
    <m/>
    <m/>
    <m/>
    <s v="5"/>
    <d v="2023-07-01T00:00:00"/>
    <d v="2024-06-30T00:00:00"/>
    <x v="1"/>
    <x v="1"/>
    <x v="1"/>
    <s v="Unavailable"/>
    <s v=""/>
    <s v=""/>
    <s v=""/>
    <n v="0"/>
    <n v="0"/>
    <x v="3"/>
    <x v="4"/>
    <s v=""/>
    <s v=""/>
  </r>
  <r>
    <x v="279"/>
    <s v="BANDERA FAMILY HOSPITAL"/>
    <s v="8703 BANDERA RD"/>
    <s v="SAN ANTONIO"/>
    <s v="TX"/>
    <s v="78250"/>
    <s v="BEXAR"/>
    <s v="(210) 332-1730"/>
    <s v="Acute Care Hospitals"/>
    <x v="0"/>
    <s v="Yes"/>
    <x v="4"/>
    <s v="Not Available"/>
    <s v="19"/>
    <m/>
    <m/>
    <m/>
    <m/>
    <m/>
    <m/>
    <s v="Not Available"/>
    <m/>
    <d v="2024-07-01T00:00:00"/>
    <d v="2025-06-30T00:00:00"/>
    <m/>
    <x v="3"/>
    <m/>
    <m/>
    <m/>
    <s v="19"/>
    <d v="2023-07-01T00:00:00"/>
    <d v="2024-06-30T00:00:00"/>
    <x v="1"/>
    <x v="1"/>
    <x v="1"/>
    <s v="Unavailable"/>
    <s v=""/>
    <s v=""/>
    <s v=""/>
    <n v="0"/>
    <n v="0"/>
    <x v="3"/>
    <x v="4"/>
    <s v=""/>
    <s v=""/>
  </r>
  <r>
    <x v="280"/>
    <s v="METHODIST CELINA MEDICAL CENTER"/>
    <s v="1500 S DALLAS PARKWAY"/>
    <s v="CELINA"/>
    <s v="TX"/>
    <s v="75009"/>
    <s v="COLLIN"/>
    <s v="(214) 947-6452"/>
    <s v="Acute Care Hospitals"/>
    <x v="1"/>
    <s v="Yes"/>
    <x v="4"/>
    <s v="Not Available"/>
    <s v="5"/>
    <m/>
    <m/>
    <m/>
    <m/>
    <m/>
    <m/>
    <s v="Not Available"/>
    <m/>
    <d v="2024-07-01T00:00:00"/>
    <d v="2025-06-30T00:00:00"/>
    <m/>
    <x v="3"/>
    <m/>
    <m/>
    <m/>
    <s v="5"/>
    <d v="2023-07-01T00:00:00"/>
    <d v="2024-06-30T00:00:00"/>
    <x v="1"/>
    <x v="1"/>
    <x v="1"/>
    <s v="Unavailable"/>
    <s v=""/>
    <s v=""/>
    <s v=""/>
    <n v="0"/>
    <n v="0"/>
    <x v="3"/>
    <x v="4"/>
    <s v=""/>
    <s v=""/>
  </r>
  <r>
    <x v="281"/>
    <s v="HOUSTON METHODIST CYPRESS HOSPITAL"/>
    <s v="24500 NORTHWEST FWY"/>
    <s v="CYPRESS"/>
    <s v="TX"/>
    <s v="77429"/>
    <s v="HARRIS"/>
    <s v="(346) 618-1506"/>
    <s v="Acute Care Hospitals"/>
    <x v="1"/>
    <s v="Yes"/>
    <x v="4"/>
    <s v="Not Available"/>
    <s v="5"/>
    <m/>
    <m/>
    <m/>
    <m/>
    <m/>
    <m/>
    <s v="Not Available"/>
    <m/>
    <d v="2024-07-01T00:00:00"/>
    <d v="2025-06-30T00:00:00"/>
    <m/>
    <x v="3"/>
    <m/>
    <m/>
    <m/>
    <s v="5"/>
    <d v="2023-07-01T00:00:00"/>
    <d v="2024-06-30T00:00:00"/>
    <x v="1"/>
    <x v="1"/>
    <x v="1"/>
    <s v="Unavailable"/>
    <s v=""/>
    <s v=""/>
    <s v=""/>
    <n v="0"/>
    <n v="0"/>
    <x v="3"/>
    <x v="4"/>
    <s v=""/>
    <s v=""/>
  </r>
  <r>
    <x v="282"/>
    <s v="BAYLOR SCOTT &amp; WHITE HOSPITAL BRENHAM"/>
    <s v="700 MEDICAL PARKWAY"/>
    <s v="BRENHAM"/>
    <s v="TX"/>
    <s v="77833"/>
    <s v="WASHINGTON"/>
    <s v="(979) 836-6173"/>
    <s v="Acute Care Hospitals"/>
    <x v="1"/>
    <s v="Yes"/>
    <x v="4"/>
    <s v="Not Available"/>
    <s v="5"/>
    <m/>
    <m/>
    <m/>
    <m/>
    <m/>
    <m/>
    <s v="Not Available"/>
    <m/>
    <d v="2024-07-01T00:00:00"/>
    <d v="2025-06-30T00:00:00"/>
    <m/>
    <x v="3"/>
    <m/>
    <m/>
    <m/>
    <s v="5"/>
    <d v="2023-07-01T00:00:00"/>
    <d v="2024-06-30T00:00:00"/>
    <x v="1"/>
    <x v="1"/>
    <x v="1"/>
    <s v="Unavailable"/>
    <s v=""/>
    <s v=""/>
    <s v=""/>
    <n v="0"/>
    <n v="0"/>
    <x v="3"/>
    <x v="4"/>
    <s v=""/>
    <s v=""/>
  </r>
  <r>
    <x v="283"/>
    <s v="LEGENT NORTH HOUSTON SURGICAL HOSPITAL"/>
    <s v="24429 TOMBALL PARKWAY"/>
    <s v="TOMBALL"/>
    <s v="TX"/>
    <s v="77375"/>
    <s v="HARRIS"/>
    <s v="(346) 766-0880"/>
    <s v="Acute Care Hospitals"/>
    <x v="5"/>
    <s v="No"/>
    <x v="4"/>
    <s v="Not Available"/>
    <s v="5"/>
    <m/>
    <m/>
    <m/>
    <m/>
    <m/>
    <m/>
    <s v="Not Available"/>
    <m/>
    <d v="2024-07-01T00:00:00"/>
    <d v="2025-06-30T00:00:00"/>
    <m/>
    <x v="3"/>
    <m/>
    <m/>
    <m/>
    <s v="5"/>
    <d v="2023-07-01T00:00:00"/>
    <d v="2024-06-30T00:00:00"/>
    <x v="1"/>
    <x v="1"/>
    <x v="1"/>
    <s v="Unavailable"/>
    <s v=""/>
    <s v=""/>
    <s v=""/>
    <n v="0"/>
    <n v="0"/>
    <x v="3"/>
    <x v="4"/>
    <s v=""/>
    <s v=""/>
  </r>
  <r>
    <x v="284"/>
    <s v="BAYLOR SCOTT AND WHITE MEDICAL CENTER FRISCO AT PG"/>
    <s v="7600 BETTER WAY"/>
    <s v="FRISCO"/>
    <s v="TX"/>
    <s v="75033"/>
    <s v="DENTON"/>
    <s v="(945) 339-0500"/>
    <s v="Acute Care Hospitals"/>
    <x v="1"/>
    <s v="Yes"/>
    <x v="4"/>
    <s v="Not Available"/>
    <s v="5"/>
    <m/>
    <m/>
    <m/>
    <m/>
    <m/>
    <m/>
    <s v="Not Available"/>
    <m/>
    <d v="2024-07-01T00:00:00"/>
    <d v="2025-06-30T00:00:00"/>
    <m/>
    <x v="3"/>
    <m/>
    <m/>
    <m/>
    <s v="5"/>
    <d v="2023-07-01T00:00:00"/>
    <d v="2024-06-30T00:00:00"/>
    <x v="1"/>
    <x v="1"/>
    <x v="1"/>
    <s v="Unavailable"/>
    <s v=""/>
    <s v=""/>
    <s v=""/>
    <n v="0"/>
    <n v="0"/>
    <x v="3"/>
    <x v="4"/>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781FCD-64D2-4B94-A1C0-243C714371D9}" name="pvt_QuartileReadmis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6:H211" firstHeaderRow="0" firstDataRow="1" firstDataCol="1" rowPageCount="1" colPageCount="1"/>
  <pivotFields count="45">
    <pivotField dataField="1" showAll="0">
      <items count="2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 showAll="0"/>
    <pivotField showAll="0"/>
    <pivotField numFmtId="14" showAll="0"/>
    <pivotField numFmtId="14" showAll="0"/>
    <pivotField showAll="0"/>
    <pivotField showAll="0"/>
    <pivotField axis="axisPage" showAll="0">
      <items count="3">
        <item x="1"/>
        <item x="0"/>
        <item t="default"/>
      </items>
    </pivotField>
    <pivotField showAll="0"/>
    <pivotField showAll="0"/>
    <pivotField showAll="0"/>
    <pivotField dataField="1" showAll="0"/>
    <pivotField showAll="0"/>
    <pivotField showAll="0"/>
    <pivotField showAll="0"/>
    <pivotField axis="axisRow" showAll="0">
      <items count="6">
        <item x="0"/>
        <item x="2"/>
        <item x="3"/>
        <item x="1"/>
        <item h="1" x="4"/>
        <item t="default"/>
      </items>
    </pivotField>
    <pivotField showAll="0"/>
    <pivotField showAll="0"/>
  </pivotFields>
  <rowFields count="1">
    <field x="42"/>
  </rowFields>
  <rowItems count="5">
    <i>
      <x/>
    </i>
    <i>
      <x v="1"/>
    </i>
    <i>
      <x v="2"/>
    </i>
    <i>
      <x v="3"/>
    </i>
    <i t="grand">
      <x/>
    </i>
  </rowItems>
  <colFields count="1">
    <field x="-2"/>
  </colFields>
  <colItems count="3">
    <i>
      <x/>
    </i>
    <i i="1">
      <x v="1"/>
    </i>
    <i i="2">
      <x v="2"/>
    </i>
  </colItems>
  <pageFields count="1">
    <pageField fld="34" item="1" hier="-1"/>
  </pageFields>
  <dataFields count="3">
    <dataField name="Count of Facility_ID" fld="0" subtotal="count" baseField="0" baseItem="0"/>
    <dataField name="Average of Readmission_Rate_Pct" fld="24" subtotal="average" baseField="42" baseItem="0" numFmtId="168"/>
    <dataField name="Average of Worse_Readmission_Flag" fld="38" subtotal="average" baseField="42" baseItem="0" numFmtId="10"/>
  </dataFields>
  <formats count="9">
    <format dxfId="28">
      <pivotArea type="all" dataOnly="0" outline="0" fieldPosition="0"/>
    </format>
    <format dxfId="27">
      <pivotArea outline="0" collapsedLevelsAreSubtotals="1" fieldPosition="0"/>
    </format>
    <format dxfId="26">
      <pivotArea field="42" type="button" dataOnly="0" labelOnly="1" outline="0" axis="axisRow" fieldPosition="0"/>
    </format>
    <format dxfId="25">
      <pivotArea dataOnly="0" labelOnly="1" fieldPosition="0">
        <references count="1">
          <reference field="42" count="0"/>
        </references>
      </pivotArea>
    </format>
    <format dxfId="24">
      <pivotArea dataOnly="0" labelOnly="1" grandRow="1" outline="0" fieldPosition="0"/>
    </format>
    <format dxfId="23">
      <pivotArea dataOnly="0" labelOnly="1" outline="0" fieldPosition="0">
        <references count="1">
          <reference field="4294967294" count="3">
            <x v="0"/>
            <x v="1"/>
            <x v="2"/>
          </reference>
        </references>
      </pivotArea>
    </format>
    <format dxfId="22">
      <pivotArea outline="0" collapsedLevelsAreSubtotals="1" fieldPosition="0">
        <references count="1">
          <reference field="4294967294" count="1" selected="0">
            <x v="2"/>
          </reference>
        </references>
      </pivotArea>
    </format>
    <format dxfId="21">
      <pivotArea outline="0" collapsedLevelsAreSubtotals="1" fieldPosition="0">
        <references count="1">
          <reference field="4294967294" count="1" selected="0">
            <x v="1"/>
          </reference>
        </references>
      </pivotArea>
    </format>
    <format dxfId="20">
      <pivotArea dataOnly="0" labelOnly="1" outline="0" fieldPosition="0">
        <references count="1">
          <reference field="429496729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1E1812-8B54-4B08-A015-A954986C48EF}" name="pvt_ReadmissionCompari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4:C208" firstHeaderRow="0" firstDataRow="1"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axis="axisRow" showAll="0">
      <items count="5">
        <item x="1"/>
        <item x="0"/>
        <item x="2"/>
        <item h="1" x="3"/>
        <item t="default"/>
      </items>
    </pivotField>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4">
    <i>
      <x/>
    </i>
    <i>
      <x v="1"/>
    </i>
    <i>
      <x v="2"/>
    </i>
    <i t="grand">
      <x/>
    </i>
  </rowItems>
  <colFields count="1">
    <field x="-2"/>
  </colFields>
  <colItems count="2">
    <i>
      <x/>
    </i>
    <i i="1">
      <x v="1"/>
    </i>
  </colItems>
  <dataFields count="2">
    <dataField name="Hospital Count" fld="0" subtotal="count" baseField="0" baseItem="0"/>
    <dataField name="Percentage of Reportable Hospitals" fld="0" subtotal="count" showDataAs="percentOfTotal" baseField="0" baseItem="0" numFmtId="10"/>
  </dataFields>
  <formats count="6">
    <format dxfId="34">
      <pivotArea type="all" dataOnly="0" outline="0" fieldPosition="0"/>
    </format>
    <format dxfId="33">
      <pivotArea outline="0" collapsedLevelsAreSubtotals="1" fieldPosition="0"/>
    </format>
    <format dxfId="32">
      <pivotArea field="25" type="button" dataOnly="0" labelOnly="1" outline="0" axis="axisRow" fieldPosition="0"/>
    </format>
    <format dxfId="31">
      <pivotArea dataOnly="0" labelOnly="1" fieldPosition="0">
        <references count="1">
          <reference field="25" count="0"/>
        </references>
      </pivotArea>
    </format>
    <format dxfId="30">
      <pivotArea dataOnly="0" labelOnly="1" grandRow="1" outline="0" fieldPosition="0"/>
    </format>
    <format dxfId="29">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77B017-40BD-44A4-978F-6AFAABB36120}" name="pvt_ExperienceByOwnershi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190:L199" firstHeaderRow="0" firstDataRow="1" firstDataCol="1" rowPageCount="1" colPageCount="1"/>
  <pivotFields count="45">
    <pivotField dataField="1" showAll="0"/>
    <pivotField showAll="0"/>
    <pivotField showAll="0"/>
    <pivotField showAll="0"/>
    <pivotField showAll="0"/>
    <pivotField showAll="0"/>
    <pivotField showAll="0"/>
    <pivotField showAll="0"/>
    <pivotField showAll="0"/>
    <pivotField axis="axisRow" showAll="0">
      <items count="9">
        <item x="2"/>
        <item x="6"/>
        <item x="3"/>
        <item x="5"/>
        <item x="0"/>
        <item x="7"/>
        <item x="4"/>
        <item x="1"/>
        <item t="default"/>
      </items>
    </pivotField>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numFmtId="14" showAll="0"/>
    <pivotField numFmtId="14" showAll="0"/>
    <pivotField showAll="0"/>
    <pivotField showAll="0"/>
    <pivotField showAll="0"/>
    <pivotField showAll="0"/>
    <pivotField showAll="0"/>
    <pivotField showAll="0"/>
    <pivotField numFmtId="14" showAll="0"/>
    <pivotField numFmtId="14"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9">
    <i>
      <x/>
    </i>
    <i>
      <x v="1"/>
    </i>
    <i>
      <x v="2"/>
    </i>
    <i>
      <x v="3"/>
    </i>
    <i>
      <x v="4"/>
    </i>
    <i>
      <x v="5"/>
    </i>
    <i>
      <x v="6"/>
    </i>
    <i>
      <x v="7"/>
    </i>
    <i t="grand">
      <x/>
    </i>
  </rowItems>
  <colFields count="1">
    <field x="-2"/>
  </colFields>
  <colItems count="7">
    <i>
      <x/>
    </i>
    <i i="1">
      <x v="1"/>
    </i>
    <i i="2">
      <x v="2"/>
    </i>
    <i i="3">
      <x v="3"/>
    </i>
    <i i="4">
      <x v="4"/>
    </i>
    <i i="5">
      <x v="5"/>
    </i>
    <i i="6">
      <x v="6"/>
    </i>
  </colItems>
  <pageFields count="1">
    <pageField fld="33" item="1" hier="-1"/>
  </pageFields>
  <dataFields count="7">
    <dataField name="Count of Facility_ID" fld="0" subtotal="count" baseField="0" baseItem="0"/>
    <dataField name="Average of Nurse_Communication_Pct" fld="14" subtotal="average" baseField="9" baseItem="0" numFmtId="164"/>
    <dataField name="Average of Doctor_Communication_Pct" fld="15" subtotal="average" baseField="9" baseItem="0" numFmtId="164"/>
    <dataField name="Average of Medicine_Communication_Pct" fld="16" subtotal="average" baseField="9" baseItem="2" numFmtId="164"/>
    <dataField name="Average of Discharge_Info_Pct" fld="17" subtotal="average" baseField="9" baseItem="2" numFmtId="164"/>
    <dataField name="Average of Hospital_Rating_9_10_Pct" fld="18" subtotal="average" baseField="9" baseItem="2" numFmtId="164"/>
    <dataField name="Average of Definitely_Recommend_Pct" fld="19" subtotal="average" baseField="9" baseItem="2" numFmtId="164"/>
  </dataFields>
  <formats count="9">
    <format dxfId="43">
      <pivotArea type="all" dataOnly="0" outline="0" fieldPosition="0"/>
    </format>
    <format dxfId="42">
      <pivotArea outline="0" collapsedLevelsAreSubtotals="1" fieldPosition="0"/>
    </format>
    <format dxfId="41">
      <pivotArea field="9" type="button" dataOnly="0" labelOnly="1" outline="0" axis="axisRow" fieldPosition="0"/>
    </format>
    <format dxfId="40">
      <pivotArea dataOnly="0" labelOnly="1" fieldPosition="0">
        <references count="1">
          <reference field="9" count="0"/>
        </references>
      </pivotArea>
    </format>
    <format dxfId="39">
      <pivotArea dataOnly="0" labelOnly="1" grandRow="1" outline="0" fieldPosition="0"/>
    </format>
    <format dxfId="38">
      <pivotArea dataOnly="0" labelOnly="1" outline="0" fieldPosition="0">
        <references count="1">
          <reference field="4294967294" count="7">
            <x v="0"/>
            <x v="1"/>
            <x v="2"/>
            <x v="3"/>
            <x v="4"/>
            <x v="5"/>
            <x v="6"/>
          </reference>
        </references>
      </pivotArea>
    </format>
    <format dxfId="37">
      <pivotArea dataOnly="0" labelOnly="1" outline="0" fieldPosition="0">
        <references count="1">
          <reference field="4294967294" count="6">
            <x v="1"/>
            <x v="2"/>
            <x v="3"/>
            <x v="4"/>
            <x v="5"/>
            <x v="6"/>
          </reference>
        </references>
      </pivotArea>
    </format>
    <format dxfId="36">
      <pivotArea dataOnly="0" labelOnly="1" fieldPosition="0">
        <references count="1">
          <reference field="9" count="1">
            <x v="0"/>
          </reference>
        </references>
      </pivotArea>
    </format>
    <format dxfId="35">
      <pivotArea dataOnly="0" labelOnly="1" outline="0" fieldPosition="0">
        <references count="1">
          <reference field="4294967294" count="1">
            <x v="4"/>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DF4993-EAB9-4353-A149-B4E611E23FB1}" name="pvt_PriorityByOwnershipP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0:G240" firstHeaderRow="1" firstDataRow="2" firstDataCol="1"/>
  <pivotFields count="45">
    <pivotField dataField="1" showAll="0"/>
    <pivotField showAll="0"/>
    <pivotField showAll="0"/>
    <pivotField showAll="0"/>
    <pivotField showAll="0"/>
    <pivotField showAll="0"/>
    <pivotField showAll="0"/>
    <pivotField showAll="0"/>
    <pivotField showAll="0"/>
    <pivotField axis="axisRow" showAll="0">
      <items count="9">
        <item x="2"/>
        <item x="6"/>
        <item x="3"/>
        <item x="5"/>
        <item x="0"/>
        <item x="7"/>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axis="axisCol" showAll="0">
      <items count="6">
        <item x="3"/>
        <item x="2"/>
        <item x="1"/>
        <item x="4"/>
        <item x="0"/>
        <item t="default"/>
      </items>
    </pivotField>
    <pivotField showAll="0"/>
    <pivotField showAll="0"/>
    <pivotField showAll="0"/>
  </pivotFields>
  <rowFields count="1">
    <field x="9"/>
  </rowFields>
  <rowItems count="9">
    <i>
      <x/>
    </i>
    <i>
      <x v="1"/>
    </i>
    <i>
      <x v="2"/>
    </i>
    <i>
      <x v="3"/>
    </i>
    <i>
      <x v="4"/>
    </i>
    <i>
      <x v="5"/>
    </i>
    <i>
      <x v="6"/>
    </i>
    <i>
      <x v="7"/>
    </i>
    <i t="grand">
      <x/>
    </i>
  </rowItems>
  <colFields count="1">
    <field x="41"/>
  </colFields>
  <colItems count="6">
    <i>
      <x/>
    </i>
    <i>
      <x v="1"/>
    </i>
    <i>
      <x v="2"/>
    </i>
    <i>
      <x v="3"/>
    </i>
    <i>
      <x v="4"/>
    </i>
    <i t="grand">
      <x/>
    </i>
  </colItems>
  <dataFields count="1">
    <dataField name="Count of Facility_ID" fld="0" subtotal="count" showDataAs="percentOfTotal" baseField="0" baseItem="0" numFmtId="10"/>
  </dataFields>
  <formats count="6">
    <format dxfId="49">
      <pivotArea outline="0" collapsedLevelsAreSubtotals="1" fieldPosition="0"/>
    </format>
    <format dxfId="48">
      <pivotArea field="9" type="button" dataOnly="0" labelOnly="1" outline="0" axis="axisRow" fieldPosition="0"/>
    </format>
    <format dxfId="47">
      <pivotArea dataOnly="0" labelOnly="1" fieldPosition="0">
        <references count="1">
          <reference field="9" count="0"/>
        </references>
      </pivotArea>
    </format>
    <format dxfId="46">
      <pivotArea dataOnly="0" labelOnly="1" grandRow="1" outline="0" fieldPosition="0"/>
    </format>
    <format dxfId="45">
      <pivotArea dataOnly="0" labelOnly="1" fieldPosition="0">
        <references count="1">
          <reference field="41" count="0"/>
        </references>
      </pivotArea>
    </format>
    <format dxfId="4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6D81AE-1FF2-4DA8-9BC7-638DE4214C49}" name="pvt_PriorityByOwnershi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7:G227" firstHeaderRow="1" firstDataRow="2" firstDataCol="1"/>
  <pivotFields count="45">
    <pivotField dataField="1" showAll="0"/>
    <pivotField showAll="0"/>
    <pivotField showAll="0"/>
    <pivotField showAll="0"/>
    <pivotField showAll="0"/>
    <pivotField showAll="0"/>
    <pivotField showAll="0"/>
    <pivotField showAll="0"/>
    <pivotField showAll="0"/>
    <pivotField axis="axisRow" showAll="0">
      <items count="9">
        <item x="2"/>
        <item x="6"/>
        <item x="3"/>
        <item x="5"/>
        <item x="0"/>
        <item x="7"/>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axis="axisCol" showAll="0">
      <items count="6">
        <item x="3"/>
        <item x="2"/>
        <item x="1"/>
        <item x="4"/>
        <item x="0"/>
        <item t="default"/>
      </items>
    </pivotField>
    <pivotField showAll="0"/>
    <pivotField showAll="0"/>
    <pivotField showAll="0"/>
  </pivotFields>
  <rowFields count="1">
    <field x="9"/>
  </rowFields>
  <rowItems count="9">
    <i>
      <x/>
    </i>
    <i>
      <x v="1"/>
    </i>
    <i>
      <x v="2"/>
    </i>
    <i>
      <x v="3"/>
    </i>
    <i>
      <x v="4"/>
    </i>
    <i>
      <x v="5"/>
    </i>
    <i>
      <x v="6"/>
    </i>
    <i>
      <x v="7"/>
    </i>
    <i t="grand">
      <x/>
    </i>
  </rowItems>
  <colFields count="1">
    <field x="41"/>
  </colFields>
  <colItems count="6">
    <i>
      <x/>
    </i>
    <i>
      <x v="1"/>
    </i>
    <i>
      <x v="2"/>
    </i>
    <i>
      <x v="3"/>
    </i>
    <i>
      <x v="4"/>
    </i>
    <i t="grand">
      <x/>
    </i>
  </colItems>
  <dataFields count="1">
    <dataField name="Count of Facility_ID" fld="0" subtotal="count" baseField="0" baseItem="0"/>
  </dataFields>
  <formats count="6">
    <format dxfId="55">
      <pivotArea outline="0" collapsedLevelsAreSubtotals="1" fieldPosition="0"/>
    </format>
    <format dxfId="54">
      <pivotArea field="9" type="button" dataOnly="0" labelOnly="1" outline="0" axis="axisRow" fieldPosition="0"/>
    </format>
    <format dxfId="53">
      <pivotArea dataOnly="0" labelOnly="1" fieldPosition="0">
        <references count="1">
          <reference field="9" count="0"/>
        </references>
      </pivotArea>
    </format>
    <format dxfId="52">
      <pivotArea dataOnly="0" labelOnly="1" grandRow="1" outline="0" fieldPosition="0"/>
    </format>
    <format dxfId="51">
      <pivotArea dataOnly="0" labelOnly="1" fieldPosition="0">
        <references count="1">
          <reference field="41" count="0"/>
        </references>
      </pivotArea>
    </format>
    <format dxfId="5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85DD69-5AFE-4182-8AF4-760B60E28705}" name="pvt_Rating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90:C196" firstHeaderRow="0" firstDataRow="1" firstDataCol="1" rowPageCount="1" colPageCount="1"/>
  <pivotFields count="45">
    <pivotField dataField="1" showAll="0"/>
    <pivotField showAll="0"/>
    <pivotField showAll="0"/>
    <pivotField showAll="0"/>
    <pivotField showAll="0"/>
    <pivotField showAll="0"/>
    <pivotField showAll="0"/>
    <pivotField showAll="0"/>
    <pivotField showAll="0"/>
    <pivotField showAll="0"/>
    <pivotField showAll="0"/>
    <pivotField axis="axisRow" showAll="0">
      <items count="7">
        <item x="5"/>
        <item x="0"/>
        <item x="2"/>
        <item x="1"/>
        <item x="3"/>
        <item x="4"/>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numFmtId="14" showAll="0"/>
    <pivotField numFmtId="14"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Fields count="1">
    <field x="-2"/>
  </colFields>
  <colItems count="2">
    <i>
      <x/>
    </i>
    <i i="1">
      <x v="1"/>
    </i>
  </colItems>
  <pageFields count="1">
    <pageField fld="32" item="1" hier="-1"/>
  </pageFields>
  <dataFields count="2">
    <dataField name="Hospital Count" fld="0" subtotal="count" baseField="0" baseItem="0"/>
    <dataField name="Percent of Rated Hospitals" fld="0" subtotal="count" showDataAs="percentOfTotal" baseField="0" baseItem="0" numFmtId="165"/>
  </dataFields>
  <formats count="7">
    <format dxfId="62">
      <pivotArea type="all" dataOnly="0" outline="0" fieldPosition="0"/>
    </format>
    <format dxfId="61">
      <pivotArea outline="0" collapsedLevelsAreSubtotals="1" fieldPosition="0"/>
    </format>
    <format dxfId="60">
      <pivotArea field="11" type="button" dataOnly="0" labelOnly="1" outline="0" axis="axisRow" fieldPosition="0"/>
    </format>
    <format dxfId="59">
      <pivotArea dataOnly="0" labelOnly="1" fieldPosition="0">
        <references count="1">
          <reference field="11" count="5">
            <x v="0"/>
            <x v="1"/>
            <x v="2"/>
            <x v="3"/>
            <x v="4"/>
          </reference>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56">
      <pivotArea collapsedLevelsAreSubtotals="1" fieldPosition="0">
        <references count="2">
          <reference field="4294967294" count="1" selected="0">
            <x v="1"/>
          </reference>
          <reference field="11" count="1">
            <x v="3"/>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7DB5AC-115E-450A-AA69-FD35304C61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10" firstHeaderRow="1" firstDataRow="1" firstDataCol="1" rowPageCount="1" colPageCount="1"/>
  <pivotFields count="45">
    <pivotField dataField="1" showAll="0"/>
    <pivotField showAll="0"/>
    <pivotField showAll="0"/>
    <pivotField showAll="0"/>
    <pivotField showAll="0"/>
    <pivotField showAll="0"/>
    <pivotField showAll="0"/>
    <pivotField showAll="0"/>
    <pivotField showAll="0"/>
    <pivotField showAll="0"/>
    <pivotField showAll="0"/>
    <pivotField axis="axisRow" showAll="0">
      <items count="7">
        <item x="5"/>
        <item x="0"/>
        <item x="2"/>
        <item x="1"/>
        <item x="3"/>
        <item x="4"/>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numFmtId="14" showAll="0"/>
    <pivotField numFmtId="14"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pageFields count="1">
    <pageField fld="32" item="1" hier="-1"/>
  </pageFields>
  <dataFields count="1">
    <dataField name="Hospital Count" fld="0" subtotal="count" baseField="11" baseItem="0"/>
  </dataFields>
  <formats count="6">
    <format dxfId="13">
      <pivotArea type="all" dataOnly="0" outline="0" fieldPosition="0"/>
    </format>
    <format dxfId="12">
      <pivotArea outline="0" collapsedLevelsAreSubtotals="1" fieldPosition="0"/>
    </format>
    <format dxfId="11">
      <pivotArea field="11" type="button" dataOnly="0" labelOnly="1" outline="0" axis="axisRow" fieldPosition="0"/>
    </format>
    <format dxfId="10">
      <pivotArea dataOnly="0" labelOnly="1" fieldPosition="0">
        <references count="1">
          <reference field="11" count="5">
            <x v="0"/>
            <x v="1"/>
            <x v="2"/>
            <x v="3"/>
            <x v="4"/>
          </reference>
        </references>
      </pivotArea>
    </format>
    <format dxfId="9">
      <pivotArea dataOnly="0" labelOnly="1" grandRow="1" outline="0" fieldPosition="0"/>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DFC9FE-3A98-4493-877F-69C080EDE9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6:B30" firstHeaderRow="1" firstDataRow="1" firstDataCol="1"/>
  <pivotFields count="4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axis="axisRow" showAll="0">
      <items count="5">
        <item x="1"/>
        <item x="0"/>
        <item x="2"/>
        <item h="1" x="3"/>
        <item t="default"/>
      </items>
    </pivotField>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4">
    <i>
      <x/>
    </i>
    <i>
      <x v="1"/>
    </i>
    <i>
      <x v="2"/>
    </i>
    <i t="grand">
      <x/>
    </i>
  </rowItems>
  <colItems count="1">
    <i/>
  </colItems>
  <dataFields count="1">
    <dataField name="Percent of Reportable Hospitals" fld="0" subtotal="count" showDataAs="percentOfTotal" baseField="0" baseItem="0" numFmtId="10"/>
  </dataFields>
  <formats count="6">
    <format dxfId="19">
      <pivotArea type="all" dataOnly="0" outline="0" fieldPosition="0"/>
    </format>
    <format dxfId="18">
      <pivotArea outline="0" collapsedLevelsAreSubtotals="1" fieldPosition="0"/>
    </format>
    <format dxfId="17">
      <pivotArea field="25" type="button" dataOnly="0" labelOnly="1" outline="0" axis="axisRow" fieldPosition="0"/>
    </format>
    <format dxfId="16">
      <pivotArea dataOnly="0" labelOnly="1" fieldPosition="0">
        <references count="1">
          <reference field="25" count="0"/>
        </references>
      </pivotArea>
    </format>
    <format dxfId="15">
      <pivotArea dataOnly="0" labelOnly="1" grandRow="1" outline="0" fieldPosition="0"/>
    </format>
    <format dxfId="14">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82FEFD43-FE2E-48FC-AA27-557E2CDD78EB}" autoFormatId="16" applyNumberFormats="0" applyBorderFormats="0" applyFontFormats="0" applyPatternFormats="0" applyAlignmentFormats="0" applyWidthHeightFormats="0">
  <queryTableRefresh nextId="15">
    <queryTableFields count="14">
      <queryTableField id="1" name="Facility_ID" tableColumnId="1"/>
      <queryTableField id="2" name="Facility_Name" tableColumnId="2"/>
      <queryTableField id="3" name="Address" tableColumnId="3"/>
      <queryTableField id="4" name="City" tableColumnId="4"/>
      <queryTableField id="5" name="State" tableColumnId="5"/>
      <queryTableField id="6" name="ZIP_Code" tableColumnId="6"/>
      <queryTableField id="7" name="County" tableColumnId="7"/>
      <queryTableField id="8" name="Telephone_Number" tableColumnId="8"/>
      <queryTableField id="9" name="Hospital_Type" tableColumnId="9"/>
      <queryTableField id="10" name="Hospital_Ownership" tableColumnId="10"/>
      <queryTableField id="11" name="Emergency_Services" tableColumnId="11"/>
      <queryTableField id="12" name="Overall_Rating" tableColumnId="12"/>
      <queryTableField id="13" name="Overall_Rating_Raw" tableColumnId="13"/>
      <queryTableField id="14" name="Overall_Rating_Footnot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ABA16E67-2525-4949-BEF4-4406A729D6F0}" autoFormatId="16" applyNumberFormats="0" applyBorderFormats="0" applyFontFormats="0" applyPatternFormats="0" applyAlignmentFormats="0" applyWidthHeightFormats="0">
  <queryTableRefresh nextId="12">
    <queryTableFields count="11">
      <queryTableField id="1" name="Facility_ID" tableColumnId="1"/>
      <queryTableField id="2" name="Nurse_Communication_Pct" tableColumnId="2"/>
      <queryTableField id="3" name="Doctor_Communication_Pct" tableColumnId="3"/>
      <queryTableField id="4" name="Medicine_Communication_Pct" tableColumnId="4"/>
      <queryTableField id="5" name="Discharge_Info_Pct" tableColumnId="5"/>
      <queryTableField id="6" name="Hospital_Rating_9_10_Pct" tableColumnId="6"/>
      <queryTableField id="7" name="Definitely_Recommend_Pct" tableColumnId="7"/>
      <queryTableField id="8" name="Completed_Surveys_Raw" tableColumnId="8"/>
      <queryTableField id="9" name="Survey_Response_Rate_Pct" tableColumnId="9"/>
      <queryTableField id="10" name="HCAHPS_Start_Date" tableColumnId="10"/>
      <queryTableField id="11" name="HCAHPS_End_Date"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4" xr16:uid="{AB447F02-90C3-46DB-B195-ECDFF40DC5C4}" autoFormatId="16" applyNumberFormats="0" applyBorderFormats="0" applyFontFormats="0" applyPatternFormats="0" applyAlignmentFormats="0" applyWidthHeightFormats="0">
  <queryTableRefresh nextId="10">
    <queryTableFields count="9">
      <queryTableField id="1" name="Facility_ID" tableColumnId="1"/>
      <queryTableField id="2" name="Readmission_Rate_Pct" tableColumnId="2"/>
      <queryTableField id="3" name="Readmission_Comparison" tableColumnId="3"/>
      <queryTableField id="4" name="Readmission_Denominator" tableColumnId="4"/>
      <queryTableField id="5" name="Readmission_Lower_Estimate" tableColumnId="5"/>
      <queryTableField id="6" name="Readmission_Higher_Estimate" tableColumnId="6"/>
      <queryTableField id="7" name="Readmission_Footnote" tableColumnId="7"/>
      <queryTableField id="8" name="Readmission_Start_Date" tableColumnId="8"/>
      <queryTableField id="9" name="Readmission_End_Date"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F30869C4-AC73-471C-808E-754768E71160}" autoFormatId="16" applyNumberFormats="0" applyBorderFormats="0" applyFontFormats="0" applyPatternFormats="0" applyAlignmentFormats="0" applyWidthHeightFormats="0">
  <queryTableRefresh nextId="46" unboundColumnsRight="10">
    <queryTableFields count="45">
      <queryTableField id="1" name="Facility_ID" tableColumnId="1"/>
      <queryTableField id="2" name="Facility_Name" tableColumnId="2"/>
      <queryTableField id="3" name="Address" tableColumnId="3"/>
      <queryTableField id="4" name="City" tableColumnId="4"/>
      <queryTableField id="5" name="State" tableColumnId="5"/>
      <queryTableField id="6" name="ZIP_Code" tableColumnId="6"/>
      <queryTableField id="7" name="County" tableColumnId="7"/>
      <queryTableField id="8" name="Telephone_Number" tableColumnId="8"/>
      <queryTableField id="9" name="Hospital_Type" tableColumnId="9"/>
      <queryTableField id="10" name="Hospital_Ownership" tableColumnId="10"/>
      <queryTableField id="11" name="Emergency_Services" tableColumnId="11"/>
      <queryTableField id="12" name="Overall_Rating" tableColumnId="12"/>
      <queryTableField id="13" name="Overall_Rating_Raw" tableColumnId="13"/>
      <queryTableField id="14" name="Overall_Rating_Footnote" tableColumnId="14"/>
      <queryTableField id="15" name="Nurse_Communication_Pct" tableColumnId="15"/>
      <queryTableField id="16" name="Doctor_Communication_Pct" tableColumnId="16"/>
      <queryTableField id="17" name="Medicine_Communication_Pct" tableColumnId="17"/>
      <queryTableField id="18" name="Discharge_Info_Pct" tableColumnId="18"/>
      <queryTableField id="19" name="Hospital_Rating_9_10_Pct" tableColumnId="19"/>
      <queryTableField id="20" name="Definitely_Recommend_Pct" tableColumnId="20"/>
      <queryTableField id="21" name="Completed_Surveys_Raw" tableColumnId="21"/>
      <queryTableField id="22" name="Survey_Response_Rate_Pct" tableColumnId="22"/>
      <queryTableField id="23" name="HCAHPS_Start_Date" tableColumnId="23"/>
      <queryTableField id="24" name="HCAHPS_End_Date" tableColumnId="24"/>
      <queryTableField id="25" name="Readmission_Rate_Pct" tableColumnId="25"/>
      <queryTableField id="26" name="Readmission_Comparison" tableColumnId="26"/>
      <queryTableField id="27" name="Readmission_Denominator" tableColumnId="27"/>
      <queryTableField id="28" name="Readmission_Lower_Estimate" tableColumnId="28"/>
      <queryTableField id="29" name="Readmission_Higher_Estimate" tableColumnId="29"/>
      <queryTableField id="30" name="Readmission_Footnote" tableColumnId="30"/>
      <queryTableField id="31" name="Readmission_Start_Date" tableColumnId="31"/>
      <queryTableField id="32" name="Readmission_End_Date" tableColumnId="32"/>
      <queryTableField id="33" name="Overall_Rating_Available" tableColumnId="33"/>
      <queryTableField id="34" name="HCAHPS_Available" tableColumnId="34"/>
      <queryTableField id="35" name="Readmission_Available" tableColumnId="35"/>
      <queryTableField id="36" dataBound="0" tableColumnId="36"/>
      <queryTableField id="37" dataBound="0" tableColumnId="37"/>
      <queryTableField id="38" dataBound="0" tableColumnId="38"/>
      <queryTableField id="39" dataBound="0" tableColumnId="39"/>
      <queryTableField id="40" dataBound="0" tableColumnId="40"/>
      <queryTableField id="41" dataBound="0" tableColumnId="41"/>
      <queryTableField id="42" dataBound="0" tableColumnId="42"/>
      <queryTableField id="43" dataBound="0" tableColumnId="43"/>
      <queryTableField id="44" dataBound="0" tableColumnId="44"/>
      <queryTableField id="45" dataBound="0" tableColumnId="4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3489F2-5A42-4AAA-8F97-AC3D8A205539}" name="tblHospitalCleaned" displayName="tblHospitalCleaned" ref="A1:N286" tableType="queryTable" totalsRowShown="0">
  <autoFilter ref="A1:N286" xr:uid="{803489F2-5A42-4AAA-8F97-AC3D8A205539}"/>
  <tableColumns count="14">
    <tableColumn id="1" xr3:uid="{D7FB217F-E073-472B-AEF3-93B26517982E}" uniqueName="1" name="Facility_ID" queryTableFieldId="1" dataDxfId="134"/>
    <tableColumn id="2" xr3:uid="{E9B168A1-4441-4DF9-9039-4C59079EDAFA}" uniqueName="2" name="Facility_Name" queryTableFieldId="2" dataDxfId="133"/>
    <tableColumn id="3" xr3:uid="{656AD394-A849-4535-BB88-534AB3331400}" uniqueName="3" name="Address" queryTableFieldId="3" dataDxfId="132"/>
    <tableColumn id="4" xr3:uid="{03E181B7-18B7-47A2-AD00-8433D7F2B3DE}" uniqueName="4" name="City" queryTableFieldId="4" dataDxfId="131"/>
    <tableColumn id="5" xr3:uid="{C4F402F1-7A3D-4B69-9DB4-DF273EC17FAD}" uniqueName="5" name="State" queryTableFieldId="5" dataDxfId="130"/>
    <tableColumn id="6" xr3:uid="{109B7892-5D35-4CDB-B2EF-D757EDBA1E95}" uniqueName="6" name="ZIP_Code" queryTableFieldId="6" dataDxfId="129"/>
    <tableColumn id="7" xr3:uid="{25963C81-C720-4C58-89A5-F9C8CFA45FF3}" uniqueName="7" name="County" queryTableFieldId="7" dataDxfId="128"/>
    <tableColumn id="8" xr3:uid="{22A92E34-3BDB-40EF-97BF-02F6C1D8606D}" uniqueName="8" name="Telephone_Number" queryTableFieldId="8" dataDxfId="127"/>
    <tableColumn id="9" xr3:uid="{32B5DD9F-829C-4190-A91A-082AD819C492}" uniqueName="9" name="Hospital_Type" queryTableFieldId="9" dataDxfId="126"/>
    <tableColumn id="10" xr3:uid="{06C720D4-B0A2-4B6B-8090-CD0B4CD624E2}" uniqueName="10" name="Hospital_Ownership" queryTableFieldId="10" dataDxfId="125"/>
    <tableColumn id="11" xr3:uid="{820DBDC8-140A-4E95-A408-355E021E4667}" uniqueName="11" name="Emergency_Services" queryTableFieldId="11" dataDxfId="124"/>
    <tableColumn id="12" xr3:uid="{3EFFE314-F160-4C93-BD8A-26232F219B19}" uniqueName="12" name="Overall_Rating" queryTableFieldId="12"/>
    <tableColumn id="13" xr3:uid="{ECAE4840-67A3-4AEC-8BE9-5CCF57BCE812}" uniqueName="13" name="Overall_Rating_Raw" queryTableFieldId="13" dataDxfId="123"/>
    <tableColumn id="14" xr3:uid="{94FAE9C9-6101-4D59-9F2E-5DF4E35FEFB4}" uniqueName="14" name="Overall_Rating_Footnote" queryTableFieldId="14" dataDxfId="1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E2D38D-30C9-460A-B0D3-4D8993342F4E}" name="tblHCAHPSCleaned" displayName="tblHCAHPSCleaned" ref="A1:K286" tableType="queryTable" totalsRowShown="0">
  <autoFilter ref="A1:K286" xr:uid="{B1E2D38D-30C9-460A-B0D3-4D8993342F4E}"/>
  <tableColumns count="11">
    <tableColumn id="1" xr3:uid="{76826124-F4F5-4391-9514-9135FB13532A}" uniqueName="1" name="Facility_ID" queryTableFieldId="1" dataDxfId="121"/>
    <tableColumn id="2" xr3:uid="{33759CEB-9176-4B67-AC9C-D2F12AE5EFD9}" uniqueName="2" name="Nurse_Communication_Pct" queryTableFieldId="2" dataDxfId="120"/>
    <tableColumn id="3" xr3:uid="{198147F5-F2D6-4F63-83F6-8CE96DAD903E}" uniqueName="3" name="Doctor_Communication_Pct" queryTableFieldId="3" dataDxfId="119"/>
    <tableColumn id="4" xr3:uid="{4B86E48A-B0C6-4A0F-A6F7-0F9A71B0CFFD}" uniqueName="4" name="Medicine_Communication_Pct" queryTableFieldId="4" dataDxfId="118"/>
    <tableColumn id="5" xr3:uid="{DC07073C-A4C9-4D7A-87A2-22124C18BB22}" uniqueName="5" name="Discharge_Info_Pct" queryTableFieldId="5" dataDxfId="117"/>
    <tableColumn id="6" xr3:uid="{B913F2A6-606D-46A7-970A-C6F272E2749C}" uniqueName="6" name="Hospital_Rating_9_10_Pct" queryTableFieldId="6" dataDxfId="116"/>
    <tableColumn id="7" xr3:uid="{2C891182-02A0-49E0-92E2-086316B7E03B}" uniqueName="7" name="Definitely_Recommend_Pct" queryTableFieldId="7" dataDxfId="115"/>
    <tableColumn id="8" xr3:uid="{84E2CC86-EC70-46FA-BCEF-AB18446D55D3}" uniqueName="8" name="Completed_Surveys_Raw" queryTableFieldId="8" dataDxfId="114"/>
    <tableColumn id="9" xr3:uid="{B9CE01EE-144B-4149-BD43-AC03CB081B37}" uniqueName="9" name="Survey_Response_Rate_Pct" queryTableFieldId="9" dataDxfId="113"/>
    <tableColumn id="10" xr3:uid="{58BF5DBB-BE4D-4D19-9293-A85C3EE16A22}" uniqueName="10" name="HCAHPS_Start_Date" queryTableFieldId="10" dataDxfId="112"/>
    <tableColumn id="11" xr3:uid="{CFFC5A4E-310B-41B0-97D7-EC8B9C231936}" uniqueName="11" name="HCAHPS_End_Date" queryTableFieldId="11" dataDxfId="1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5F675F-B61A-4608-B69F-32FD37764D96}" name="tblReadmissionCleaned" displayName="tblReadmissionCleaned" ref="A1:I286" tableType="queryTable" totalsRowShown="0">
  <autoFilter ref="A1:I286" xr:uid="{955F675F-B61A-4608-B69F-32FD37764D96}"/>
  <tableColumns count="9">
    <tableColumn id="1" xr3:uid="{1847F980-B0A8-4F75-BE62-F69284B4FEFB}" uniqueName="1" name="Facility_ID" queryTableFieldId="1" dataDxfId="110"/>
    <tableColumn id="2" xr3:uid="{D457C087-8F38-467A-AFF9-C48F339C2F0F}" uniqueName="2" name="Readmission_Rate_Pct" queryTableFieldId="2" dataDxfId="109"/>
    <tableColumn id="3" xr3:uid="{3B6C7A64-75B0-4F57-B0FF-B0FD5E78C386}" uniqueName="3" name="Readmission_Comparison" queryTableFieldId="3" dataDxfId="108"/>
    <tableColumn id="4" xr3:uid="{03269401-B287-42FA-8177-E5EF91ECE63B}" uniqueName="4" name="Readmission_Denominator" queryTableFieldId="4"/>
    <tableColumn id="5" xr3:uid="{DD45B9D4-6B63-4F49-B740-D946D4246E1B}" uniqueName="5" name="Readmission_Lower_Estimate" queryTableFieldId="5" dataDxfId="107"/>
    <tableColumn id="6" xr3:uid="{B2E2C07A-D9D1-44C3-96D6-BD9AEEEB2E61}" uniqueName="6" name="Readmission_Higher_Estimate" queryTableFieldId="6" dataDxfId="106"/>
    <tableColumn id="7" xr3:uid="{4ED9C9DF-0096-4F6D-B37D-8662EF2D8A13}" uniqueName="7" name="Readmission_Footnote" queryTableFieldId="7" dataDxfId="105"/>
    <tableColumn id="8" xr3:uid="{88EF5C1D-7DE6-4010-BD5A-95A51A030220}" uniqueName="8" name="Readmission_Start_Date" queryTableFieldId="8" dataDxfId="104"/>
    <tableColumn id="9" xr3:uid="{B634DF34-A530-4AE4-8B26-69A12064CB49}" uniqueName="9" name="Readmission_End_Date" queryTableFieldId="9" dataDxfId="10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38A58C-F6CF-4FEF-86DF-75D48F8F777F}" name="tblMergedCleaned" displayName="tblMergedCleaned" ref="A1:AS286" tableType="queryTable" totalsRowShown="0">
  <autoFilter ref="A1:AS286" xr:uid="{EB38A58C-F6CF-4FEF-86DF-75D48F8F777F}"/>
  <tableColumns count="45">
    <tableColumn id="1" xr3:uid="{A4B858D7-C227-47E2-8130-AD3773800B85}" uniqueName="1" name="Facility_ID" queryTableFieldId="1" dataDxfId="102"/>
    <tableColumn id="2" xr3:uid="{FFC03AE5-2907-43EF-B71F-424EE3B94283}" uniqueName="2" name="Facility_Name" queryTableFieldId="2" dataDxfId="101"/>
    <tableColumn id="3" xr3:uid="{79F9EA6E-5F46-4C2B-82D6-036844F3A98D}" uniqueName="3" name="Address" queryTableFieldId="3" dataDxfId="100"/>
    <tableColumn id="4" xr3:uid="{EC2270F4-C94A-44F0-9D11-9880BA8CEFAA}" uniqueName="4" name="City" queryTableFieldId="4" dataDxfId="99"/>
    <tableColumn id="5" xr3:uid="{2ECD580C-2852-4BEF-86A9-4545FA94B1DD}" uniqueName="5" name="State" queryTableFieldId="5" dataDxfId="98"/>
    <tableColumn id="6" xr3:uid="{32B42B9B-1B21-4CEE-BB3A-2CC17A4877EA}" uniqueName="6" name="ZIP_Code" queryTableFieldId="6" dataDxfId="97"/>
    <tableColumn id="7" xr3:uid="{DCDEFA22-A271-4186-8050-B25E974FEF15}" uniqueName="7" name="County" queryTableFieldId="7" dataDxfId="96"/>
    <tableColumn id="8" xr3:uid="{87E2EB99-BDF4-4F78-8384-00067B110B88}" uniqueName="8" name="Telephone_Number" queryTableFieldId="8" dataDxfId="95"/>
    <tableColumn id="9" xr3:uid="{73D217D0-7591-4403-B4AC-0D9BD8296B5A}" uniqueName="9" name="Hospital_Type" queryTableFieldId="9" dataDxfId="94"/>
    <tableColumn id="10" xr3:uid="{FE95615A-D002-44CF-9E89-A3ECE1A5297E}" uniqueName="10" name="Hospital_Ownership" queryTableFieldId="10" dataDxfId="93"/>
    <tableColumn id="11" xr3:uid="{00A3A185-8D13-4B5C-ACD4-AA6CC1C3A601}" uniqueName="11" name="Emergency_Services" queryTableFieldId="11" dataDxfId="92"/>
    <tableColumn id="12" xr3:uid="{8B4256C1-9CE0-4E59-ABD1-816F1E20FD45}" uniqueName="12" name="Overall_Rating" queryTableFieldId="12"/>
    <tableColumn id="13" xr3:uid="{A4BA2657-1215-46D7-AE00-2EEF24C9851E}" uniqueName="13" name="Overall_Rating_Raw" queryTableFieldId="13" dataDxfId="91"/>
    <tableColumn id="14" xr3:uid="{6D052870-A398-46E6-B4C0-91C0D0742CB2}" uniqueName="14" name="Overall_Rating_Footnote" queryTableFieldId="14" dataDxfId="90"/>
    <tableColumn id="15" xr3:uid="{153337AF-3983-4E1A-B375-FA84EC8C2648}" uniqueName="15" name="Nurse_Communication_Pct" queryTableFieldId="15" dataDxfId="89"/>
    <tableColumn id="16" xr3:uid="{376F7448-DA11-4B52-9602-33E9E839D6EC}" uniqueName="16" name="Doctor_Communication_Pct" queryTableFieldId="16" dataDxfId="88"/>
    <tableColumn id="17" xr3:uid="{5EEE430D-D836-4536-A5A1-5D31147AF58F}" uniqueName="17" name="Medicine_Communication_Pct" queryTableFieldId="17" dataDxfId="87"/>
    <tableColumn id="18" xr3:uid="{F4E0E1BF-256F-4D6D-8038-357E89C74742}" uniqueName="18" name="Discharge_Info_Pct" queryTableFieldId="18" dataDxfId="86"/>
    <tableColumn id="19" xr3:uid="{16898AA5-2E1D-44BE-A1E6-D4AA34D6CB67}" uniqueName="19" name="Hospital_Rating_9_10_Pct" queryTableFieldId="19" dataDxfId="85"/>
    <tableColumn id="20" xr3:uid="{8D8DEEC7-AAEE-42C7-91D5-1AFB86078B43}" uniqueName="20" name="Definitely_Recommend_Pct" queryTableFieldId="20" dataDxfId="84"/>
    <tableColumn id="21" xr3:uid="{24BE5B8E-E722-4FAD-85DE-DBE240E8EDE8}" uniqueName="21" name="Completed_Surveys_Raw" queryTableFieldId="21" dataDxfId="83"/>
    <tableColumn id="22" xr3:uid="{6FF833A3-9AE9-4439-BEE3-B6B8A3ED66B4}" uniqueName="22" name="Survey_Response_Rate_Pct" queryTableFieldId="22" dataDxfId="82"/>
    <tableColumn id="23" xr3:uid="{9E58C331-3FAD-468F-B55F-DE5417F5ED8E}" uniqueName="23" name="HCAHPS_Start_Date" queryTableFieldId="23" dataDxfId="81"/>
    <tableColumn id="24" xr3:uid="{CBA84EAA-6008-4443-BC64-6E963229AC7A}" uniqueName="24" name="HCAHPS_End_Date" queryTableFieldId="24" dataDxfId="80"/>
    <tableColumn id="25" xr3:uid="{53E984EE-7172-4531-9921-C283CD56AE7A}" uniqueName="25" name="Readmission_Rate_Pct" queryTableFieldId="25" dataDxfId="79"/>
    <tableColumn id="26" xr3:uid="{27F5B7AD-91CE-4DF0-BBEE-E9D29B6D2DCE}" uniqueName="26" name="Readmission_Comparison" queryTableFieldId="26" dataDxfId="78"/>
    <tableColumn id="27" xr3:uid="{18714D1D-24C4-4A05-AF5C-810E722618FF}" uniqueName="27" name="Readmission_Denominator" queryTableFieldId="27"/>
    <tableColumn id="28" xr3:uid="{81E8B68E-E24A-4CFE-BCDE-831D791E49CE}" uniqueName="28" name="Readmission_Lower_Estimate" queryTableFieldId="28" dataDxfId="77"/>
    <tableColumn id="29" xr3:uid="{3B78544C-7068-48A1-A94B-E8C47136B3B1}" uniqueName="29" name="Readmission_Higher_Estimate" queryTableFieldId="29" dataDxfId="76"/>
    <tableColumn id="30" xr3:uid="{5633DF3C-81ED-446F-BEA4-AF8067F3F174}" uniqueName="30" name="Readmission_Footnote" queryTableFieldId="30" dataDxfId="75"/>
    <tableColumn id="31" xr3:uid="{DAA208C1-A3E7-4000-88BC-590BA043E0F6}" uniqueName="31" name="Readmission_Start_Date" queryTableFieldId="31" dataDxfId="74"/>
    <tableColumn id="32" xr3:uid="{9222457C-EE19-4E93-86C4-E4F9ADFB3D5F}" uniqueName="32" name="Readmission_End_Date" queryTableFieldId="32" dataDxfId="73"/>
    <tableColumn id="33" xr3:uid="{1A7916F6-0CB9-4558-A759-F5EF66472E73}" uniqueName="33" name="Overall_Rating_Available" queryTableFieldId="33"/>
    <tableColumn id="34" xr3:uid="{3A5C3397-C318-4536-A111-9AA06C422462}" uniqueName="34" name="HCAHPS_Available" queryTableFieldId="34"/>
    <tableColumn id="35" xr3:uid="{E9C3FDC7-228B-43A3-910F-7CEC08449C18}" uniqueName="35" name="Readmission_Available" queryTableFieldId="35"/>
    <tableColumn id="36" xr3:uid="{A9DB1417-94DD-4308-AF6F-A2A892D75C82}" uniqueName="36" name="Rating_Group" queryTableFieldId="36" dataDxfId="72">
      <calculatedColumnFormula>IF(tblMergedCleaned[[#This Row],[Overall_Rating]]=
    "",
    "Unavailable",
    IF(tblMergedCleaned[[#This Row],[Overall_Rating]]&lt;=
        2,
        "Low (1-2)",
        IF(tblMergedCleaned[[#This Row],[Overall_Rating]]=
            3,
            "Middle (3)",
            "High (4-5)"
        )
    )
)</calculatedColumnFormula>
    </tableColumn>
    <tableColumn id="37" xr3:uid="{A64531EA-32E3-48C4-BB90-1A5B69FFF4BA}" uniqueName="37" name="Low_Rating_Flag" queryTableFieldId="37" dataDxfId="71">
      <calculatedColumnFormula array="1">IF(
    tblMergedCleaned[[#This Row],[Overall_Rating]]="",
    "",
    --(tblMergedCleaned[[#This Row],[Overall_Rating]]&lt;=2)
)</calculatedColumnFormula>
    </tableColumn>
    <tableColumn id="38" xr3:uid="{0F78DD10-CEDC-4432-9152-81A3A25BD817}" uniqueName="38" name="Below_TX_Median_Recommend_Flag" queryTableFieldId="38" dataDxfId="70">
      <calculatedColumnFormula>IF(
    tblMergedCleaned[[#This Row],[Definitely_Recommend_Pct]]="",
    "",
    --(tblMergedCleaned[[#This Row],[Definitely_Recommend_Pct]]&lt;TX_Median_Recommend)
)</calculatedColumnFormula>
    </tableColumn>
    <tableColumn id="39" xr3:uid="{00180B65-4D66-4276-A484-7D77544F037D}" uniqueName="39" name="Worse_Readmission_Flag" queryTableFieldId="39" dataDxfId="69">
      <calculatedColumnFormula>IF(
    tblMergedCleaned[[#This Row],[Readmission_Comparison]]="",
    "",
    --(tblMergedCleaned[[#This Row],[Readmission_Comparison]]="Worse")
)</calculatedColumnFormula>
    </tableColumn>
    <tableColumn id="40" xr3:uid="{23FCADAE-F3B8-4A31-A00C-D065C14B7917}" uniqueName="40" name="Signals_Available_Count" queryTableFieldId="40" dataDxfId="68">
      <calculatedColumnFormula>COUNT(
    tblMergedCleaned[[#This Row],[Low_Rating_Flag]:[Worse_Readmission_Flag]]
)</calculatedColumnFormula>
    </tableColumn>
    <tableColumn id="41" xr3:uid="{FD51A9AA-BFFE-459A-94D5-2635D606F5D1}" uniqueName="41" name="Screening_Signal_Count" queryTableFieldId="41" dataDxfId="67">
      <calculatedColumnFormula>SUM(
    tblMergedCleaned[[#This Row],[Low_Rating_Flag]:[Worse_Readmission_Flag]]
)</calculatedColumnFormula>
    </tableColumn>
    <tableColumn id="42" xr3:uid="{A9C7603E-1172-48F0-9666-4801C3B35614}" uniqueName="42" name="Priority_Tier" queryTableFieldId="42" dataDxfId="66">
      <calculatedColumnFormula>IF(
    tblMergedCleaned[[#This Row],[Signals_Available_Count]]&lt;3,
    "Limited data",
    IF(
        tblMergedCleaned[[#This Row],[Screening_Signal_Count]]=3,
        "Priority 1",
        IF(
            tblMergedCleaned[[#This Row],[Screening_Signal_Count]]=2,
            "Priority 2",
            IF(
                tblMergedCleaned[[#This Row],[Screening_Signal_Count]]=1,
                "Monitor",
                "No flagged signals"
            )
        )
    )
)</calculatedColumnFormula>
    </tableColumn>
    <tableColumn id="43" xr3:uid="{83D3C708-32DA-4889-90BA-D81AA1936BFD}" uniqueName="43" name="Recommendation_Quartile" queryTableFieldId="43" dataDxfId="65">
      <calculatedColumnFormula>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calculatedColumnFormula>
    </tableColumn>
    <tableColumn id="44" xr3:uid="{2CF09B98-9848-4583-9C81-433154EC58FD}" uniqueName="44" name="Recommend_vs_TX_Median" queryTableFieldId="44" dataDxfId="64">
      <calculatedColumnFormula>IF(
    tblMergedCleaned[[#This Row],[Definitely_Recommend_Pct]]="",
    "",
    tblMergedCleaned[[#This Row],[Definitely_Recommend_Pct]]-TX_Median_Recommend
)</calculatedColumnFormula>
    </tableColumn>
    <tableColumn id="45" xr3:uid="{076C25DA-C058-45BD-97EC-8FE68F8A9462}" uniqueName="45" name="Readmission_vs_TX_Median" queryTableFieldId="45" dataDxfId="63">
      <calculatedColumnFormula>IF(
    tblMergedCleaned[[#This Row],[Readmission_Rate_Pct]]="",
    "",
    tblMergedCleaned[[#This Row],[Readmission_Rate_Pct]]-TX_Median_Readmission
)</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D995A41-7EB0-44E5-BC97-7AC01782B5B3}" name="Table9" displayName="Table9" ref="A34:D42" totalsRowShown="0" headerRowDxfId="7" headerRowBorderDxfId="6" tableBorderDxfId="5" totalsRowBorderDxfId="4">
  <autoFilter ref="A34:D42" xr:uid="{5D995A41-7EB0-44E5-BC97-7AC01782B5B3}"/>
  <sortState xmlns:xlrd2="http://schemas.microsoft.com/office/spreadsheetml/2017/richdata2" ref="A35:D42">
    <sortCondition descending="1" ref="B34:B42"/>
  </sortState>
  <tableColumns count="4">
    <tableColumn id="1" xr3:uid="{EAAD5369-462F-4D59-BC89-F8C7CA628FC6}" name="Ownership" dataDxfId="3">
      <calculatedColumnFormula>analysis!A219</calculatedColumnFormula>
    </tableColumn>
    <tableColumn id="2" xr3:uid="{878BEB5C-7163-4AC4-ABF5-8803016E9460}" name="Priority 1 + 2" dataDxfId="2">
      <calculatedColumnFormula>IFERROR(
GETPIVOTDATA("Facility_ID",analysis!$A$217,"Hospital_Ownership",Table9[[#This Row],[Ownership]],"Priority_Tier","Priority 1"), 0) +
IFERROR(GETPIVOTDATA("Facility_ID",analysis!$A$217,"Hospital_Ownership",Table9[[#This Row],[Ownership]],"Priority_Tier","Priority 2"), 0)</calculatedColumnFormula>
    </tableColumn>
    <tableColumn id="3" xr3:uid="{27EEBDF3-3D5D-4F8D-B2E3-A59A21A10C27}" name="Grand Total" dataDxfId="1">
      <calculatedColumnFormula>GETPIVOTDATA("Facility_ID",analysis!$A$217,"Hospital_Ownership",Table9[[#This Row],[Ownership]])</calculatedColumnFormula>
    </tableColumn>
    <tableColumn id="4" xr3:uid="{B092FB4A-7046-408D-8C48-2C3799DAECC4}" name="Priority 1 + 2 %" dataDxfId="0">
      <calculatedColumnFormula>IFERROR(Table9[[#This Row],[Priority 1 + 2]]/Table9[[#This Row],[Grand Total]],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61DB-AF62-4D4F-8428-C0354EA06B33}">
  <dimension ref="A1:N286"/>
  <sheetViews>
    <sheetView topLeftCell="D1" workbookViewId="0"/>
  </sheetViews>
  <sheetFormatPr defaultRowHeight="14.5"/>
  <cols>
    <col min="1" max="1" width="11.90625" bestFit="1" customWidth="1"/>
    <col min="2" max="2" width="67.26953125" bestFit="1" customWidth="1"/>
    <col min="3" max="3" width="39.26953125" bestFit="1" customWidth="1"/>
    <col min="4" max="4" width="20.81640625" bestFit="1" customWidth="1"/>
    <col min="5" max="5" width="7.453125" bestFit="1" customWidth="1"/>
    <col min="6" max="6" width="10.90625" bestFit="1" customWidth="1"/>
    <col min="7" max="7" width="14.36328125" bestFit="1" customWidth="1"/>
    <col min="8" max="8" width="19.54296875" bestFit="1" customWidth="1"/>
    <col min="9" max="9" width="18" bestFit="1" customWidth="1"/>
    <col min="10" max="10" width="35.36328125" bestFit="1" customWidth="1"/>
    <col min="11" max="11" width="20.36328125" bestFit="1" customWidth="1"/>
    <col min="12" max="12" width="15.26953125" bestFit="1" customWidth="1"/>
    <col min="13" max="13" width="19.7265625" bestFit="1" customWidth="1"/>
    <col min="14" max="14" width="23.632812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17</v>
      </c>
      <c r="H2" t="s">
        <v>20</v>
      </c>
      <c r="I2" t="s">
        <v>21</v>
      </c>
      <c r="J2" t="s">
        <v>22</v>
      </c>
      <c r="K2" t="s">
        <v>23</v>
      </c>
      <c r="L2">
        <v>2</v>
      </c>
      <c r="M2" t="s">
        <v>24</v>
      </c>
      <c r="N2" t="s">
        <v>25</v>
      </c>
    </row>
    <row r="3" spans="1:14">
      <c r="A3" t="s">
        <v>26</v>
      </c>
      <c r="B3" t="s">
        <v>27</v>
      </c>
      <c r="C3" t="s">
        <v>28</v>
      </c>
      <c r="D3" t="s">
        <v>29</v>
      </c>
      <c r="E3" t="s">
        <v>18</v>
      </c>
      <c r="F3" t="s">
        <v>30</v>
      </c>
      <c r="G3" t="s">
        <v>31</v>
      </c>
      <c r="H3" t="s">
        <v>32</v>
      </c>
      <c r="I3" t="s">
        <v>21</v>
      </c>
      <c r="J3" t="s">
        <v>33</v>
      </c>
      <c r="K3" t="s">
        <v>23</v>
      </c>
      <c r="L3">
        <v>4</v>
      </c>
      <c r="M3" t="s">
        <v>34</v>
      </c>
      <c r="N3" t="s">
        <v>25</v>
      </c>
    </row>
    <row r="4" spans="1:14">
      <c r="A4" t="s">
        <v>35</v>
      </c>
      <c r="B4" t="s">
        <v>36</v>
      </c>
      <c r="C4" t="s">
        <v>37</v>
      </c>
      <c r="D4" t="s">
        <v>38</v>
      </c>
      <c r="E4" t="s">
        <v>18</v>
      </c>
      <c r="F4" t="s">
        <v>39</v>
      </c>
      <c r="G4" t="s">
        <v>40</v>
      </c>
      <c r="H4" t="s">
        <v>41</v>
      </c>
      <c r="I4" t="s">
        <v>21</v>
      </c>
      <c r="J4" t="s">
        <v>33</v>
      </c>
      <c r="K4" t="s">
        <v>23</v>
      </c>
      <c r="L4">
        <v>3</v>
      </c>
      <c r="M4" t="s">
        <v>42</v>
      </c>
      <c r="N4" t="s">
        <v>25</v>
      </c>
    </row>
    <row r="5" spans="1:14">
      <c r="A5" t="s">
        <v>43</v>
      </c>
      <c r="B5" t="s">
        <v>44</v>
      </c>
      <c r="C5" t="s">
        <v>45</v>
      </c>
      <c r="D5" t="s">
        <v>46</v>
      </c>
      <c r="E5" t="s">
        <v>18</v>
      </c>
      <c r="F5" t="s">
        <v>47</v>
      </c>
      <c r="G5" t="s">
        <v>48</v>
      </c>
      <c r="H5" t="s">
        <v>49</v>
      </c>
      <c r="I5" t="s">
        <v>21</v>
      </c>
      <c r="J5" t="s">
        <v>33</v>
      </c>
      <c r="K5" t="s">
        <v>23</v>
      </c>
      <c r="L5">
        <v>2</v>
      </c>
      <c r="M5" t="s">
        <v>24</v>
      </c>
      <c r="N5" t="s">
        <v>25</v>
      </c>
    </row>
    <row r="6" spans="1:14">
      <c r="A6" t="s">
        <v>50</v>
      </c>
      <c r="B6" t="s">
        <v>51</v>
      </c>
      <c r="C6" t="s">
        <v>52</v>
      </c>
      <c r="D6" t="s">
        <v>53</v>
      </c>
      <c r="E6" t="s">
        <v>18</v>
      </c>
      <c r="F6" t="s">
        <v>54</v>
      </c>
      <c r="G6" t="s">
        <v>53</v>
      </c>
      <c r="H6" t="s">
        <v>55</v>
      </c>
      <c r="I6" t="s">
        <v>21</v>
      </c>
      <c r="J6" t="s">
        <v>56</v>
      </c>
      <c r="K6" t="s">
        <v>23</v>
      </c>
      <c r="L6">
        <v>3</v>
      </c>
      <c r="M6" t="s">
        <v>42</v>
      </c>
      <c r="N6" t="s">
        <v>25</v>
      </c>
    </row>
    <row r="7" spans="1:14">
      <c r="A7" t="s">
        <v>57</v>
      </c>
      <c r="B7" t="s">
        <v>58</v>
      </c>
      <c r="C7" t="s">
        <v>59</v>
      </c>
      <c r="D7" t="s">
        <v>60</v>
      </c>
      <c r="E7" t="s">
        <v>18</v>
      </c>
      <c r="F7" t="s">
        <v>61</v>
      </c>
      <c r="G7" t="s">
        <v>60</v>
      </c>
      <c r="H7" t="s">
        <v>62</v>
      </c>
      <c r="I7" t="s">
        <v>21</v>
      </c>
      <c r="J7" t="s">
        <v>63</v>
      </c>
      <c r="K7" t="s">
        <v>23</v>
      </c>
      <c r="L7">
        <v>3</v>
      </c>
      <c r="M7" t="s">
        <v>42</v>
      </c>
      <c r="N7" t="s">
        <v>25</v>
      </c>
    </row>
    <row r="8" spans="1:14">
      <c r="A8" t="s">
        <v>64</v>
      </c>
      <c r="B8" t="s">
        <v>65</v>
      </c>
      <c r="C8" t="s">
        <v>66</v>
      </c>
      <c r="D8" t="s">
        <v>53</v>
      </c>
      <c r="E8" t="s">
        <v>18</v>
      </c>
      <c r="F8" t="s">
        <v>67</v>
      </c>
      <c r="G8" t="s">
        <v>53</v>
      </c>
      <c r="H8" t="s">
        <v>68</v>
      </c>
      <c r="I8" t="s">
        <v>21</v>
      </c>
      <c r="J8" t="s">
        <v>33</v>
      </c>
      <c r="K8" t="s">
        <v>23</v>
      </c>
      <c r="L8">
        <v>4</v>
      </c>
      <c r="M8" t="s">
        <v>34</v>
      </c>
      <c r="N8" t="s">
        <v>25</v>
      </c>
    </row>
    <row r="9" spans="1:14">
      <c r="A9" t="s">
        <v>69</v>
      </c>
      <c r="B9" t="s">
        <v>70</v>
      </c>
      <c r="C9" t="s">
        <v>71</v>
      </c>
      <c r="D9" t="s">
        <v>72</v>
      </c>
      <c r="E9" t="s">
        <v>18</v>
      </c>
      <c r="F9" t="s">
        <v>73</v>
      </c>
      <c r="G9" t="s">
        <v>72</v>
      </c>
      <c r="H9" t="s">
        <v>74</v>
      </c>
      <c r="I9" t="s">
        <v>21</v>
      </c>
      <c r="J9" t="s">
        <v>75</v>
      </c>
      <c r="K9" t="s">
        <v>23</v>
      </c>
      <c r="L9">
        <v>3</v>
      </c>
      <c r="M9" t="s">
        <v>42</v>
      </c>
      <c r="N9" t="s">
        <v>25</v>
      </c>
    </row>
    <row r="10" spans="1:14">
      <c r="A10" t="s">
        <v>76</v>
      </c>
      <c r="B10" t="s">
        <v>77</v>
      </c>
      <c r="C10" t="s">
        <v>78</v>
      </c>
      <c r="D10" t="s">
        <v>17</v>
      </c>
      <c r="E10" t="s">
        <v>18</v>
      </c>
      <c r="F10" t="s">
        <v>79</v>
      </c>
      <c r="G10" t="s">
        <v>17</v>
      </c>
      <c r="H10" t="s">
        <v>80</v>
      </c>
      <c r="I10" t="s">
        <v>21</v>
      </c>
      <c r="J10" t="s">
        <v>81</v>
      </c>
      <c r="K10" t="s">
        <v>23</v>
      </c>
      <c r="L10">
        <v>3</v>
      </c>
      <c r="M10" t="s">
        <v>42</v>
      </c>
      <c r="N10" t="s">
        <v>25</v>
      </c>
    </row>
    <row r="11" spans="1:14">
      <c r="A11" t="s">
        <v>82</v>
      </c>
      <c r="B11" t="s">
        <v>83</v>
      </c>
      <c r="C11" t="s">
        <v>84</v>
      </c>
      <c r="D11" t="s">
        <v>85</v>
      </c>
      <c r="E11" t="s">
        <v>18</v>
      </c>
      <c r="F11" t="s">
        <v>86</v>
      </c>
      <c r="G11" t="s">
        <v>87</v>
      </c>
      <c r="H11" t="s">
        <v>88</v>
      </c>
      <c r="I11" t="s">
        <v>21</v>
      </c>
      <c r="J11" t="s">
        <v>22</v>
      </c>
      <c r="K11" t="s">
        <v>23</v>
      </c>
      <c r="L11">
        <v>3</v>
      </c>
      <c r="M11" t="s">
        <v>42</v>
      </c>
      <c r="N11" t="s">
        <v>25</v>
      </c>
    </row>
    <row r="12" spans="1:14">
      <c r="A12" t="s">
        <v>89</v>
      </c>
      <c r="B12" t="s">
        <v>90</v>
      </c>
      <c r="C12" t="s">
        <v>91</v>
      </c>
      <c r="D12" t="s">
        <v>92</v>
      </c>
      <c r="E12" t="s">
        <v>18</v>
      </c>
      <c r="F12" t="s">
        <v>93</v>
      </c>
      <c r="G12" t="s">
        <v>94</v>
      </c>
      <c r="H12" t="s">
        <v>95</v>
      </c>
      <c r="I12" t="s">
        <v>21</v>
      </c>
      <c r="J12" t="s">
        <v>22</v>
      </c>
      <c r="K12" t="s">
        <v>23</v>
      </c>
      <c r="L12">
        <v>4</v>
      </c>
      <c r="M12" t="s">
        <v>34</v>
      </c>
      <c r="N12" t="s">
        <v>25</v>
      </c>
    </row>
    <row r="13" spans="1:14">
      <c r="A13" t="s">
        <v>96</v>
      </c>
      <c r="B13" t="s">
        <v>97</v>
      </c>
      <c r="C13" t="s">
        <v>98</v>
      </c>
      <c r="D13" t="s">
        <v>99</v>
      </c>
      <c r="E13" t="s">
        <v>18</v>
      </c>
      <c r="F13" t="s">
        <v>100</v>
      </c>
      <c r="G13" t="s">
        <v>101</v>
      </c>
      <c r="H13" t="s">
        <v>102</v>
      </c>
      <c r="I13" t="s">
        <v>21</v>
      </c>
      <c r="J13" t="s">
        <v>33</v>
      </c>
      <c r="K13" t="s">
        <v>23</v>
      </c>
      <c r="L13">
        <v>4</v>
      </c>
      <c r="M13" t="s">
        <v>34</v>
      </c>
      <c r="N13" t="s">
        <v>25</v>
      </c>
    </row>
    <row r="14" spans="1:14">
      <c r="A14" t="s">
        <v>103</v>
      </c>
      <c r="B14" t="s">
        <v>104</v>
      </c>
      <c r="C14" t="s">
        <v>105</v>
      </c>
      <c r="D14" t="s">
        <v>106</v>
      </c>
      <c r="E14" t="s">
        <v>18</v>
      </c>
      <c r="F14" t="s">
        <v>107</v>
      </c>
      <c r="G14" t="s">
        <v>87</v>
      </c>
      <c r="H14" t="s">
        <v>108</v>
      </c>
      <c r="I14" t="s">
        <v>21</v>
      </c>
      <c r="J14" t="s">
        <v>22</v>
      </c>
      <c r="K14" t="s">
        <v>23</v>
      </c>
      <c r="L14">
        <v>2</v>
      </c>
      <c r="M14" t="s">
        <v>24</v>
      </c>
      <c r="N14" t="s">
        <v>25</v>
      </c>
    </row>
    <row r="15" spans="1:14">
      <c r="A15" t="s">
        <v>109</v>
      </c>
      <c r="B15" t="s">
        <v>110</v>
      </c>
      <c r="C15" t="s">
        <v>111</v>
      </c>
      <c r="D15" t="s">
        <v>112</v>
      </c>
      <c r="E15" t="s">
        <v>18</v>
      </c>
      <c r="F15" t="s">
        <v>113</v>
      </c>
      <c r="G15" t="s">
        <v>114</v>
      </c>
      <c r="H15" t="s">
        <v>115</v>
      </c>
      <c r="I15" t="s">
        <v>21</v>
      </c>
      <c r="J15" t="s">
        <v>33</v>
      </c>
      <c r="K15" t="s">
        <v>23</v>
      </c>
      <c r="L15">
        <v>4</v>
      </c>
      <c r="M15" t="s">
        <v>34</v>
      </c>
      <c r="N15" t="s">
        <v>25</v>
      </c>
    </row>
    <row r="16" spans="1:14">
      <c r="A16" t="s">
        <v>116</v>
      </c>
      <c r="B16" t="s">
        <v>117</v>
      </c>
      <c r="C16" t="s">
        <v>118</v>
      </c>
      <c r="D16" t="s">
        <v>119</v>
      </c>
      <c r="E16" t="s">
        <v>18</v>
      </c>
      <c r="F16" t="s">
        <v>120</v>
      </c>
      <c r="G16" t="s">
        <v>121</v>
      </c>
      <c r="H16" t="s">
        <v>122</v>
      </c>
      <c r="I16" t="s">
        <v>21</v>
      </c>
      <c r="J16" t="s">
        <v>81</v>
      </c>
      <c r="K16" t="s">
        <v>23</v>
      </c>
      <c r="L16">
        <v>3</v>
      </c>
      <c r="M16" t="s">
        <v>42</v>
      </c>
      <c r="N16" t="s">
        <v>25</v>
      </c>
    </row>
    <row r="17" spans="1:14">
      <c r="A17" t="s">
        <v>123</v>
      </c>
      <c r="B17" t="s">
        <v>124</v>
      </c>
      <c r="C17" t="s">
        <v>125</v>
      </c>
      <c r="D17" t="s">
        <v>126</v>
      </c>
      <c r="E17" t="s">
        <v>18</v>
      </c>
      <c r="F17" t="s">
        <v>127</v>
      </c>
      <c r="G17" t="s">
        <v>128</v>
      </c>
      <c r="H17" t="s">
        <v>129</v>
      </c>
      <c r="I17" t="s">
        <v>21</v>
      </c>
      <c r="J17" t="s">
        <v>56</v>
      </c>
      <c r="K17" t="s">
        <v>23</v>
      </c>
      <c r="L17">
        <v>4</v>
      </c>
      <c r="M17" t="s">
        <v>34</v>
      </c>
      <c r="N17" t="s">
        <v>25</v>
      </c>
    </row>
    <row r="18" spans="1:14">
      <c r="A18" t="s">
        <v>130</v>
      </c>
      <c r="B18" t="s">
        <v>131</v>
      </c>
      <c r="C18" t="s">
        <v>132</v>
      </c>
      <c r="D18" t="s">
        <v>133</v>
      </c>
      <c r="E18" t="s">
        <v>18</v>
      </c>
      <c r="F18" t="s">
        <v>134</v>
      </c>
      <c r="G18" t="s">
        <v>133</v>
      </c>
      <c r="H18" t="s">
        <v>135</v>
      </c>
      <c r="I18" t="s">
        <v>21</v>
      </c>
      <c r="J18" t="s">
        <v>33</v>
      </c>
      <c r="K18" t="s">
        <v>23</v>
      </c>
      <c r="L18">
        <v>3</v>
      </c>
      <c r="M18" t="s">
        <v>42</v>
      </c>
      <c r="N18" t="s">
        <v>25</v>
      </c>
    </row>
    <row r="19" spans="1:14">
      <c r="A19" t="s">
        <v>136</v>
      </c>
      <c r="B19" t="s">
        <v>137</v>
      </c>
      <c r="C19" t="s">
        <v>138</v>
      </c>
      <c r="D19" t="s">
        <v>139</v>
      </c>
      <c r="E19" t="s">
        <v>18</v>
      </c>
      <c r="F19" t="s">
        <v>140</v>
      </c>
      <c r="G19" t="s">
        <v>141</v>
      </c>
      <c r="H19" t="s">
        <v>142</v>
      </c>
      <c r="I19" t="s">
        <v>21</v>
      </c>
      <c r="J19" t="s">
        <v>33</v>
      </c>
      <c r="K19" t="s">
        <v>23</v>
      </c>
      <c r="L19">
        <v>2</v>
      </c>
      <c r="M19" t="s">
        <v>24</v>
      </c>
      <c r="N19" t="s">
        <v>143</v>
      </c>
    </row>
    <row r="20" spans="1:14">
      <c r="A20" t="s">
        <v>144</v>
      </c>
      <c r="B20" t="s">
        <v>145</v>
      </c>
      <c r="C20" t="s">
        <v>146</v>
      </c>
      <c r="D20" t="s">
        <v>53</v>
      </c>
      <c r="E20" t="s">
        <v>18</v>
      </c>
      <c r="F20" t="s">
        <v>147</v>
      </c>
      <c r="G20" t="s">
        <v>53</v>
      </c>
      <c r="H20" t="s">
        <v>148</v>
      </c>
      <c r="I20" t="s">
        <v>21</v>
      </c>
      <c r="J20" t="s">
        <v>63</v>
      </c>
      <c r="K20" t="s">
        <v>23</v>
      </c>
      <c r="L20">
        <v>4</v>
      </c>
      <c r="M20" t="s">
        <v>34</v>
      </c>
      <c r="N20" t="s">
        <v>25</v>
      </c>
    </row>
    <row r="21" spans="1:14">
      <c r="A21" t="s">
        <v>149</v>
      </c>
      <c r="B21" t="s">
        <v>150</v>
      </c>
      <c r="C21" t="s">
        <v>151</v>
      </c>
      <c r="D21" t="s">
        <v>152</v>
      </c>
      <c r="E21" t="s">
        <v>18</v>
      </c>
      <c r="F21" t="s">
        <v>153</v>
      </c>
      <c r="G21" t="s">
        <v>154</v>
      </c>
      <c r="H21" t="s">
        <v>155</v>
      </c>
      <c r="I21" t="s">
        <v>21</v>
      </c>
      <c r="J21" t="s">
        <v>33</v>
      </c>
      <c r="K21" t="s">
        <v>23</v>
      </c>
      <c r="L21">
        <v>3</v>
      </c>
      <c r="M21" t="s">
        <v>42</v>
      </c>
      <c r="N21" t="s">
        <v>25</v>
      </c>
    </row>
    <row r="22" spans="1:14">
      <c r="A22" t="s">
        <v>156</v>
      </c>
      <c r="B22" t="s">
        <v>157</v>
      </c>
      <c r="C22" t="s">
        <v>158</v>
      </c>
      <c r="D22" t="s">
        <v>53</v>
      </c>
      <c r="E22" t="s">
        <v>18</v>
      </c>
      <c r="F22" t="s">
        <v>159</v>
      </c>
      <c r="G22" t="s">
        <v>53</v>
      </c>
      <c r="H22" t="s">
        <v>160</v>
      </c>
      <c r="I22" t="s">
        <v>21</v>
      </c>
      <c r="J22" t="s">
        <v>75</v>
      </c>
      <c r="K22" t="s">
        <v>23</v>
      </c>
      <c r="L22">
        <v>3</v>
      </c>
      <c r="M22" t="s">
        <v>42</v>
      </c>
      <c r="N22" t="s">
        <v>25</v>
      </c>
    </row>
    <row r="23" spans="1:14">
      <c r="A23" t="s">
        <v>161</v>
      </c>
      <c r="B23" t="s">
        <v>162</v>
      </c>
      <c r="C23" t="s">
        <v>163</v>
      </c>
      <c r="D23" t="s">
        <v>164</v>
      </c>
      <c r="E23" t="s">
        <v>18</v>
      </c>
      <c r="F23" t="s">
        <v>165</v>
      </c>
      <c r="G23" t="s">
        <v>166</v>
      </c>
      <c r="H23" t="s">
        <v>167</v>
      </c>
      <c r="I23" t="s">
        <v>21</v>
      </c>
      <c r="J23" t="s">
        <v>33</v>
      </c>
      <c r="K23" t="s">
        <v>23</v>
      </c>
      <c r="L23">
        <v>5</v>
      </c>
      <c r="M23" t="s">
        <v>168</v>
      </c>
      <c r="N23" t="s">
        <v>25</v>
      </c>
    </row>
    <row r="24" spans="1:14">
      <c r="A24" t="s">
        <v>169</v>
      </c>
      <c r="B24" t="s">
        <v>170</v>
      </c>
      <c r="C24" t="s">
        <v>171</v>
      </c>
      <c r="D24" t="s">
        <v>172</v>
      </c>
      <c r="E24" t="s">
        <v>18</v>
      </c>
      <c r="F24" t="s">
        <v>173</v>
      </c>
      <c r="G24" t="s">
        <v>174</v>
      </c>
      <c r="H24" t="s">
        <v>175</v>
      </c>
      <c r="I24" t="s">
        <v>21</v>
      </c>
      <c r="J24" t="s">
        <v>56</v>
      </c>
      <c r="K24" t="s">
        <v>23</v>
      </c>
      <c r="M24" t="s">
        <v>176</v>
      </c>
      <c r="N24" t="s">
        <v>177</v>
      </c>
    </row>
    <row r="25" spans="1:14">
      <c r="A25" t="s">
        <v>178</v>
      </c>
      <c r="B25" t="s">
        <v>179</v>
      </c>
      <c r="C25" t="s">
        <v>180</v>
      </c>
      <c r="D25" t="s">
        <v>181</v>
      </c>
      <c r="E25" t="s">
        <v>18</v>
      </c>
      <c r="F25" t="s">
        <v>182</v>
      </c>
      <c r="G25" t="s">
        <v>183</v>
      </c>
      <c r="H25" t="s">
        <v>184</v>
      </c>
      <c r="I25" t="s">
        <v>21</v>
      </c>
      <c r="J25" t="s">
        <v>33</v>
      </c>
      <c r="K25" t="s">
        <v>23</v>
      </c>
      <c r="L25">
        <v>3</v>
      </c>
      <c r="M25" t="s">
        <v>42</v>
      </c>
      <c r="N25" t="s">
        <v>143</v>
      </c>
    </row>
    <row r="26" spans="1:14">
      <c r="A26" t="s">
        <v>185</v>
      </c>
      <c r="B26" t="s">
        <v>186</v>
      </c>
      <c r="C26" t="s">
        <v>187</v>
      </c>
      <c r="D26" t="s">
        <v>188</v>
      </c>
      <c r="E26" t="s">
        <v>18</v>
      </c>
      <c r="F26" t="s">
        <v>189</v>
      </c>
      <c r="G26" t="s">
        <v>190</v>
      </c>
      <c r="H26" t="s">
        <v>191</v>
      </c>
      <c r="I26" t="s">
        <v>21</v>
      </c>
      <c r="J26" t="s">
        <v>22</v>
      </c>
      <c r="K26" t="s">
        <v>23</v>
      </c>
      <c r="L26">
        <v>3</v>
      </c>
      <c r="M26" t="s">
        <v>42</v>
      </c>
      <c r="N26" t="s">
        <v>25</v>
      </c>
    </row>
    <row r="27" spans="1:14">
      <c r="A27" t="s">
        <v>192</v>
      </c>
      <c r="B27" t="s">
        <v>193</v>
      </c>
      <c r="C27" t="s">
        <v>194</v>
      </c>
      <c r="D27" t="s">
        <v>195</v>
      </c>
      <c r="E27" t="s">
        <v>18</v>
      </c>
      <c r="F27" t="s">
        <v>196</v>
      </c>
      <c r="G27" t="s">
        <v>128</v>
      </c>
      <c r="H27" t="s">
        <v>197</v>
      </c>
      <c r="I27" t="s">
        <v>21</v>
      </c>
      <c r="J27" t="s">
        <v>33</v>
      </c>
      <c r="K27" t="s">
        <v>23</v>
      </c>
      <c r="L27">
        <v>4</v>
      </c>
      <c r="M27" t="s">
        <v>34</v>
      </c>
      <c r="N27" t="s">
        <v>25</v>
      </c>
    </row>
    <row r="28" spans="1:14">
      <c r="A28" t="s">
        <v>198</v>
      </c>
      <c r="B28" t="s">
        <v>199</v>
      </c>
      <c r="C28" t="s">
        <v>200</v>
      </c>
      <c r="D28" t="s">
        <v>119</v>
      </c>
      <c r="E28" t="s">
        <v>18</v>
      </c>
      <c r="F28" t="s">
        <v>201</v>
      </c>
      <c r="G28" t="s">
        <v>121</v>
      </c>
      <c r="H28" t="s">
        <v>202</v>
      </c>
      <c r="I28" t="s">
        <v>21</v>
      </c>
      <c r="J28" t="s">
        <v>33</v>
      </c>
      <c r="K28" t="s">
        <v>23</v>
      </c>
      <c r="L28">
        <v>4</v>
      </c>
      <c r="M28" t="s">
        <v>34</v>
      </c>
      <c r="N28" t="s">
        <v>25</v>
      </c>
    </row>
    <row r="29" spans="1:14">
      <c r="A29" t="s">
        <v>203</v>
      </c>
      <c r="B29" t="s">
        <v>204</v>
      </c>
      <c r="C29" t="s">
        <v>205</v>
      </c>
      <c r="D29" t="s">
        <v>206</v>
      </c>
      <c r="E29" t="s">
        <v>18</v>
      </c>
      <c r="F29" t="s">
        <v>207</v>
      </c>
      <c r="G29" t="s">
        <v>208</v>
      </c>
      <c r="H29" t="s">
        <v>209</v>
      </c>
      <c r="I29" t="s">
        <v>21</v>
      </c>
      <c r="J29" t="s">
        <v>33</v>
      </c>
      <c r="K29" t="s">
        <v>23</v>
      </c>
      <c r="L29">
        <v>4</v>
      </c>
      <c r="M29" t="s">
        <v>34</v>
      </c>
      <c r="N29" t="s">
        <v>25</v>
      </c>
    </row>
    <row r="30" spans="1:14">
      <c r="A30" t="s">
        <v>210</v>
      </c>
      <c r="B30" t="s">
        <v>211</v>
      </c>
      <c r="C30" t="s">
        <v>212</v>
      </c>
      <c r="D30" t="s">
        <v>213</v>
      </c>
      <c r="E30" t="s">
        <v>18</v>
      </c>
      <c r="F30" t="s">
        <v>214</v>
      </c>
      <c r="G30" t="s">
        <v>53</v>
      </c>
      <c r="H30" t="s">
        <v>215</v>
      </c>
      <c r="I30" t="s">
        <v>21</v>
      </c>
      <c r="J30" t="s">
        <v>33</v>
      </c>
      <c r="K30" t="s">
        <v>23</v>
      </c>
      <c r="L30">
        <v>5</v>
      </c>
      <c r="M30" t="s">
        <v>168</v>
      </c>
      <c r="N30" t="s">
        <v>25</v>
      </c>
    </row>
    <row r="31" spans="1:14">
      <c r="A31" t="s">
        <v>216</v>
      </c>
      <c r="B31" t="s">
        <v>217</v>
      </c>
      <c r="C31" t="s">
        <v>218</v>
      </c>
      <c r="D31" t="s">
        <v>219</v>
      </c>
      <c r="E31" t="s">
        <v>18</v>
      </c>
      <c r="F31" t="s">
        <v>220</v>
      </c>
      <c r="G31" t="s">
        <v>221</v>
      </c>
      <c r="H31" t="s">
        <v>222</v>
      </c>
      <c r="I31" t="s">
        <v>21</v>
      </c>
      <c r="J31" t="s">
        <v>56</v>
      </c>
      <c r="K31" t="s">
        <v>23</v>
      </c>
      <c r="L31">
        <v>3</v>
      </c>
      <c r="M31" t="s">
        <v>42</v>
      </c>
      <c r="N31" t="s">
        <v>25</v>
      </c>
    </row>
    <row r="32" spans="1:14">
      <c r="A32" t="s">
        <v>223</v>
      </c>
      <c r="B32" t="s">
        <v>224</v>
      </c>
      <c r="C32" t="s">
        <v>225</v>
      </c>
      <c r="D32" t="s">
        <v>226</v>
      </c>
      <c r="E32" t="s">
        <v>18</v>
      </c>
      <c r="F32" t="s">
        <v>227</v>
      </c>
      <c r="G32" t="s">
        <v>228</v>
      </c>
      <c r="H32" t="s">
        <v>229</v>
      </c>
      <c r="I32" t="s">
        <v>21</v>
      </c>
      <c r="J32" t="s">
        <v>33</v>
      </c>
      <c r="K32" t="s">
        <v>23</v>
      </c>
      <c r="L32">
        <v>2</v>
      </c>
      <c r="M32" t="s">
        <v>24</v>
      </c>
      <c r="N32" t="s">
        <v>25</v>
      </c>
    </row>
    <row r="33" spans="1:14">
      <c r="A33" t="s">
        <v>230</v>
      </c>
      <c r="B33" t="s">
        <v>231</v>
      </c>
      <c r="C33" t="s">
        <v>232</v>
      </c>
      <c r="D33" t="s">
        <v>233</v>
      </c>
      <c r="E33" t="s">
        <v>18</v>
      </c>
      <c r="F33" t="s">
        <v>234</v>
      </c>
      <c r="G33" t="s">
        <v>235</v>
      </c>
      <c r="H33" t="s">
        <v>236</v>
      </c>
      <c r="I33" t="s">
        <v>21</v>
      </c>
      <c r="J33" t="s">
        <v>22</v>
      </c>
      <c r="K33" t="s">
        <v>23</v>
      </c>
      <c r="L33">
        <v>2</v>
      </c>
      <c r="M33" t="s">
        <v>24</v>
      </c>
      <c r="N33" t="s">
        <v>25</v>
      </c>
    </row>
    <row r="34" spans="1:14">
      <c r="A34" t="s">
        <v>237</v>
      </c>
      <c r="B34" t="s">
        <v>238</v>
      </c>
      <c r="C34" t="s">
        <v>239</v>
      </c>
      <c r="D34" t="s">
        <v>240</v>
      </c>
      <c r="E34" t="s">
        <v>18</v>
      </c>
      <c r="F34" t="s">
        <v>241</v>
      </c>
      <c r="G34" t="s">
        <v>128</v>
      </c>
      <c r="H34" t="s">
        <v>242</v>
      </c>
      <c r="I34" t="s">
        <v>21</v>
      </c>
      <c r="J34" t="s">
        <v>22</v>
      </c>
      <c r="K34" t="s">
        <v>23</v>
      </c>
      <c r="L34">
        <v>2</v>
      </c>
      <c r="M34" t="s">
        <v>24</v>
      </c>
      <c r="N34" t="s">
        <v>25</v>
      </c>
    </row>
    <row r="35" spans="1:14">
      <c r="A35" t="s">
        <v>243</v>
      </c>
      <c r="B35" t="s">
        <v>244</v>
      </c>
      <c r="C35" t="s">
        <v>245</v>
      </c>
      <c r="D35" t="s">
        <v>246</v>
      </c>
      <c r="E35" t="s">
        <v>18</v>
      </c>
      <c r="F35" t="s">
        <v>247</v>
      </c>
      <c r="G35" t="s">
        <v>248</v>
      </c>
      <c r="H35" t="s">
        <v>249</v>
      </c>
      <c r="I35" t="s">
        <v>21</v>
      </c>
      <c r="J35" t="s">
        <v>33</v>
      </c>
      <c r="K35" t="s">
        <v>23</v>
      </c>
      <c r="L35">
        <v>4</v>
      </c>
      <c r="M35" t="s">
        <v>34</v>
      </c>
      <c r="N35" t="s">
        <v>25</v>
      </c>
    </row>
    <row r="36" spans="1:14">
      <c r="A36" t="s">
        <v>250</v>
      </c>
      <c r="B36" t="s">
        <v>251</v>
      </c>
      <c r="C36" t="s">
        <v>252</v>
      </c>
      <c r="D36" t="s">
        <v>253</v>
      </c>
      <c r="E36" t="s">
        <v>18</v>
      </c>
      <c r="F36" t="s">
        <v>254</v>
      </c>
      <c r="G36" t="s">
        <v>255</v>
      </c>
      <c r="H36" t="s">
        <v>256</v>
      </c>
      <c r="I36" t="s">
        <v>21</v>
      </c>
      <c r="J36" t="s">
        <v>22</v>
      </c>
      <c r="K36" t="s">
        <v>23</v>
      </c>
      <c r="L36">
        <v>3</v>
      </c>
      <c r="M36" t="s">
        <v>42</v>
      </c>
      <c r="N36" t="s">
        <v>25</v>
      </c>
    </row>
    <row r="37" spans="1:14">
      <c r="A37" t="s">
        <v>257</v>
      </c>
      <c r="B37" t="s">
        <v>258</v>
      </c>
      <c r="C37" t="s">
        <v>259</v>
      </c>
      <c r="D37" t="s">
        <v>260</v>
      </c>
      <c r="E37" t="s">
        <v>18</v>
      </c>
      <c r="F37" t="s">
        <v>261</v>
      </c>
      <c r="G37" t="s">
        <v>121</v>
      </c>
      <c r="H37" t="s">
        <v>262</v>
      </c>
      <c r="I37" t="s">
        <v>21</v>
      </c>
      <c r="J37" t="s">
        <v>22</v>
      </c>
      <c r="K37" t="s">
        <v>23</v>
      </c>
      <c r="L37">
        <v>3</v>
      </c>
      <c r="M37" t="s">
        <v>42</v>
      </c>
      <c r="N37" t="s">
        <v>25</v>
      </c>
    </row>
    <row r="38" spans="1:14">
      <c r="A38" t="s">
        <v>263</v>
      </c>
      <c r="B38" t="s">
        <v>264</v>
      </c>
      <c r="C38" t="s">
        <v>265</v>
      </c>
      <c r="D38" t="s">
        <v>139</v>
      </c>
      <c r="E38" t="s">
        <v>18</v>
      </c>
      <c r="F38" t="s">
        <v>140</v>
      </c>
      <c r="G38" t="s">
        <v>141</v>
      </c>
      <c r="H38" t="s">
        <v>266</v>
      </c>
      <c r="I38" t="s">
        <v>21</v>
      </c>
      <c r="J38" t="s">
        <v>33</v>
      </c>
      <c r="K38" t="s">
        <v>23</v>
      </c>
      <c r="L38">
        <v>4</v>
      </c>
      <c r="M38" t="s">
        <v>34</v>
      </c>
      <c r="N38" t="s">
        <v>25</v>
      </c>
    </row>
    <row r="39" spans="1:14">
      <c r="A39" t="s">
        <v>267</v>
      </c>
      <c r="B39" t="s">
        <v>268</v>
      </c>
      <c r="C39" t="s">
        <v>269</v>
      </c>
      <c r="D39" t="s">
        <v>233</v>
      </c>
      <c r="E39" t="s">
        <v>18</v>
      </c>
      <c r="F39" t="s">
        <v>234</v>
      </c>
      <c r="G39" t="s">
        <v>235</v>
      </c>
      <c r="H39" t="s">
        <v>270</v>
      </c>
      <c r="I39" t="s">
        <v>21</v>
      </c>
      <c r="J39" t="s">
        <v>33</v>
      </c>
      <c r="K39" t="s">
        <v>23</v>
      </c>
      <c r="L39">
        <v>4</v>
      </c>
      <c r="M39" t="s">
        <v>34</v>
      </c>
      <c r="N39" t="s">
        <v>25</v>
      </c>
    </row>
    <row r="40" spans="1:14">
      <c r="A40" t="s">
        <v>271</v>
      </c>
      <c r="B40" t="s">
        <v>272</v>
      </c>
      <c r="C40" t="s">
        <v>273</v>
      </c>
      <c r="D40" t="s">
        <v>274</v>
      </c>
      <c r="E40" t="s">
        <v>18</v>
      </c>
      <c r="F40" t="s">
        <v>275</v>
      </c>
      <c r="G40" t="s">
        <v>276</v>
      </c>
      <c r="H40" t="s">
        <v>277</v>
      </c>
      <c r="I40" t="s">
        <v>21</v>
      </c>
      <c r="J40" t="s">
        <v>278</v>
      </c>
      <c r="K40" t="s">
        <v>23</v>
      </c>
      <c r="L40">
        <v>2</v>
      </c>
      <c r="M40" t="s">
        <v>24</v>
      </c>
      <c r="N40" t="s">
        <v>25</v>
      </c>
    </row>
    <row r="41" spans="1:14">
      <c r="A41" t="s">
        <v>279</v>
      </c>
      <c r="B41" t="s">
        <v>280</v>
      </c>
      <c r="C41" t="s">
        <v>281</v>
      </c>
      <c r="D41" t="s">
        <v>17</v>
      </c>
      <c r="E41" t="s">
        <v>18</v>
      </c>
      <c r="F41" t="s">
        <v>19</v>
      </c>
      <c r="G41" t="s">
        <v>17</v>
      </c>
      <c r="H41" t="s">
        <v>282</v>
      </c>
      <c r="I41" t="s">
        <v>21</v>
      </c>
      <c r="J41" t="s">
        <v>22</v>
      </c>
      <c r="K41" t="s">
        <v>23</v>
      </c>
      <c r="L41">
        <v>2</v>
      </c>
      <c r="M41" t="s">
        <v>24</v>
      </c>
      <c r="N41" t="s">
        <v>25</v>
      </c>
    </row>
    <row r="42" spans="1:14">
      <c r="A42" t="s">
        <v>283</v>
      </c>
      <c r="B42" t="s">
        <v>284</v>
      </c>
      <c r="C42" t="s">
        <v>285</v>
      </c>
      <c r="D42" t="s">
        <v>286</v>
      </c>
      <c r="E42" t="s">
        <v>18</v>
      </c>
      <c r="F42" t="s">
        <v>287</v>
      </c>
      <c r="G42" t="s">
        <v>288</v>
      </c>
      <c r="H42" t="s">
        <v>289</v>
      </c>
      <c r="I42" t="s">
        <v>21</v>
      </c>
      <c r="J42" t="s">
        <v>56</v>
      </c>
      <c r="K42" t="s">
        <v>23</v>
      </c>
      <c r="L42">
        <v>3</v>
      </c>
      <c r="M42" t="s">
        <v>42</v>
      </c>
      <c r="N42" t="s">
        <v>25</v>
      </c>
    </row>
    <row r="43" spans="1:14">
      <c r="A43" t="s">
        <v>290</v>
      </c>
      <c r="B43" t="s">
        <v>291</v>
      </c>
      <c r="C43" t="s">
        <v>292</v>
      </c>
      <c r="D43" t="s">
        <v>293</v>
      </c>
      <c r="E43" t="s">
        <v>18</v>
      </c>
      <c r="F43" t="s">
        <v>294</v>
      </c>
      <c r="G43" t="s">
        <v>295</v>
      </c>
      <c r="H43" t="s">
        <v>296</v>
      </c>
      <c r="I43" t="s">
        <v>21</v>
      </c>
      <c r="J43" t="s">
        <v>22</v>
      </c>
      <c r="K43" t="s">
        <v>23</v>
      </c>
      <c r="L43">
        <v>4</v>
      </c>
      <c r="M43" t="s">
        <v>34</v>
      </c>
      <c r="N43" t="s">
        <v>25</v>
      </c>
    </row>
    <row r="44" spans="1:14">
      <c r="A44" t="s">
        <v>297</v>
      </c>
      <c r="B44" t="s">
        <v>298</v>
      </c>
      <c r="C44" t="s">
        <v>299</v>
      </c>
      <c r="D44" t="s">
        <v>181</v>
      </c>
      <c r="E44" t="s">
        <v>18</v>
      </c>
      <c r="F44" t="s">
        <v>300</v>
      </c>
      <c r="G44" t="s">
        <v>183</v>
      </c>
      <c r="H44" t="s">
        <v>301</v>
      </c>
      <c r="I44" t="s">
        <v>21</v>
      </c>
      <c r="J44" t="s">
        <v>33</v>
      </c>
      <c r="K44" t="s">
        <v>302</v>
      </c>
      <c r="L44">
        <v>4</v>
      </c>
      <c r="M44" t="s">
        <v>34</v>
      </c>
      <c r="N44" t="s">
        <v>143</v>
      </c>
    </row>
    <row r="45" spans="1:14">
      <c r="A45" t="s">
        <v>303</v>
      </c>
      <c r="B45" t="s">
        <v>304</v>
      </c>
      <c r="C45" t="s">
        <v>305</v>
      </c>
      <c r="D45" t="s">
        <v>306</v>
      </c>
      <c r="E45" t="s">
        <v>18</v>
      </c>
      <c r="F45" t="s">
        <v>307</v>
      </c>
      <c r="G45" t="s">
        <v>295</v>
      </c>
      <c r="H45" t="s">
        <v>308</v>
      </c>
      <c r="I45" t="s">
        <v>21</v>
      </c>
      <c r="J45" t="s">
        <v>33</v>
      </c>
      <c r="K45" t="s">
        <v>23</v>
      </c>
      <c r="L45">
        <v>5</v>
      </c>
      <c r="M45" t="s">
        <v>168</v>
      </c>
      <c r="N45" t="s">
        <v>25</v>
      </c>
    </row>
    <row r="46" spans="1:14">
      <c r="A46" t="s">
        <v>309</v>
      </c>
      <c r="B46" t="s">
        <v>310</v>
      </c>
      <c r="C46" t="s">
        <v>311</v>
      </c>
      <c r="D46" t="s">
        <v>312</v>
      </c>
      <c r="E46" t="s">
        <v>18</v>
      </c>
      <c r="F46" t="s">
        <v>313</v>
      </c>
      <c r="G46" t="s">
        <v>314</v>
      </c>
      <c r="H46" t="s">
        <v>315</v>
      </c>
      <c r="I46" t="s">
        <v>21</v>
      </c>
      <c r="J46" t="s">
        <v>56</v>
      </c>
      <c r="K46" t="s">
        <v>23</v>
      </c>
      <c r="L46">
        <v>3</v>
      </c>
      <c r="M46" t="s">
        <v>42</v>
      </c>
      <c r="N46" t="s">
        <v>25</v>
      </c>
    </row>
    <row r="47" spans="1:14">
      <c r="A47" t="s">
        <v>316</v>
      </c>
      <c r="B47" t="s">
        <v>317</v>
      </c>
      <c r="C47" t="s">
        <v>318</v>
      </c>
      <c r="D47" t="s">
        <v>319</v>
      </c>
      <c r="E47" t="s">
        <v>18</v>
      </c>
      <c r="F47" t="s">
        <v>320</v>
      </c>
      <c r="G47" t="s">
        <v>319</v>
      </c>
      <c r="H47" t="s">
        <v>321</v>
      </c>
      <c r="I47" t="s">
        <v>21</v>
      </c>
      <c r="J47" t="s">
        <v>56</v>
      </c>
      <c r="K47" t="s">
        <v>23</v>
      </c>
      <c r="L47">
        <v>1</v>
      </c>
      <c r="M47" t="s">
        <v>322</v>
      </c>
      <c r="N47" t="s">
        <v>25</v>
      </c>
    </row>
    <row r="48" spans="1:14">
      <c r="A48" t="s">
        <v>323</v>
      </c>
      <c r="B48" t="s">
        <v>324</v>
      </c>
      <c r="C48" t="s">
        <v>325</v>
      </c>
      <c r="D48" t="s">
        <v>126</v>
      </c>
      <c r="E48" t="s">
        <v>18</v>
      </c>
      <c r="F48" t="s">
        <v>127</v>
      </c>
      <c r="G48" t="s">
        <v>128</v>
      </c>
      <c r="H48" t="s">
        <v>326</v>
      </c>
      <c r="I48" t="s">
        <v>21</v>
      </c>
      <c r="J48" t="s">
        <v>33</v>
      </c>
      <c r="K48" t="s">
        <v>23</v>
      </c>
      <c r="L48">
        <v>4</v>
      </c>
      <c r="M48" t="s">
        <v>34</v>
      </c>
      <c r="N48" t="s">
        <v>25</v>
      </c>
    </row>
    <row r="49" spans="1:14">
      <c r="A49" t="s">
        <v>327</v>
      </c>
      <c r="B49" t="s">
        <v>328</v>
      </c>
      <c r="C49" t="s">
        <v>329</v>
      </c>
      <c r="D49" t="s">
        <v>126</v>
      </c>
      <c r="E49" t="s">
        <v>18</v>
      </c>
      <c r="F49" t="s">
        <v>127</v>
      </c>
      <c r="G49" t="s">
        <v>128</v>
      </c>
      <c r="H49" t="s">
        <v>330</v>
      </c>
      <c r="I49" t="s">
        <v>21</v>
      </c>
      <c r="J49" t="s">
        <v>33</v>
      </c>
      <c r="K49" t="s">
        <v>302</v>
      </c>
      <c r="L49">
        <v>4</v>
      </c>
      <c r="M49" t="s">
        <v>34</v>
      </c>
      <c r="N49" t="s">
        <v>25</v>
      </c>
    </row>
    <row r="50" spans="1:14">
      <c r="A50" t="s">
        <v>331</v>
      </c>
      <c r="B50" t="s">
        <v>332</v>
      </c>
      <c r="C50" t="s">
        <v>333</v>
      </c>
      <c r="D50" t="s">
        <v>334</v>
      </c>
      <c r="E50" t="s">
        <v>18</v>
      </c>
      <c r="F50" t="s">
        <v>335</v>
      </c>
      <c r="G50" t="s">
        <v>334</v>
      </c>
      <c r="H50" t="s">
        <v>336</v>
      </c>
      <c r="I50" t="s">
        <v>21</v>
      </c>
      <c r="J50" t="s">
        <v>56</v>
      </c>
      <c r="K50" t="s">
        <v>23</v>
      </c>
      <c r="M50" t="s">
        <v>176</v>
      </c>
      <c r="N50" t="s">
        <v>177</v>
      </c>
    </row>
    <row r="51" spans="1:14">
      <c r="A51" t="s">
        <v>337</v>
      </c>
      <c r="B51" t="s">
        <v>338</v>
      </c>
      <c r="C51" t="s">
        <v>339</v>
      </c>
      <c r="D51" t="s">
        <v>72</v>
      </c>
      <c r="E51" t="s">
        <v>18</v>
      </c>
      <c r="F51" t="s">
        <v>73</v>
      </c>
      <c r="G51" t="s">
        <v>72</v>
      </c>
      <c r="H51" t="s">
        <v>340</v>
      </c>
      <c r="I51" t="s">
        <v>21</v>
      </c>
      <c r="J51" t="s">
        <v>22</v>
      </c>
      <c r="K51" t="s">
        <v>23</v>
      </c>
      <c r="L51">
        <v>2</v>
      </c>
      <c r="M51" t="s">
        <v>24</v>
      </c>
      <c r="N51" t="s">
        <v>25</v>
      </c>
    </row>
    <row r="52" spans="1:14">
      <c r="A52" t="s">
        <v>341</v>
      </c>
      <c r="B52" t="s">
        <v>342</v>
      </c>
      <c r="C52" t="s">
        <v>343</v>
      </c>
      <c r="D52" t="s">
        <v>344</v>
      </c>
      <c r="E52" t="s">
        <v>18</v>
      </c>
      <c r="F52" t="s">
        <v>345</v>
      </c>
      <c r="G52" t="s">
        <v>346</v>
      </c>
      <c r="H52" t="s">
        <v>347</v>
      </c>
      <c r="I52" t="s">
        <v>21</v>
      </c>
      <c r="J52" t="s">
        <v>33</v>
      </c>
      <c r="K52" t="s">
        <v>23</v>
      </c>
      <c r="L52">
        <v>5</v>
      </c>
      <c r="M52" t="s">
        <v>168</v>
      </c>
      <c r="N52" t="s">
        <v>25</v>
      </c>
    </row>
    <row r="53" spans="1:14">
      <c r="A53" t="s">
        <v>348</v>
      </c>
      <c r="B53" t="s">
        <v>349</v>
      </c>
      <c r="C53" t="s">
        <v>350</v>
      </c>
      <c r="D53" t="s">
        <v>351</v>
      </c>
      <c r="E53" t="s">
        <v>18</v>
      </c>
      <c r="F53" t="s">
        <v>352</v>
      </c>
      <c r="G53" t="s">
        <v>166</v>
      </c>
      <c r="H53" t="s">
        <v>353</v>
      </c>
      <c r="I53" t="s">
        <v>21</v>
      </c>
      <c r="J53" t="s">
        <v>354</v>
      </c>
      <c r="K53" t="s">
        <v>23</v>
      </c>
      <c r="L53">
        <v>3</v>
      </c>
      <c r="M53" t="s">
        <v>42</v>
      </c>
      <c r="N53" t="s">
        <v>25</v>
      </c>
    </row>
    <row r="54" spans="1:14">
      <c r="A54" t="s">
        <v>355</v>
      </c>
      <c r="B54" t="s">
        <v>356</v>
      </c>
      <c r="C54" t="s">
        <v>357</v>
      </c>
      <c r="D54" t="s">
        <v>358</v>
      </c>
      <c r="E54" t="s">
        <v>18</v>
      </c>
      <c r="F54" t="s">
        <v>359</v>
      </c>
      <c r="G54" t="s">
        <v>360</v>
      </c>
      <c r="H54" t="s">
        <v>361</v>
      </c>
      <c r="I54" t="s">
        <v>21</v>
      </c>
      <c r="J54" t="s">
        <v>56</v>
      </c>
      <c r="K54" t="s">
        <v>23</v>
      </c>
      <c r="L54">
        <v>3</v>
      </c>
      <c r="M54" t="s">
        <v>42</v>
      </c>
      <c r="N54" t="s">
        <v>25</v>
      </c>
    </row>
    <row r="55" spans="1:14">
      <c r="A55" t="s">
        <v>362</v>
      </c>
      <c r="B55" t="s">
        <v>363</v>
      </c>
      <c r="C55" t="s">
        <v>364</v>
      </c>
      <c r="D55" t="s">
        <v>365</v>
      </c>
      <c r="E55" t="s">
        <v>18</v>
      </c>
      <c r="F55" t="s">
        <v>366</v>
      </c>
      <c r="G55" t="s">
        <v>367</v>
      </c>
      <c r="H55" t="s">
        <v>368</v>
      </c>
      <c r="I55" t="s">
        <v>21</v>
      </c>
      <c r="J55" t="s">
        <v>56</v>
      </c>
      <c r="K55" t="s">
        <v>23</v>
      </c>
      <c r="M55" t="s">
        <v>176</v>
      </c>
      <c r="N55" t="s">
        <v>177</v>
      </c>
    </row>
    <row r="56" spans="1:14">
      <c r="A56" t="s">
        <v>369</v>
      </c>
      <c r="B56" t="s">
        <v>370</v>
      </c>
      <c r="C56" t="s">
        <v>371</v>
      </c>
      <c r="D56" t="s">
        <v>133</v>
      </c>
      <c r="E56" t="s">
        <v>18</v>
      </c>
      <c r="F56" t="s">
        <v>372</v>
      </c>
      <c r="G56" t="s">
        <v>133</v>
      </c>
      <c r="H56" t="s">
        <v>373</v>
      </c>
      <c r="I56" t="s">
        <v>21</v>
      </c>
      <c r="J56" t="s">
        <v>33</v>
      </c>
      <c r="K56" t="s">
        <v>23</v>
      </c>
      <c r="M56" t="s">
        <v>176</v>
      </c>
      <c r="N56" t="s">
        <v>177</v>
      </c>
    </row>
    <row r="57" spans="1:14">
      <c r="A57" t="s">
        <v>374</v>
      </c>
      <c r="B57" t="s">
        <v>375</v>
      </c>
      <c r="C57" t="s">
        <v>376</v>
      </c>
      <c r="D57" t="s">
        <v>377</v>
      </c>
      <c r="E57" t="s">
        <v>18</v>
      </c>
      <c r="F57" t="s">
        <v>378</v>
      </c>
      <c r="G57" t="s">
        <v>379</v>
      </c>
      <c r="H57" t="s">
        <v>380</v>
      </c>
      <c r="I57" t="s">
        <v>21</v>
      </c>
      <c r="J57" t="s">
        <v>33</v>
      </c>
      <c r="K57" t="s">
        <v>23</v>
      </c>
      <c r="L57">
        <v>2</v>
      </c>
      <c r="M57" t="s">
        <v>24</v>
      </c>
      <c r="N57" t="s">
        <v>25</v>
      </c>
    </row>
    <row r="58" spans="1:14">
      <c r="A58" t="s">
        <v>381</v>
      </c>
      <c r="B58" t="s">
        <v>382</v>
      </c>
      <c r="C58" t="s">
        <v>383</v>
      </c>
      <c r="D58" t="s">
        <v>384</v>
      </c>
      <c r="E58" t="s">
        <v>18</v>
      </c>
      <c r="F58" t="s">
        <v>385</v>
      </c>
      <c r="G58" t="s">
        <v>386</v>
      </c>
      <c r="H58" t="s">
        <v>387</v>
      </c>
      <c r="I58" t="s">
        <v>21</v>
      </c>
      <c r="J58" t="s">
        <v>22</v>
      </c>
      <c r="K58" t="s">
        <v>23</v>
      </c>
      <c r="L58">
        <v>3</v>
      </c>
      <c r="M58" t="s">
        <v>42</v>
      </c>
      <c r="N58" t="s">
        <v>25</v>
      </c>
    </row>
    <row r="59" spans="1:14">
      <c r="A59" t="s">
        <v>388</v>
      </c>
      <c r="B59" t="s">
        <v>389</v>
      </c>
      <c r="C59" t="s">
        <v>390</v>
      </c>
      <c r="D59" t="s">
        <v>391</v>
      </c>
      <c r="E59" t="s">
        <v>18</v>
      </c>
      <c r="F59" t="s">
        <v>392</v>
      </c>
      <c r="G59" t="s">
        <v>295</v>
      </c>
      <c r="H59" t="s">
        <v>393</v>
      </c>
      <c r="I59" t="s">
        <v>21</v>
      </c>
      <c r="J59" t="s">
        <v>33</v>
      </c>
      <c r="K59" t="s">
        <v>23</v>
      </c>
      <c r="L59">
        <v>4</v>
      </c>
      <c r="M59" t="s">
        <v>34</v>
      </c>
      <c r="N59" t="s">
        <v>25</v>
      </c>
    </row>
    <row r="60" spans="1:14">
      <c r="A60" t="s">
        <v>394</v>
      </c>
      <c r="B60" t="s">
        <v>395</v>
      </c>
      <c r="C60" t="s">
        <v>396</v>
      </c>
      <c r="D60" t="s">
        <v>119</v>
      </c>
      <c r="E60" t="s">
        <v>18</v>
      </c>
      <c r="F60" t="s">
        <v>397</v>
      </c>
      <c r="G60" t="s">
        <v>121</v>
      </c>
      <c r="H60" t="s">
        <v>398</v>
      </c>
      <c r="I60" t="s">
        <v>21</v>
      </c>
      <c r="J60" t="s">
        <v>33</v>
      </c>
      <c r="K60" t="s">
        <v>23</v>
      </c>
      <c r="L60">
        <v>3</v>
      </c>
      <c r="M60" t="s">
        <v>42</v>
      </c>
      <c r="N60" t="s">
        <v>25</v>
      </c>
    </row>
    <row r="61" spans="1:14">
      <c r="A61" t="s">
        <v>399</v>
      </c>
      <c r="B61" t="s">
        <v>400</v>
      </c>
      <c r="C61" t="s">
        <v>401</v>
      </c>
      <c r="D61" t="s">
        <v>119</v>
      </c>
      <c r="E61" t="s">
        <v>18</v>
      </c>
      <c r="F61" t="s">
        <v>201</v>
      </c>
      <c r="G61" t="s">
        <v>121</v>
      </c>
      <c r="H61" t="s">
        <v>402</v>
      </c>
      <c r="I61" t="s">
        <v>21</v>
      </c>
      <c r="J61" t="s">
        <v>354</v>
      </c>
      <c r="K61" t="s">
        <v>23</v>
      </c>
      <c r="L61">
        <v>4</v>
      </c>
      <c r="M61" t="s">
        <v>34</v>
      </c>
      <c r="N61" t="s">
        <v>25</v>
      </c>
    </row>
    <row r="62" spans="1:14">
      <c r="A62" t="s">
        <v>403</v>
      </c>
      <c r="B62" t="s">
        <v>404</v>
      </c>
      <c r="C62" t="s">
        <v>405</v>
      </c>
      <c r="D62" t="s">
        <v>406</v>
      </c>
      <c r="E62" t="s">
        <v>18</v>
      </c>
      <c r="F62" t="s">
        <v>407</v>
      </c>
      <c r="G62" t="s">
        <v>408</v>
      </c>
      <c r="H62" t="s">
        <v>409</v>
      </c>
      <c r="I62" t="s">
        <v>21</v>
      </c>
      <c r="J62" t="s">
        <v>22</v>
      </c>
      <c r="K62" t="s">
        <v>23</v>
      </c>
      <c r="M62" t="s">
        <v>176</v>
      </c>
      <c r="N62" t="s">
        <v>177</v>
      </c>
    </row>
    <row r="63" spans="1:14">
      <c r="A63" t="s">
        <v>410</v>
      </c>
      <c r="B63" t="s">
        <v>411</v>
      </c>
      <c r="C63" t="s">
        <v>412</v>
      </c>
      <c r="D63" t="s">
        <v>413</v>
      </c>
      <c r="E63" t="s">
        <v>18</v>
      </c>
      <c r="F63" t="s">
        <v>414</v>
      </c>
      <c r="G63" t="s">
        <v>415</v>
      </c>
      <c r="H63" t="s">
        <v>416</v>
      </c>
      <c r="I63" t="s">
        <v>21</v>
      </c>
      <c r="J63" t="s">
        <v>22</v>
      </c>
      <c r="K63" t="s">
        <v>23</v>
      </c>
      <c r="L63">
        <v>1</v>
      </c>
      <c r="M63" t="s">
        <v>322</v>
      </c>
      <c r="N63" t="s">
        <v>25</v>
      </c>
    </row>
    <row r="64" spans="1:14">
      <c r="A64" t="s">
        <v>417</v>
      </c>
      <c r="B64" t="s">
        <v>418</v>
      </c>
      <c r="C64" t="s">
        <v>419</v>
      </c>
      <c r="D64" t="s">
        <v>420</v>
      </c>
      <c r="E64" t="s">
        <v>18</v>
      </c>
      <c r="F64" t="s">
        <v>421</v>
      </c>
      <c r="G64" t="s">
        <v>422</v>
      </c>
      <c r="H64" t="s">
        <v>423</v>
      </c>
      <c r="I64" t="s">
        <v>21</v>
      </c>
      <c r="J64" t="s">
        <v>81</v>
      </c>
      <c r="K64" t="s">
        <v>23</v>
      </c>
      <c r="M64" t="s">
        <v>176</v>
      </c>
      <c r="N64" t="s">
        <v>177</v>
      </c>
    </row>
    <row r="65" spans="1:14">
      <c r="A65" t="s">
        <v>424</v>
      </c>
      <c r="B65" t="s">
        <v>425</v>
      </c>
      <c r="C65" t="s">
        <v>426</v>
      </c>
      <c r="D65" t="s">
        <v>427</v>
      </c>
      <c r="E65" t="s">
        <v>18</v>
      </c>
      <c r="F65" t="s">
        <v>428</v>
      </c>
      <c r="G65" t="s">
        <v>429</v>
      </c>
      <c r="H65" t="s">
        <v>430</v>
      </c>
      <c r="I65" t="s">
        <v>21</v>
      </c>
      <c r="J65" t="s">
        <v>22</v>
      </c>
      <c r="K65" t="s">
        <v>23</v>
      </c>
      <c r="L65">
        <v>2</v>
      </c>
      <c r="M65" t="s">
        <v>24</v>
      </c>
      <c r="N65" t="s">
        <v>25</v>
      </c>
    </row>
    <row r="66" spans="1:14">
      <c r="A66" t="s">
        <v>431</v>
      </c>
      <c r="B66" t="s">
        <v>432</v>
      </c>
      <c r="C66" t="s">
        <v>433</v>
      </c>
      <c r="D66" t="s">
        <v>434</v>
      </c>
      <c r="E66" t="s">
        <v>18</v>
      </c>
      <c r="F66" t="s">
        <v>435</v>
      </c>
      <c r="G66" t="s">
        <v>436</v>
      </c>
      <c r="H66" t="s">
        <v>437</v>
      </c>
      <c r="I66" t="s">
        <v>21</v>
      </c>
      <c r="J66" t="s">
        <v>33</v>
      </c>
      <c r="K66" t="s">
        <v>23</v>
      </c>
      <c r="L66">
        <v>3</v>
      </c>
      <c r="M66" t="s">
        <v>42</v>
      </c>
      <c r="N66" t="s">
        <v>25</v>
      </c>
    </row>
    <row r="67" spans="1:14">
      <c r="A67" t="s">
        <v>438</v>
      </c>
      <c r="B67" t="s">
        <v>439</v>
      </c>
      <c r="C67" t="s">
        <v>440</v>
      </c>
      <c r="D67" t="s">
        <v>441</v>
      </c>
      <c r="E67" t="s">
        <v>18</v>
      </c>
      <c r="F67" t="s">
        <v>442</v>
      </c>
      <c r="G67" t="s">
        <v>443</v>
      </c>
      <c r="H67" t="s">
        <v>444</v>
      </c>
      <c r="I67" t="s">
        <v>21</v>
      </c>
      <c r="J67" t="s">
        <v>22</v>
      </c>
      <c r="K67" t="s">
        <v>23</v>
      </c>
      <c r="L67">
        <v>5</v>
      </c>
      <c r="M67" t="s">
        <v>168</v>
      </c>
      <c r="N67" t="s">
        <v>25</v>
      </c>
    </row>
    <row r="68" spans="1:14">
      <c r="A68" t="s">
        <v>445</v>
      </c>
      <c r="B68" t="s">
        <v>446</v>
      </c>
      <c r="C68" t="s">
        <v>447</v>
      </c>
      <c r="D68" t="s">
        <v>448</v>
      </c>
      <c r="E68" t="s">
        <v>18</v>
      </c>
      <c r="F68" t="s">
        <v>449</v>
      </c>
      <c r="G68" t="s">
        <v>450</v>
      </c>
      <c r="H68" t="s">
        <v>451</v>
      </c>
      <c r="I68" t="s">
        <v>21</v>
      </c>
      <c r="J68" t="s">
        <v>33</v>
      </c>
      <c r="K68" t="s">
        <v>23</v>
      </c>
      <c r="L68">
        <v>2</v>
      </c>
      <c r="M68" t="s">
        <v>24</v>
      </c>
      <c r="N68" t="s">
        <v>25</v>
      </c>
    </row>
    <row r="69" spans="1:14">
      <c r="A69" t="s">
        <v>452</v>
      </c>
      <c r="B69" t="s">
        <v>453</v>
      </c>
      <c r="C69" t="s">
        <v>454</v>
      </c>
      <c r="D69" t="s">
        <v>188</v>
      </c>
      <c r="E69" t="s">
        <v>18</v>
      </c>
      <c r="F69" t="s">
        <v>455</v>
      </c>
      <c r="G69" t="s">
        <v>190</v>
      </c>
      <c r="H69" t="s">
        <v>456</v>
      </c>
      <c r="I69" t="s">
        <v>21</v>
      </c>
      <c r="J69" t="s">
        <v>56</v>
      </c>
      <c r="K69" t="s">
        <v>23</v>
      </c>
      <c r="L69">
        <v>3</v>
      </c>
      <c r="M69" t="s">
        <v>42</v>
      </c>
      <c r="N69" t="s">
        <v>25</v>
      </c>
    </row>
    <row r="70" spans="1:14">
      <c r="A70" t="s">
        <v>457</v>
      </c>
      <c r="B70" t="s">
        <v>458</v>
      </c>
      <c r="C70" t="s">
        <v>459</v>
      </c>
      <c r="D70" t="s">
        <v>460</v>
      </c>
      <c r="E70" t="s">
        <v>18</v>
      </c>
      <c r="F70" t="s">
        <v>461</v>
      </c>
      <c r="G70" t="s">
        <v>462</v>
      </c>
      <c r="H70" t="s">
        <v>463</v>
      </c>
      <c r="I70" t="s">
        <v>21</v>
      </c>
      <c r="J70" t="s">
        <v>22</v>
      </c>
      <c r="K70" t="s">
        <v>23</v>
      </c>
      <c r="L70">
        <v>2</v>
      </c>
      <c r="M70" t="s">
        <v>24</v>
      </c>
      <c r="N70" t="s">
        <v>25</v>
      </c>
    </row>
    <row r="71" spans="1:14">
      <c r="A71" t="s">
        <v>464</v>
      </c>
      <c r="B71" t="s">
        <v>465</v>
      </c>
      <c r="C71" t="s">
        <v>466</v>
      </c>
      <c r="D71" t="s">
        <v>467</v>
      </c>
      <c r="E71" t="s">
        <v>18</v>
      </c>
      <c r="F71" t="s">
        <v>468</v>
      </c>
      <c r="G71" t="s">
        <v>469</v>
      </c>
      <c r="H71" t="s">
        <v>470</v>
      </c>
      <c r="I71" t="s">
        <v>21</v>
      </c>
      <c r="J71" t="s">
        <v>33</v>
      </c>
      <c r="K71" t="s">
        <v>23</v>
      </c>
      <c r="L71">
        <v>3</v>
      </c>
      <c r="M71" t="s">
        <v>42</v>
      </c>
      <c r="N71" t="s">
        <v>25</v>
      </c>
    </row>
    <row r="72" spans="1:14">
      <c r="A72" t="s">
        <v>471</v>
      </c>
      <c r="B72" t="s">
        <v>472</v>
      </c>
      <c r="C72" t="s">
        <v>473</v>
      </c>
      <c r="D72" t="s">
        <v>434</v>
      </c>
      <c r="E72" t="s">
        <v>18</v>
      </c>
      <c r="F72" t="s">
        <v>435</v>
      </c>
      <c r="G72" t="s">
        <v>436</v>
      </c>
      <c r="H72" t="s">
        <v>474</v>
      </c>
      <c r="I72" t="s">
        <v>21</v>
      </c>
      <c r="J72" t="s">
        <v>22</v>
      </c>
      <c r="K72" t="s">
        <v>23</v>
      </c>
      <c r="L72">
        <v>2</v>
      </c>
      <c r="M72" t="s">
        <v>24</v>
      </c>
      <c r="N72" t="s">
        <v>25</v>
      </c>
    </row>
    <row r="73" spans="1:14">
      <c r="A73" t="s">
        <v>475</v>
      </c>
      <c r="B73" t="s">
        <v>476</v>
      </c>
      <c r="C73" t="s">
        <v>477</v>
      </c>
      <c r="D73" t="s">
        <v>478</v>
      </c>
      <c r="E73" t="s">
        <v>18</v>
      </c>
      <c r="F73" t="s">
        <v>479</v>
      </c>
      <c r="G73" t="s">
        <v>478</v>
      </c>
      <c r="H73" t="s">
        <v>480</v>
      </c>
      <c r="I73" t="s">
        <v>21</v>
      </c>
      <c r="J73" t="s">
        <v>56</v>
      </c>
      <c r="K73" t="s">
        <v>302</v>
      </c>
      <c r="M73" t="s">
        <v>176</v>
      </c>
      <c r="N73" t="s">
        <v>177</v>
      </c>
    </row>
    <row r="74" spans="1:14">
      <c r="A74" t="s">
        <v>481</v>
      </c>
      <c r="B74" t="s">
        <v>482</v>
      </c>
      <c r="C74" t="s">
        <v>483</v>
      </c>
      <c r="D74" t="s">
        <v>484</v>
      </c>
      <c r="E74" t="s">
        <v>18</v>
      </c>
      <c r="F74" t="s">
        <v>485</v>
      </c>
      <c r="G74" t="s">
        <v>486</v>
      </c>
      <c r="H74" t="s">
        <v>487</v>
      </c>
      <c r="I74" t="s">
        <v>21</v>
      </c>
      <c r="J74" t="s">
        <v>33</v>
      </c>
      <c r="K74" t="s">
        <v>23</v>
      </c>
      <c r="L74">
        <v>4</v>
      </c>
      <c r="M74" t="s">
        <v>34</v>
      </c>
      <c r="N74" t="s">
        <v>25</v>
      </c>
    </row>
    <row r="75" spans="1:14">
      <c r="A75" t="s">
        <v>488</v>
      </c>
      <c r="B75" t="s">
        <v>489</v>
      </c>
      <c r="C75" t="s">
        <v>490</v>
      </c>
      <c r="D75" t="s">
        <v>188</v>
      </c>
      <c r="E75" t="s">
        <v>18</v>
      </c>
      <c r="F75" t="s">
        <v>491</v>
      </c>
      <c r="G75" t="s">
        <v>190</v>
      </c>
      <c r="H75" t="s">
        <v>492</v>
      </c>
      <c r="I75" t="s">
        <v>21</v>
      </c>
      <c r="J75" t="s">
        <v>33</v>
      </c>
      <c r="K75" t="s">
        <v>23</v>
      </c>
      <c r="L75">
        <v>3</v>
      </c>
      <c r="M75" t="s">
        <v>42</v>
      </c>
      <c r="N75" t="s">
        <v>25</v>
      </c>
    </row>
    <row r="76" spans="1:14">
      <c r="A76" t="s">
        <v>493</v>
      </c>
      <c r="B76" t="s">
        <v>494</v>
      </c>
      <c r="C76" t="s">
        <v>495</v>
      </c>
      <c r="D76" t="s">
        <v>496</v>
      </c>
      <c r="E76" t="s">
        <v>18</v>
      </c>
      <c r="F76" t="s">
        <v>497</v>
      </c>
      <c r="G76" t="s">
        <v>498</v>
      </c>
      <c r="H76" t="s">
        <v>499</v>
      </c>
      <c r="I76" t="s">
        <v>21</v>
      </c>
      <c r="J76" t="s">
        <v>56</v>
      </c>
      <c r="K76" t="s">
        <v>23</v>
      </c>
      <c r="M76" t="s">
        <v>176</v>
      </c>
      <c r="N76" t="s">
        <v>177</v>
      </c>
    </row>
    <row r="77" spans="1:14">
      <c r="A77" t="s">
        <v>500</v>
      </c>
      <c r="B77" t="s">
        <v>501</v>
      </c>
      <c r="C77" t="s">
        <v>502</v>
      </c>
      <c r="D77" t="s">
        <v>503</v>
      </c>
      <c r="E77" t="s">
        <v>18</v>
      </c>
      <c r="F77" t="s">
        <v>504</v>
      </c>
      <c r="G77" t="s">
        <v>181</v>
      </c>
      <c r="H77" t="s">
        <v>505</v>
      </c>
      <c r="I77" t="s">
        <v>21</v>
      </c>
      <c r="J77" t="s">
        <v>56</v>
      </c>
      <c r="K77" t="s">
        <v>23</v>
      </c>
      <c r="M77" t="s">
        <v>176</v>
      </c>
      <c r="N77" t="s">
        <v>177</v>
      </c>
    </row>
    <row r="78" spans="1:14">
      <c r="A78" t="s">
        <v>506</v>
      </c>
      <c r="B78" t="s">
        <v>507</v>
      </c>
      <c r="C78" t="s">
        <v>508</v>
      </c>
      <c r="D78" t="s">
        <v>509</v>
      </c>
      <c r="E78" t="s">
        <v>18</v>
      </c>
      <c r="F78" t="s">
        <v>510</v>
      </c>
      <c r="G78" t="s">
        <v>511</v>
      </c>
      <c r="H78" t="s">
        <v>512</v>
      </c>
      <c r="I78" t="s">
        <v>21</v>
      </c>
      <c r="J78" t="s">
        <v>354</v>
      </c>
      <c r="K78" t="s">
        <v>23</v>
      </c>
      <c r="L78">
        <v>4</v>
      </c>
      <c r="M78" t="s">
        <v>34</v>
      </c>
      <c r="N78" t="s">
        <v>25</v>
      </c>
    </row>
    <row r="79" spans="1:14">
      <c r="A79" t="s">
        <v>513</v>
      </c>
      <c r="B79" t="s">
        <v>514</v>
      </c>
      <c r="C79" t="s">
        <v>515</v>
      </c>
      <c r="D79" t="s">
        <v>119</v>
      </c>
      <c r="E79" t="s">
        <v>18</v>
      </c>
      <c r="F79" t="s">
        <v>201</v>
      </c>
      <c r="G79" t="s">
        <v>121</v>
      </c>
      <c r="H79" t="s">
        <v>516</v>
      </c>
      <c r="I79" t="s">
        <v>21</v>
      </c>
      <c r="J79" t="s">
        <v>56</v>
      </c>
      <c r="K79" t="s">
        <v>23</v>
      </c>
      <c r="L79">
        <v>3</v>
      </c>
      <c r="M79" t="s">
        <v>42</v>
      </c>
      <c r="N79" t="s">
        <v>25</v>
      </c>
    </row>
    <row r="80" spans="1:14">
      <c r="A80" t="s">
        <v>517</v>
      </c>
      <c r="B80" t="s">
        <v>518</v>
      </c>
      <c r="C80" t="s">
        <v>519</v>
      </c>
      <c r="D80" t="s">
        <v>520</v>
      </c>
      <c r="E80" t="s">
        <v>18</v>
      </c>
      <c r="F80" t="s">
        <v>521</v>
      </c>
      <c r="G80" t="s">
        <v>520</v>
      </c>
      <c r="H80" t="s">
        <v>522</v>
      </c>
      <c r="I80" t="s">
        <v>21</v>
      </c>
      <c r="J80" t="s">
        <v>33</v>
      </c>
      <c r="K80" t="s">
        <v>23</v>
      </c>
      <c r="M80" t="s">
        <v>176</v>
      </c>
      <c r="N80" t="s">
        <v>177</v>
      </c>
    </row>
    <row r="81" spans="1:14">
      <c r="A81" t="s">
        <v>523</v>
      </c>
      <c r="B81" t="s">
        <v>524</v>
      </c>
      <c r="C81" t="s">
        <v>525</v>
      </c>
      <c r="D81" t="s">
        <v>526</v>
      </c>
      <c r="E81" t="s">
        <v>18</v>
      </c>
      <c r="F81" t="s">
        <v>527</v>
      </c>
      <c r="G81" t="s">
        <v>528</v>
      </c>
      <c r="H81" t="s">
        <v>529</v>
      </c>
      <c r="I81" t="s">
        <v>21</v>
      </c>
      <c r="J81" t="s">
        <v>22</v>
      </c>
      <c r="K81" t="s">
        <v>23</v>
      </c>
      <c r="L81">
        <v>4</v>
      </c>
      <c r="M81" t="s">
        <v>34</v>
      </c>
      <c r="N81" t="s">
        <v>25</v>
      </c>
    </row>
    <row r="82" spans="1:14">
      <c r="A82" t="s">
        <v>530</v>
      </c>
      <c r="B82" t="s">
        <v>531</v>
      </c>
      <c r="C82" t="s">
        <v>532</v>
      </c>
      <c r="D82" t="s">
        <v>533</v>
      </c>
      <c r="E82" t="s">
        <v>18</v>
      </c>
      <c r="F82" t="s">
        <v>534</v>
      </c>
      <c r="G82" t="s">
        <v>535</v>
      </c>
      <c r="H82" t="s">
        <v>536</v>
      </c>
      <c r="I82" t="s">
        <v>21</v>
      </c>
      <c r="J82" t="s">
        <v>56</v>
      </c>
      <c r="K82" t="s">
        <v>23</v>
      </c>
      <c r="L82">
        <v>3</v>
      </c>
      <c r="M82" t="s">
        <v>42</v>
      </c>
      <c r="N82" t="s">
        <v>25</v>
      </c>
    </row>
    <row r="83" spans="1:14">
      <c r="A83" t="s">
        <v>537</v>
      </c>
      <c r="B83" t="s">
        <v>538</v>
      </c>
      <c r="C83" t="s">
        <v>539</v>
      </c>
      <c r="D83" t="s">
        <v>112</v>
      </c>
      <c r="E83" t="s">
        <v>18</v>
      </c>
      <c r="F83" t="s">
        <v>540</v>
      </c>
      <c r="G83" t="s">
        <v>114</v>
      </c>
      <c r="H83" t="s">
        <v>541</v>
      </c>
      <c r="I83" t="s">
        <v>21</v>
      </c>
      <c r="J83" t="s">
        <v>33</v>
      </c>
      <c r="K83" t="s">
        <v>23</v>
      </c>
      <c r="L83">
        <v>3</v>
      </c>
      <c r="M83" t="s">
        <v>42</v>
      </c>
      <c r="N83" t="s">
        <v>25</v>
      </c>
    </row>
    <row r="84" spans="1:14">
      <c r="A84" t="s">
        <v>542</v>
      </c>
      <c r="B84" t="s">
        <v>543</v>
      </c>
      <c r="C84" t="s">
        <v>544</v>
      </c>
      <c r="D84" t="s">
        <v>545</v>
      </c>
      <c r="E84" t="s">
        <v>18</v>
      </c>
      <c r="F84" t="s">
        <v>546</v>
      </c>
      <c r="G84" t="s">
        <v>547</v>
      </c>
      <c r="H84" t="s">
        <v>548</v>
      </c>
      <c r="I84" t="s">
        <v>21</v>
      </c>
      <c r="J84" t="s">
        <v>33</v>
      </c>
      <c r="K84" t="s">
        <v>23</v>
      </c>
      <c r="L84">
        <v>2</v>
      </c>
      <c r="M84" t="s">
        <v>24</v>
      </c>
      <c r="N84" t="s">
        <v>25</v>
      </c>
    </row>
    <row r="85" spans="1:14">
      <c r="A85" t="s">
        <v>549</v>
      </c>
      <c r="B85" t="s">
        <v>550</v>
      </c>
      <c r="C85" t="s">
        <v>551</v>
      </c>
      <c r="D85" t="s">
        <v>552</v>
      </c>
      <c r="E85" t="s">
        <v>18</v>
      </c>
      <c r="F85" t="s">
        <v>553</v>
      </c>
      <c r="G85" t="s">
        <v>554</v>
      </c>
      <c r="H85" t="s">
        <v>555</v>
      </c>
      <c r="I85" t="s">
        <v>21</v>
      </c>
      <c r="J85" t="s">
        <v>33</v>
      </c>
      <c r="K85" t="s">
        <v>23</v>
      </c>
      <c r="L85">
        <v>4</v>
      </c>
      <c r="M85" t="s">
        <v>34</v>
      </c>
      <c r="N85" t="s">
        <v>25</v>
      </c>
    </row>
    <row r="86" spans="1:14">
      <c r="A86" t="s">
        <v>556</v>
      </c>
      <c r="B86" t="s">
        <v>557</v>
      </c>
      <c r="C86" t="s">
        <v>558</v>
      </c>
      <c r="D86" t="s">
        <v>559</v>
      </c>
      <c r="E86" t="s">
        <v>18</v>
      </c>
      <c r="F86" t="s">
        <v>560</v>
      </c>
      <c r="G86" t="s">
        <v>561</v>
      </c>
      <c r="H86" t="s">
        <v>562</v>
      </c>
      <c r="I86" t="s">
        <v>21</v>
      </c>
      <c r="J86" t="s">
        <v>56</v>
      </c>
      <c r="K86" t="s">
        <v>23</v>
      </c>
      <c r="L86">
        <v>2</v>
      </c>
      <c r="M86" t="s">
        <v>24</v>
      </c>
      <c r="N86" t="s">
        <v>25</v>
      </c>
    </row>
    <row r="87" spans="1:14">
      <c r="A87" t="s">
        <v>563</v>
      </c>
      <c r="B87" t="s">
        <v>564</v>
      </c>
      <c r="C87" t="s">
        <v>565</v>
      </c>
      <c r="D87" t="s">
        <v>119</v>
      </c>
      <c r="E87" t="s">
        <v>18</v>
      </c>
      <c r="F87" t="s">
        <v>201</v>
      </c>
      <c r="G87" t="s">
        <v>121</v>
      </c>
      <c r="H87" t="s">
        <v>566</v>
      </c>
      <c r="I87" t="s">
        <v>21</v>
      </c>
      <c r="J87" t="s">
        <v>33</v>
      </c>
      <c r="K87" t="s">
        <v>23</v>
      </c>
      <c r="L87">
        <v>5</v>
      </c>
      <c r="M87" t="s">
        <v>168</v>
      </c>
      <c r="N87" t="s">
        <v>25</v>
      </c>
    </row>
    <row r="88" spans="1:14">
      <c r="A88" t="s">
        <v>567</v>
      </c>
      <c r="B88" t="s">
        <v>568</v>
      </c>
      <c r="C88" t="s">
        <v>569</v>
      </c>
      <c r="D88" t="s">
        <v>570</v>
      </c>
      <c r="E88" t="s">
        <v>18</v>
      </c>
      <c r="F88" t="s">
        <v>571</v>
      </c>
      <c r="G88" t="s">
        <v>570</v>
      </c>
      <c r="H88" t="s">
        <v>572</v>
      </c>
      <c r="I88" t="s">
        <v>21</v>
      </c>
      <c r="J88" t="s">
        <v>56</v>
      </c>
      <c r="K88" t="s">
        <v>23</v>
      </c>
      <c r="M88" t="s">
        <v>176</v>
      </c>
      <c r="N88" t="s">
        <v>177</v>
      </c>
    </row>
    <row r="89" spans="1:14">
      <c r="A89" t="s">
        <v>573</v>
      </c>
      <c r="B89" t="s">
        <v>574</v>
      </c>
      <c r="C89" t="s">
        <v>575</v>
      </c>
      <c r="D89" t="s">
        <v>576</v>
      </c>
      <c r="E89" t="s">
        <v>18</v>
      </c>
      <c r="F89" t="s">
        <v>577</v>
      </c>
      <c r="G89" t="s">
        <v>578</v>
      </c>
      <c r="H89" t="s">
        <v>579</v>
      </c>
      <c r="I89" t="s">
        <v>21</v>
      </c>
      <c r="J89" t="s">
        <v>33</v>
      </c>
      <c r="K89" t="s">
        <v>23</v>
      </c>
      <c r="L89">
        <v>2</v>
      </c>
      <c r="M89" t="s">
        <v>24</v>
      </c>
      <c r="N89" t="s">
        <v>25</v>
      </c>
    </row>
    <row r="90" spans="1:14">
      <c r="A90" t="s">
        <v>580</v>
      </c>
      <c r="B90" t="s">
        <v>581</v>
      </c>
      <c r="C90" t="s">
        <v>582</v>
      </c>
      <c r="D90" t="s">
        <v>583</v>
      </c>
      <c r="E90" t="s">
        <v>18</v>
      </c>
      <c r="F90" t="s">
        <v>584</v>
      </c>
      <c r="G90" t="s">
        <v>585</v>
      </c>
      <c r="H90" t="s">
        <v>586</v>
      </c>
      <c r="I90" t="s">
        <v>21</v>
      </c>
      <c r="J90" t="s">
        <v>33</v>
      </c>
      <c r="K90" t="s">
        <v>23</v>
      </c>
      <c r="L90">
        <v>4</v>
      </c>
      <c r="M90" t="s">
        <v>34</v>
      </c>
      <c r="N90" t="s">
        <v>25</v>
      </c>
    </row>
    <row r="91" spans="1:14">
      <c r="A91" t="s">
        <v>587</v>
      </c>
      <c r="B91" t="s">
        <v>588</v>
      </c>
      <c r="C91" t="s">
        <v>589</v>
      </c>
      <c r="D91" t="s">
        <v>53</v>
      </c>
      <c r="E91" t="s">
        <v>18</v>
      </c>
      <c r="F91" t="s">
        <v>590</v>
      </c>
      <c r="G91" t="s">
        <v>53</v>
      </c>
      <c r="H91" t="s">
        <v>591</v>
      </c>
      <c r="I91" t="s">
        <v>21</v>
      </c>
      <c r="J91" t="s">
        <v>22</v>
      </c>
      <c r="K91" t="s">
        <v>23</v>
      </c>
      <c r="L91">
        <v>3</v>
      </c>
      <c r="M91" t="s">
        <v>42</v>
      </c>
      <c r="N91" t="s">
        <v>25</v>
      </c>
    </row>
    <row r="92" spans="1:14">
      <c r="A92" t="s">
        <v>592</v>
      </c>
      <c r="B92" t="s">
        <v>593</v>
      </c>
      <c r="C92" t="s">
        <v>594</v>
      </c>
      <c r="D92" t="s">
        <v>188</v>
      </c>
      <c r="E92" t="s">
        <v>18</v>
      </c>
      <c r="F92" t="s">
        <v>455</v>
      </c>
      <c r="G92" t="s">
        <v>190</v>
      </c>
      <c r="H92" t="s">
        <v>595</v>
      </c>
      <c r="I92" t="s">
        <v>21</v>
      </c>
      <c r="J92" t="s">
        <v>22</v>
      </c>
      <c r="K92" t="s">
        <v>23</v>
      </c>
      <c r="L92">
        <v>4</v>
      </c>
      <c r="M92" t="s">
        <v>34</v>
      </c>
      <c r="N92" t="s">
        <v>25</v>
      </c>
    </row>
    <row r="93" spans="1:14">
      <c r="A93" t="s">
        <v>596</v>
      </c>
      <c r="B93" t="s">
        <v>597</v>
      </c>
      <c r="C93" t="s">
        <v>598</v>
      </c>
      <c r="D93" t="s">
        <v>599</v>
      </c>
      <c r="E93" t="s">
        <v>18</v>
      </c>
      <c r="F93" t="s">
        <v>600</v>
      </c>
      <c r="G93" t="s">
        <v>601</v>
      </c>
      <c r="H93" t="s">
        <v>602</v>
      </c>
      <c r="I93" t="s">
        <v>21</v>
      </c>
      <c r="J93" t="s">
        <v>22</v>
      </c>
      <c r="K93" t="s">
        <v>23</v>
      </c>
      <c r="L93">
        <v>2</v>
      </c>
      <c r="M93" t="s">
        <v>24</v>
      </c>
      <c r="N93" t="s">
        <v>25</v>
      </c>
    </row>
    <row r="94" spans="1:14">
      <c r="A94" t="s">
        <v>603</v>
      </c>
      <c r="B94" t="s">
        <v>604</v>
      </c>
      <c r="C94" t="s">
        <v>605</v>
      </c>
      <c r="D94" t="s">
        <v>606</v>
      </c>
      <c r="E94" t="s">
        <v>18</v>
      </c>
      <c r="F94" t="s">
        <v>607</v>
      </c>
      <c r="G94" t="s">
        <v>608</v>
      </c>
      <c r="H94" t="s">
        <v>609</v>
      </c>
      <c r="I94" t="s">
        <v>21</v>
      </c>
      <c r="J94" t="s">
        <v>33</v>
      </c>
      <c r="K94" t="s">
        <v>23</v>
      </c>
      <c r="L94">
        <v>4</v>
      </c>
      <c r="M94" t="s">
        <v>34</v>
      </c>
      <c r="N94" t="s">
        <v>25</v>
      </c>
    </row>
    <row r="95" spans="1:14">
      <c r="A95" t="s">
        <v>610</v>
      </c>
      <c r="B95" t="s">
        <v>611</v>
      </c>
      <c r="C95" t="s">
        <v>612</v>
      </c>
      <c r="D95" t="s">
        <v>613</v>
      </c>
      <c r="E95" t="s">
        <v>18</v>
      </c>
      <c r="F95" t="s">
        <v>614</v>
      </c>
      <c r="G95" t="s">
        <v>615</v>
      </c>
      <c r="H95" t="s">
        <v>616</v>
      </c>
      <c r="I95" t="s">
        <v>21</v>
      </c>
      <c r="J95" t="s">
        <v>56</v>
      </c>
      <c r="K95" t="s">
        <v>23</v>
      </c>
      <c r="M95" t="s">
        <v>176</v>
      </c>
      <c r="N95" t="s">
        <v>177</v>
      </c>
    </row>
    <row r="96" spans="1:14">
      <c r="A96" t="s">
        <v>617</v>
      </c>
      <c r="B96" t="s">
        <v>618</v>
      </c>
      <c r="C96" t="s">
        <v>619</v>
      </c>
      <c r="D96" t="s">
        <v>620</v>
      </c>
      <c r="E96" t="s">
        <v>18</v>
      </c>
      <c r="F96" t="s">
        <v>621</v>
      </c>
      <c r="G96" t="s">
        <v>622</v>
      </c>
      <c r="H96" t="s">
        <v>623</v>
      </c>
      <c r="I96" t="s">
        <v>21</v>
      </c>
      <c r="J96" t="s">
        <v>22</v>
      </c>
      <c r="K96" t="s">
        <v>23</v>
      </c>
      <c r="M96" t="s">
        <v>176</v>
      </c>
      <c r="N96" t="s">
        <v>177</v>
      </c>
    </row>
    <row r="97" spans="1:14">
      <c r="A97" t="s">
        <v>624</v>
      </c>
      <c r="B97" t="s">
        <v>625</v>
      </c>
      <c r="C97" t="s">
        <v>626</v>
      </c>
      <c r="D97" t="s">
        <v>627</v>
      </c>
      <c r="E97" t="s">
        <v>18</v>
      </c>
      <c r="F97" t="s">
        <v>628</v>
      </c>
      <c r="G97" t="s">
        <v>629</v>
      </c>
      <c r="H97" t="s">
        <v>630</v>
      </c>
      <c r="I97" t="s">
        <v>21</v>
      </c>
      <c r="J97" t="s">
        <v>22</v>
      </c>
      <c r="K97" t="s">
        <v>23</v>
      </c>
      <c r="L97">
        <v>3</v>
      </c>
      <c r="M97" t="s">
        <v>42</v>
      </c>
      <c r="N97" t="s">
        <v>25</v>
      </c>
    </row>
    <row r="98" spans="1:14">
      <c r="A98" t="s">
        <v>631</v>
      </c>
      <c r="B98" t="s">
        <v>632</v>
      </c>
      <c r="C98" t="s">
        <v>633</v>
      </c>
      <c r="D98" t="s">
        <v>634</v>
      </c>
      <c r="E98" t="s">
        <v>18</v>
      </c>
      <c r="F98" t="s">
        <v>635</v>
      </c>
      <c r="G98" t="s">
        <v>128</v>
      </c>
      <c r="H98" t="s">
        <v>636</v>
      </c>
      <c r="I98" t="s">
        <v>21</v>
      </c>
      <c r="J98" t="s">
        <v>33</v>
      </c>
      <c r="K98" t="s">
        <v>23</v>
      </c>
      <c r="L98">
        <v>4</v>
      </c>
      <c r="M98" t="s">
        <v>34</v>
      </c>
      <c r="N98" t="s">
        <v>25</v>
      </c>
    </row>
    <row r="99" spans="1:14">
      <c r="A99" t="s">
        <v>637</v>
      </c>
      <c r="B99" t="s">
        <v>638</v>
      </c>
      <c r="C99" t="s">
        <v>639</v>
      </c>
      <c r="D99" t="s">
        <v>53</v>
      </c>
      <c r="E99" t="s">
        <v>18</v>
      </c>
      <c r="F99" t="s">
        <v>640</v>
      </c>
      <c r="G99" t="s">
        <v>53</v>
      </c>
      <c r="H99" t="s">
        <v>641</v>
      </c>
      <c r="I99" t="s">
        <v>21</v>
      </c>
      <c r="J99" t="s">
        <v>22</v>
      </c>
      <c r="K99" t="s">
        <v>23</v>
      </c>
      <c r="M99" t="s">
        <v>176</v>
      </c>
      <c r="N99" t="s">
        <v>177</v>
      </c>
    </row>
    <row r="100" spans="1:14">
      <c r="A100" t="s">
        <v>642</v>
      </c>
      <c r="B100" t="s">
        <v>643</v>
      </c>
      <c r="C100" t="s">
        <v>644</v>
      </c>
      <c r="D100" t="s">
        <v>645</v>
      </c>
      <c r="E100" t="s">
        <v>18</v>
      </c>
      <c r="F100" t="s">
        <v>646</v>
      </c>
      <c r="G100" t="s">
        <v>121</v>
      </c>
      <c r="H100" t="s">
        <v>647</v>
      </c>
      <c r="I100" t="s">
        <v>21</v>
      </c>
      <c r="J100" t="s">
        <v>33</v>
      </c>
      <c r="K100" t="s">
        <v>23</v>
      </c>
      <c r="L100">
        <v>5</v>
      </c>
      <c r="M100" t="s">
        <v>168</v>
      </c>
      <c r="N100" t="s">
        <v>25</v>
      </c>
    </row>
    <row r="101" spans="1:14">
      <c r="A101" t="s">
        <v>648</v>
      </c>
      <c r="B101" t="s">
        <v>649</v>
      </c>
      <c r="C101" t="s">
        <v>650</v>
      </c>
      <c r="D101" t="s">
        <v>181</v>
      </c>
      <c r="E101" t="s">
        <v>18</v>
      </c>
      <c r="F101" t="s">
        <v>182</v>
      </c>
      <c r="G101" t="s">
        <v>183</v>
      </c>
      <c r="H101" t="s">
        <v>651</v>
      </c>
      <c r="I101" t="s">
        <v>21</v>
      </c>
      <c r="J101" t="s">
        <v>22</v>
      </c>
      <c r="K101" t="s">
        <v>23</v>
      </c>
      <c r="L101">
        <v>4</v>
      </c>
      <c r="M101" t="s">
        <v>34</v>
      </c>
      <c r="N101" t="s">
        <v>25</v>
      </c>
    </row>
    <row r="102" spans="1:14">
      <c r="A102" t="s">
        <v>652</v>
      </c>
      <c r="B102" t="s">
        <v>653</v>
      </c>
      <c r="C102" t="s">
        <v>654</v>
      </c>
      <c r="D102" t="s">
        <v>655</v>
      </c>
      <c r="E102" t="s">
        <v>18</v>
      </c>
      <c r="F102" t="s">
        <v>656</v>
      </c>
      <c r="G102" t="s">
        <v>657</v>
      </c>
      <c r="H102" t="s">
        <v>658</v>
      </c>
      <c r="I102" t="s">
        <v>21</v>
      </c>
      <c r="J102" t="s">
        <v>56</v>
      </c>
      <c r="K102" t="s">
        <v>23</v>
      </c>
      <c r="L102">
        <v>2</v>
      </c>
      <c r="M102" t="s">
        <v>24</v>
      </c>
      <c r="N102" t="s">
        <v>25</v>
      </c>
    </row>
    <row r="103" spans="1:14">
      <c r="A103" t="s">
        <v>659</v>
      </c>
      <c r="B103" t="s">
        <v>660</v>
      </c>
      <c r="C103" t="s">
        <v>661</v>
      </c>
      <c r="D103" t="s">
        <v>662</v>
      </c>
      <c r="E103" t="s">
        <v>18</v>
      </c>
      <c r="F103" t="s">
        <v>663</v>
      </c>
      <c r="G103" t="s">
        <v>664</v>
      </c>
      <c r="H103" t="s">
        <v>665</v>
      </c>
      <c r="I103" t="s">
        <v>21</v>
      </c>
      <c r="J103" t="s">
        <v>56</v>
      </c>
      <c r="K103" t="s">
        <v>23</v>
      </c>
      <c r="M103" t="s">
        <v>176</v>
      </c>
      <c r="N103" t="s">
        <v>177</v>
      </c>
    </row>
    <row r="104" spans="1:14">
      <c r="A104" t="s">
        <v>666</v>
      </c>
      <c r="B104" t="s">
        <v>667</v>
      </c>
      <c r="C104" t="s">
        <v>668</v>
      </c>
      <c r="D104" t="s">
        <v>669</v>
      </c>
      <c r="E104" t="s">
        <v>18</v>
      </c>
      <c r="F104" t="s">
        <v>670</v>
      </c>
      <c r="G104" t="s">
        <v>233</v>
      </c>
      <c r="H104" t="s">
        <v>671</v>
      </c>
      <c r="I104" t="s">
        <v>21</v>
      </c>
      <c r="J104" t="s">
        <v>56</v>
      </c>
      <c r="K104" t="s">
        <v>23</v>
      </c>
      <c r="M104" t="s">
        <v>176</v>
      </c>
      <c r="N104" t="s">
        <v>177</v>
      </c>
    </row>
    <row r="105" spans="1:14">
      <c r="A105" t="s">
        <v>672</v>
      </c>
      <c r="B105" t="s">
        <v>673</v>
      </c>
      <c r="C105" t="s">
        <v>674</v>
      </c>
      <c r="D105" t="s">
        <v>53</v>
      </c>
      <c r="E105" t="s">
        <v>18</v>
      </c>
      <c r="F105" t="s">
        <v>675</v>
      </c>
      <c r="G105" t="s">
        <v>53</v>
      </c>
      <c r="H105" t="s">
        <v>676</v>
      </c>
      <c r="I105" t="s">
        <v>21</v>
      </c>
      <c r="J105" t="s">
        <v>33</v>
      </c>
      <c r="K105" t="s">
        <v>23</v>
      </c>
      <c r="L105">
        <v>4</v>
      </c>
      <c r="M105" t="s">
        <v>34</v>
      </c>
      <c r="N105" t="s">
        <v>25</v>
      </c>
    </row>
    <row r="106" spans="1:14">
      <c r="A106" t="s">
        <v>677</v>
      </c>
      <c r="B106" t="s">
        <v>678</v>
      </c>
      <c r="C106" t="s">
        <v>679</v>
      </c>
      <c r="D106" t="s">
        <v>680</v>
      </c>
      <c r="E106" t="s">
        <v>18</v>
      </c>
      <c r="F106" t="s">
        <v>681</v>
      </c>
      <c r="G106" t="s">
        <v>682</v>
      </c>
      <c r="H106" t="s">
        <v>683</v>
      </c>
      <c r="I106" t="s">
        <v>21</v>
      </c>
      <c r="J106" t="s">
        <v>56</v>
      </c>
      <c r="K106" t="s">
        <v>23</v>
      </c>
      <c r="L106">
        <v>5</v>
      </c>
      <c r="M106" t="s">
        <v>168</v>
      </c>
      <c r="N106" t="s">
        <v>25</v>
      </c>
    </row>
    <row r="107" spans="1:14">
      <c r="A107" t="s">
        <v>684</v>
      </c>
      <c r="B107" t="s">
        <v>685</v>
      </c>
      <c r="C107" t="s">
        <v>686</v>
      </c>
      <c r="D107" t="s">
        <v>687</v>
      </c>
      <c r="E107" t="s">
        <v>18</v>
      </c>
      <c r="F107" t="s">
        <v>688</v>
      </c>
      <c r="G107" t="s">
        <v>528</v>
      </c>
      <c r="H107" t="s">
        <v>689</v>
      </c>
      <c r="I107" t="s">
        <v>21</v>
      </c>
      <c r="J107" t="s">
        <v>22</v>
      </c>
      <c r="K107" t="s">
        <v>23</v>
      </c>
      <c r="L107">
        <v>2</v>
      </c>
      <c r="M107" t="s">
        <v>24</v>
      </c>
      <c r="N107" t="s">
        <v>25</v>
      </c>
    </row>
    <row r="108" spans="1:14">
      <c r="A108" t="s">
        <v>690</v>
      </c>
      <c r="B108" t="s">
        <v>691</v>
      </c>
      <c r="C108" t="s">
        <v>692</v>
      </c>
      <c r="D108" t="s">
        <v>601</v>
      </c>
      <c r="E108" t="s">
        <v>18</v>
      </c>
      <c r="F108" t="s">
        <v>693</v>
      </c>
      <c r="G108" t="s">
        <v>694</v>
      </c>
      <c r="H108" t="s">
        <v>695</v>
      </c>
      <c r="I108" t="s">
        <v>21</v>
      </c>
      <c r="J108" t="s">
        <v>22</v>
      </c>
      <c r="K108" t="s">
        <v>23</v>
      </c>
      <c r="L108">
        <v>5</v>
      </c>
      <c r="M108" t="s">
        <v>168</v>
      </c>
      <c r="N108" t="s">
        <v>25</v>
      </c>
    </row>
    <row r="109" spans="1:14">
      <c r="A109" t="s">
        <v>696</v>
      </c>
      <c r="B109" t="s">
        <v>697</v>
      </c>
      <c r="C109" t="s">
        <v>698</v>
      </c>
      <c r="D109" t="s">
        <v>448</v>
      </c>
      <c r="E109" t="s">
        <v>18</v>
      </c>
      <c r="F109" t="s">
        <v>699</v>
      </c>
      <c r="G109" t="s">
        <v>450</v>
      </c>
      <c r="H109" t="s">
        <v>700</v>
      </c>
      <c r="I109" t="s">
        <v>21</v>
      </c>
      <c r="J109" t="s">
        <v>22</v>
      </c>
      <c r="K109" t="s">
        <v>23</v>
      </c>
      <c r="L109">
        <v>3</v>
      </c>
      <c r="M109" t="s">
        <v>42</v>
      </c>
      <c r="N109" t="s">
        <v>25</v>
      </c>
    </row>
    <row r="110" spans="1:14">
      <c r="A110" t="s">
        <v>701</v>
      </c>
      <c r="B110" t="s">
        <v>702</v>
      </c>
      <c r="C110" t="s">
        <v>703</v>
      </c>
      <c r="D110" t="s">
        <v>704</v>
      </c>
      <c r="E110" t="s">
        <v>18</v>
      </c>
      <c r="F110" t="s">
        <v>705</v>
      </c>
      <c r="G110" t="s">
        <v>706</v>
      </c>
      <c r="H110" t="s">
        <v>707</v>
      </c>
      <c r="I110" t="s">
        <v>21</v>
      </c>
      <c r="J110" t="s">
        <v>56</v>
      </c>
      <c r="K110" t="s">
        <v>23</v>
      </c>
      <c r="M110" t="s">
        <v>176</v>
      </c>
      <c r="N110" t="s">
        <v>177</v>
      </c>
    </row>
    <row r="111" spans="1:14">
      <c r="A111" t="s">
        <v>708</v>
      </c>
      <c r="B111" t="s">
        <v>709</v>
      </c>
      <c r="C111" t="s">
        <v>710</v>
      </c>
      <c r="D111" t="s">
        <v>711</v>
      </c>
      <c r="E111" t="s">
        <v>18</v>
      </c>
      <c r="F111" t="s">
        <v>712</v>
      </c>
      <c r="G111" t="s">
        <v>711</v>
      </c>
      <c r="H111" t="s">
        <v>713</v>
      </c>
      <c r="I111" t="s">
        <v>21</v>
      </c>
      <c r="J111" t="s">
        <v>22</v>
      </c>
      <c r="K111" t="s">
        <v>23</v>
      </c>
      <c r="L111">
        <v>2</v>
      </c>
      <c r="M111" t="s">
        <v>24</v>
      </c>
      <c r="N111" t="s">
        <v>25</v>
      </c>
    </row>
    <row r="112" spans="1:14">
      <c r="A112" t="s">
        <v>714</v>
      </c>
      <c r="B112" t="s">
        <v>715</v>
      </c>
      <c r="C112" t="s">
        <v>716</v>
      </c>
      <c r="D112" t="s">
        <v>717</v>
      </c>
      <c r="E112" t="s">
        <v>18</v>
      </c>
      <c r="F112" t="s">
        <v>718</v>
      </c>
      <c r="G112" t="s">
        <v>114</v>
      </c>
      <c r="H112" t="s">
        <v>719</v>
      </c>
      <c r="I112" t="s">
        <v>21</v>
      </c>
      <c r="J112" t="s">
        <v>81</v>
      </c>
      <c r="K112" t="s">
        <v>23</v>
      </c>
      <c r="L112">
        <v>3</v>
      </c>
      <c r="M112" t="s">
        <v>42</v>
      </c>
      <c r="N112" t="s">
        <v>25</v>
      </c>
    </row>
    <row r="113" spans="1:14">
      <c r="A113" t="s">
        <v>720</v>
      </c>
      <c r="B113" t="s">
        <v>721</v>
      </c>
      <c r="C113" t="s">
        <v>722</v>
      </c>
      <c r="D113" t="s">
        <v>723</v>
      </c>
      <c r="E113" t="s">
        <v>18</v>
      </c>
      <c r="F113" t="s">
        <v>724</v>
      </c>
      <c r="G113" t="s">
        <v>629</v>
      </c>
      <c r="H113" t="s">
        <v>725</v>
      </c>
      <c r="I113" t="s">
        <v>21</v>
      </c>
      <c r="J113" t="s">
        <v>56</v>
      </c>
      <c r="K113" t="s">
        <v>23</v>
      </c>
      <c r="L113">
        <v>4</v>
      </c>
      <c r="M113" t="s">
        <v>34</v>
      </c>
      <c r="N113" t="s">
        <v>25</v>
      </c>
    </row>
    <row r="114" spans="1:14">
      <c r="A114" t="s">
        <v>726</v>
      </c>
      <c r="B114" t="s">
        <v>727</v>
      </c>
      <c r="C114" t="s">
        <v>728</v>
      </c>
      <c r="D114" t="s">
        <v>729</v>
      </c>
      <c r="E114" t="s">
        <v>18</v>
      </c>
      <c r="F114" t="s">
        <v>730</v>
      </c>
      <c r="G114" t="s">
        <v>731</v>
      </c>
      <c r="H114" t="s">
        <v>732</v>
      </c>
      <c r="I114" t="s">
        <v>21</v>
      </c>
      <c r="J114" t="s">
        <v>33</v>
      </c>
      <c r="K114" t="s">
        <v>23</v>
      </c>
      <c r="L114">
        <v>4</v>
      </c>
      <c r="M114" t="s">
        <v>34</v>
      </c>
      <c r="N114" t="s">
        <v>25</v>
      </c>
    </row>
    <row r="115" spans="1:14">
      <c r="A115" t="s">
        <v>733</v>
      </c>
      <c r="B115" t="s">
        <v>734</v>
      </c>
      <c r="C115" t="s">
        <v>735</v>
      </c>
      <c r="D115" t="s">
        <v>736</v>
      </c>
      <c r="E115" t="s">
        <v>18</v>
      </c>
      <c r="F115" t="s">
        <v>737</v>
      </c>
      <c r="G115" t="s">
        <v>128</v>
      </c>
      <c r="H115" t="s">
        <v>738</v>
      </c>
      <c r="I115" t="s">
        <v>21</v>
      </c>
      <c r="J115" t="s">
        <v>33</v>
      </c>
      <c r="K115" t="s">
        <v>23</v>
      </c>
      <c r="L115">
        <v>4</v>
      </c>
      <c r="M115" t="s">
        <v>34</v>
      </c>
      <c r="N115" t="s">
        <v>25</v>
      </c>
    </row>
    <row r="116" spans="1:14">
      <c r="A116" t="s">
        <v>739</v>
      </c>
      <c r="B116" t="s">
        <v>740</v>
      </c>
      <c r="C116" t="s">
        <v>741</v>
      </c>
      <c r="D116" t="s">
        <v>742</v>
      </c>
      <c r="E116" t="s">
        <v>18</v>
      </c>
      <c r="F116" t="s">
        <v>743</v>
      </c>
      <c r="G116" t="s">
        <v>744</v>
      </c>
      <c r="H116" t="s">
        <v>745</v>
      </c>
      <c r="I116" t="s">
        <v>21</v>
      </c>
      <c r="J116" t="s">
        <v>56</v>
      </c>
      <c r="K116" t="s">
        <v>23</v>
      </c>
      <c r="L116">
        <v>3</v>
      </c>
      <c r="M116" t="s">
        <v>42</v>
      </c>
      <c r="N116" t="s">
        <v>25</v>
      </c>
    </row>
    <row r="117" spans="1:14">
      <c r="A117" t="s">
        <v>746</v>
      </c>
      <c r="B117" t="s">
        <v>747</v>
      </c>
      <c r="C117" t="s">
        <v>748</v>
      </c>
      <c r="D117" t="s">
        <v>749</v>
      </c>
      <c r="E117" t="s">
        <v>18</v>
      </c>
      <c r="F117" t="s">
        <v>750</v>
      </c>
      <c r="G117" t="s">
        <v>751</v>
      </c>
      <c r="H117" t="s">
        <v>752</v>
      </c>
      <c r="I117" t="s">
        <v>21</v>
      </c>
      <c r="J117" t="s">
        <v>33</v>
      </c>
      <c r="K117" t="s">
        <v>23</v>
      </c>
      <c r="L117">
        <v>3</v>
      </c>
      <c r="M117" t="s">
        <v>42</v>
      </c>
      <c r="N117" t="s">
        <v>25</v>
      </c>
    </row>
    <row r="118" spans="1:14">
      <c r="A118" t="s">
        <v>753</v>
      </c>
      <c r="B118" t="s">
        <v>754</v>
      </c>
      <c r="C118" t="s">
        <v>755</v>
      </c>
      <c r="D118" t="s">
        <v>756</v>
      </c>
      <c r="E118" t="s">
        <v>18</v>
      </c>
      <c r="F118" t="s">
        <v>757</v>
      </c>
      <c r="G118" t="s">
        <v>756</v>
      </c>
      <c r="H118" t="s">
        <v>758</v>
      </c>
      <c r="I118" t="s">
        <v>21</v>
      </c>
      <c r="J118" t="s">
        <v>33</v>
      </c>
      <c r="K118" t="s">
        <v>23</v>
      </c>
      <c r="L118">
        <v>4</v>
      </c>
      <c r="M118" t="s">
        <v>34</v>
      </c>
      <c r="N118" t="s">
        <v>25</v>
      </c>
    </row>
    <row r="119" spans="1:14">
      <c r="A119" t="s">
        <v>759</v>
      </c>
      <c r="B119" t="s">
        <v>760</v>
      </c>
      <c r="C119" t="s">
        <v>761</v>
      </c>
      <c r="D119" t="s">
        <v>762</v>
      </c>
      <c r="E119" t="s">
        <v>18</v>
      </c>
      <c r="F119" t="s">
        <v>763</v>
      </c>
      <c r="G119" t="s">
        <v>764</v>
      </c>
      <c r="H119" t="s">
        <v>765</v>
      </c>
      <c r="I119" t="s">
        <v>21</v>
      </c>
      <c r="J119" t="s">
        <v>56</v>
      </c>
      <c r="K119" t="s">
        <v>23</v>
      </c>
      <c r="M119" t="s">
        <v>176</v>
      </c>
      <c r="N119" t="s">
        <v>177</v>
      </c>
    </row>
    <row r="120" spans="1:14">
      <c r="A120" t="s">
        <v>766</v>
      </c>
      <c r="B120" t="s">
        <v>767</v>
      </c>
      <c r="C120" t="s">
        <v>768</v>
      </c>
      <c r="D120" t="s">
        <v>769</v>
      </c>
      <c r="E120" t="s">
        <v>18</v>
      </c>
      <c r="F120" t="s">
        <v>770</v>
      </c>
      <c r="G120" t="s">
        <v>771</v>
      </c>
      <c r="H120" t="s">
        <v>772</v>
      </c>
      <c r="I120" t="s">
        <v>21</v>
      </c>
      <c r="J120" t="s">
        <v>22</v>
      </c>
      <c r="K120" t="s">
        <v>23</v>
      </c>
      <c r="L120">
        <v>1</v>
      </c>
      <c r="M120" t="s">
        <v>322</v>
      </c>
      <c r="N120" t="s">
        <v>25</v>
      </c>
    </row>
    <row r="121" spans="1:14">
      <c r="A121" t="s">
        <v>773</v>
      </c>
      <c r="B121" t="s">
        <v>774</v>
      </c>
      <c r="C121" t="s">
        <v>775</v>
      </c>
      <c r="D121" t="s">
        <v>776</v>
      </c>
      <c r="E121" t="s">
        <v>18</v>
      </c>
      <c r="F121" t="s">
        <v>777</v>
      </c>
      <c r="G121" t="s">
        <v>778</v>
      </c>
      <c r="H121" t="s">
        <v>779</v>
      </c>
      <c r="I121" t="s">
        <v>21</v>
      </c>
      <c r="J121" t="s">
        <v>22</v>
      </c>
      <c r="K121" t="s">
        <v>23</v>
      </c>
      <c r="L121">
        <v>3</v>
      </c>
      <c r="M121" t="s">
        <v>42</v>
      </c>
      <c r="N121" t="s">
        <v>25</v>
      </c>
    </row>
    <row r="122" spans="1:14">
      <c r="A122" t="s">
        <v>780</v>
      </c>
      <c r="B122" t="s">
        <v>781</v>
      </c>
      <c r="C122" t="s">
        <v>782</v>
      </c>
      <c r="D122" t="s">
        <v>783</v>
      </c>
      <c r="E122" t="s">
        <v>18</v>
      </c>
      <c r="F122" t="s">
        <v>784</v>
      </c>
      <c r="G122" t="s">
        <v>785</v>
      </c>
      <c r="H122" t="s">
        <v>786</v>
      </c>
      <c r="I122" t="s">
        <v>21</v>
      </c>
      <c r="J122" t="s">
        <v>56</v>
      </c>
      <c r="K122" t="s">
        <v>23</v>
      </c>
      <c r="L122">
        <v>4</v>
      </c>
      <c r="M122" t="s">
        <v>34</v>
      </c>
      <c r="N122" t="s">
        <v>25</v>
      </c>
    </row>
    <row r="123" spans="1:14">
      <c r="A123" t="s">
        <v>787</v>
      </c>
      <c r="B123" t="s">
        <v>788</v>
      </c>
      <c r="C123" t="s">
        <v>789</v>
      </c>
      <c r="D123" t="s">
        <v>790</v>
      </c>
      <c r="E123" t="s">
        <v>18</v>
      </c>
      <c r="F123" t="s">
        <v>791</v>
      </c>
      <c r="G123" t="s">
        <v>792</v>
      </c>
      <c r="H123" t="s">
        <v>793</v>
      </c>
      <c r="I123" t="s">
        <v>21</v>
      </c>
      <c r="J123" t="s">
        <v>22</v>
      </c>
      <c r="K123" t="s">
        <v>23</v>
      </c>
      <c r="L123">
        <v>4</v>
      </c>
      <c r="M123" t="s">
        <v>34</v>
      </c>
      <c r="N123" t="s">
        <v>25</v>
      </c>
    </row>
    <row r="124" spans="1:14">
      <c r="A124" t="s">
        <v>794</v>
      </c>
      <c r="B124" t="s">
        <v>795</v>
      </c>
      <c r="C124" t="s">
        <v>796</v>
      </c>
      <c r="D124" t="s">
        <v>119</v>
      </c>
      <c r="E124" t="s">
        <v>18</v>
      </c>
      <c r="F124" t="s">
        <v>797</v>
      </c>
      <c r="G124" t="s">
        <v>121</v>
      </c>
      <c r="H124" t="s">
        <v>798</v>
      </c>
      <c r="I124" t="s">
        <v>21</v>
      </c>
      <c r="J124" t="s">
        <v>33</v>
      </c>
      <c r="K124" t="s">
        <v>23</v>
      </c>
      <c r="L124">
        <v>4</v>
      </c>
      <c r="M124" t="s">
        <v>34</v>
      </c>
      <c r="N124" t="s">
        <v>25</v>
      </c>
    </row>
    <row r="125" spans="1:14">
      <c r="A125" t="s">
        <v>799</v>
      </c>
      <c r="B125" t="s">
        <v>800</v>
      </c>
      <c r="C125" t="s">
        <v>801</v>
      </c>
      <c r="D125" t="s">
        <v>802</v>
      </c>
      <c r="E125" t="s">
        <v>18</v>
      </c>
      <c r="F125" t="s">
        <v>803</v>
      </c>
      <c r="G125" t="s">
        <v>121</v>
      </c>
      <c r="H125" t="s">
        <v>804</v>
      </c>
      <c r="I125" t="s">
        <v>21</v>
      </c>
      <c r="J125" t="s">
        <v>22</v>
      </c>
      <c r="K125" t="s">
        <v>23</v>
      </c>
      <c r="L125">
        <v>4</v>
      </c>
      <c r="M125" t="s">
        <v>34</v>
      </c>
      <c r="N125" t="s">
        <v>25</v>
      </c>
    </row>
    <row r="126" spans="1:14">
      <c r="A126" t="s">
        <v>805</v>
      </c>
      <c r="B126" t="s">
        <v>806</v>
      </c>
      <c r="C126" t="s">
        <v>807</v>
      </c>
      <c r="D126" t="s">
        <v>808</v>
      </c>
      <c r="E126" t="s">
        <v>18</v>
      </c>
      <c r="F126" t="s">
        <v>809</v>
      </c>
      <c r="G126" t="s">
        <v>808</v>
      </c>
      <c r="H126" t="s">
        <v>810</v>
      </c>
      <c r="I126" t="s">
        <v>21</v>
      </c>
      <c r="J126" t="s">
        <v>22</v>
      </c>
      <c r="K126" t="s">
        <v>23</v>
      </c>
      <c r="L126">
        <v>4</v>
      </c>
      <c r="M126" t="s">
        <v>34</v>
      </c>
      <c r="N126" t="s">
        <v>25</v>
      </c>
    </row>
    <row r="127" spans="1:14">
      <c r="A127" t="s">
        <v>811</v>
      </c>
      <c r="B127" t="s">
        <v>812</v>
      </c>
      <c r="C127" t="s">
        <v>813</v>
      </c>
      <c r="D127" t="s">
        <v>119</v>
      </c>
      <c r="E127" t="s">
        <v>18</v>
      </c>
      <c r="F127" t="s">
        <v>814</v>
      </c>
      <c r="G127" t="s">
        <v>121</v>
      </c>
      <c r="H127" t="s">
        <v>815</v>
      </c>
      <c r="I127" t="s">
        <v>21</v>
      </c>
      <c r="J127" t="s">
        <v>22</v>
      </c>
      <c r="K127" t="s">
        <v>23</v>
      </c>
      <c r="L127">
        <v>2</v>
      </c>
      <c r="M127" t="s">
        <v>24</v>
      </c>
      <c r="N127" t="s">
        <v>25</v>
      </c>
    </row>
    <row r="128" spans="1:14">
      <c r="A128" t="s">
        <v>816</v>
      </c>
      <c r="B128" t="s">
        <v>817</v>
      </c>
      <c r="C128" t="s">
        <v>818</v>
      </c>
      <c r="D128" t="s">
        <v>819</v>
      </c>
      <c r="E128" t="s">
        <v>18</v>
      </c>
      <c r="F128" t="s">
        <v>820</v>
      </c>
      <c r="G128" t="s">
        <v>128</v>
      </c>
      <c r="H128" t="s">
        <v>821</v>
      </c>
      <c r="I128" t="s">
        <v>21</v>
      </c>
      <c r="J128" t="s">
        <v>33</v>
      </c>
      <c r="K128" t="s">
        <v>23</v>
      </c>
      <c r="L128">
        <v>4</v>
      </c>
      <c r="M128" t="s">
        <v>34</v>
      </c>
      <c r="N128" t="s">
        <v>25</v>
      </c>
    </row>
    <row r="129" spans="1:14">
      <c r="A129" t="s">
        <v>822</v>
      </c>
      <c r="B129" t="s">
        <v>823</v>
      </c>
      <c r="C129" t="s">
        <v>824</v>
      </c>
      <c r="D129" t="s">
        <v>825</v>
      </c>
      <c r="E129" t="s">
        <v>18</v>
      </c>
      <c r="F129" t="s">
        <v>826</v>
      </c>
      <c r="G129" t="s">
        <v>827</v>
      </c>
      <c r="H129" t="s">
        <v>828</v>
      </c>
      <c r="I129" t="s">
        <v>21</v>
      </c>
      <c r="J129" t="s">
        <v>56</v>
      </c>
      <c r="K129" t="s">
        <v>23</v>
      </c>
      <c r="L129">
        <v>1</v>
      </c>
      <c r="M129" t="s">
        <v>322</v>
      </c>
      <c r="N129" t="s">
        <v>25</v>
      </c>
    </row>
    <row r="130" spans="1:14">
      <c r="A130" t="s">
        <v>829</v>
      </c>
      <c r="B130" t="s">
        <v>830</v>
      </c>
      <c r="C130" t="s">
        <v>831</v>
      </c>
      <c r="D130" t="s">
        <v>92</v>
      </c>
      <c r="E130" t="s">
        <v>18</v>
      </c>
      <c r="F130" t="s">
        <v>832</v>
      </c>
      <c r="G130" t="s">
        <v>94</v>
      </c>
      <c r="H130" t="s">
        <v>833</v>
      </c>
      <c r="I130" t="s">
        <v>21</v>
      </c>
      <c r="J130" t="s">
        <v>22</v>
      </c>
      <c r="K130" t="s">
        <v>23</v>
      </c>
      <c r="L130">
        <v>4</v>
      </c>
      <c r="M130" t="s">
        <v>34</v>
      </c>
      <c r="N130" t="s">
        <v>25</v>
      </c>
    </row>
    <row r="131" spans="1:14">
      <c r="A131" t="s">
        <v>834</v>
      </c>
      <c r="B131" t="s">
        <v>835</v>
      </c>
      <c r="C131" t="s">
        <v>836</v>
      </c>
      <c r="D131" t="s">
        <v>119</v>
      </c>
      <c r="E131" t="s">
        <v>18</v>
      </c>
      <c r="F131" t="s">
        <v>837</v>
      </c>
      <c r="G131" t="s">
        <v>121</v>
      </c>
      <c r="H131" t="s">
        <v>838</v>
      </c>
      <c r="I131" t="s">
        <v>21</v>
      </c>
      <c r="J131" t="s">
        <v>22</v>
      </c>
      <c r="K131" t="s">
        <v>23</v>
      </c>
      <c r="L131">
        <v>1</v>
      </c>
      <c r="M131" t="s">
        <v>322</v>
      </c>
      <c r="N131" t="s">
        <v>25</v>
      </c>
    </row>
    <row r="132" spans="1:14">
      <c r="A132" t="s">
        <v>839</v>
      </c>
      <c r="B132" t="s">
        <v>840</v>
      </c>
      <c r="C132" t="s">
        <v>841</v>
      </c>
      <c r="D132" t="s">
        <v>53</v>
      </c>
      <c r="E132" t="s">
        <v>18</v>
      </c>
      <c r="F132" t="s">
        <v>842</v>
      </c>
      <c r="G132" t="s">
        <v>53</v>
      </c>
      <c r="H132" t="s">
        <v>843</v>
      </c>
      <c r="I132" t="s">
        <v>21</v>
      </c>
      <c r="J132" t="s">
        <v>22</v>
      </c>
      <c r="K132" t="s">
        <v>23</v>
      </c>
      <c r="L132">
        <v>3</v>
      </c>
      <c r="M132" t="s">
        <v>42</v>
      </c>
      <c r="N132" t="s">
        <v>25</v>
      </c>
    </row>
    <row r="133" spans="1:14">
      <c r="A133" t="s">
        <v>844</v>
      </c>
      <c r="B133" t="s">
        <v>845</v>
      </c>
      <c r="C133" t="s">
        <v>846</v>
      </c>
      <c r="D133" t="s">
        <v>847</v>
      </c>
      <c r="E133" t="s">
        <v>18</v>
      </c>
      <c r="F133" t="s">
        <v>848</v>
      </c>
      <c r="G133" t="s">
        <v>629</v>
      </c>
      <c r="H133" t="s">
        <v>849</v>
      </c>
      <c r="I133" t="s">
        <v>21</v>
      </c>
      <c r="J133" t="s">
        <v>22</v>
      </c>
      <c r="K133" t="s">
        <v>23</v>
      </c>
      <c r="L133">
        <v>3</v>
      </c>
      <c r="M133" t="s">
        <v>42</v>
      </c>
      <c r="N133" t="s">
        <v>25</v>
      </c>
    </row>
    <row r="134" spans="1:14">
      <c r="A134" t="s">
        <v>850</v>
      </c>
      <c r="B134" t="s">
        <v>851</v>
      </c>
      <c r="C134" t="s">
        <v>852</v>
      </c>
      <c r="D134" t="s">
        <v>853</v>
      </c>
      <c r="E134" t="s">
        <v>18</v>
      </c>
      <c r="F134" t="s">
        <v>854</v>
      </c>
      <c r="G134" t="s">
        <v>855</v>
      </c>
      <c r="H134" t="s">
        <v>856</v>
      </c>
      <c r="I134" t="s">
        <v>21</v>
      </c>
      <c r="J134" t="s">
        <v>22</v>
      </c>
      <c r="K134" t="s">
        <v>23</v>
      </c>
      <c r="M134" t="s">
        <v>176</v>
      </c>
      <c r="N134" t="s">
        <v>177</v>
      </c>
    </row>
    <row r="135" spans="1:14">
      <c r="A135" t="s">
        <v>857</v>
      </c>
      <c r="B135" t="s">
        <v>858</v>
      </c>
      <c r="C135" t="s">
        <v>859</v>
      </c>
      <c r="D135" t="s">
        <v>860</v>
      </c>
      <c r="E135" t="s">
        <v>18</v>
      </c>
      <c r="F135" t="s">
        <v>861</v>
      </c>
      <c r="G135" t="s">
        <v>862</v>
      </c>
      <c r="H135" t="s">
        <v>863</v>
      </c>
      <c r="I135" t="s">
        <v>21</v>
      </c>
      <c r="J135" t="s">
        <v>56</v>
      </c>
      <c r="K135" t="s">
        <v>23</v>
      </c>
      <c r="L135">
        <v>2</v>
      </c>
      <c r="M135" t="s">
        <v>24</v>
      </c>
      <c r="N135" t="s">
        <v>25</v>
      </c>
    </row>
    <row r="136" spans="1:14">
      <c r="A136" t="s">
        <v>864</v>
      </c>
      <c r="B136" t="s">
        <v>865</v>
      </c>
      <c r="C136" t="s">
        <v>866</v>
      </c>
      <c r="D136" t="s">
        <v>711</v>
      </c>
      <c r="E136" t="s">
        <v>18</v>
      </c>
      <c r="F136" t="s">
        <v>867</v>
      </c>
      <c r="G136" t="s">
        <v>711</v>
      </c>
      <c r="H136" t="s">
        <v>868</v>
      </c>
      <c r="I136" t="s">
        <v>21</v>
      </c>
      <c r="J136" t="s">
        <v>75</v>
      </c>
      <c r="K136" t="s">
        <v>23</v>
      </c>
      <c r="L136">
        <v>3</v>
      </c>
      <c r="M136" t="s">
        <v>42</v>
      </c>
      <c r="N136" t="s">
        <v>25</v>
      </c>
    </row>
    <row r="137" spans="1:14">
      <c r="A137" t="s">
        <v>869</v>
      </c>
      <c r="B137" t="s">
        <v>870</v>
      </c>
      <c r="C137" t="s">
        <v>871</v>
      </c>
      <c r="D137" t="s">
        <v>872</v>
      </c>
      <c r="E137" t="s">
        <v>18</v>
      </c>
      <c r="F137" t="s">
        <v>873</v>
      </c>
      <c r="G137" t="s">
        <v>874</v>
      </c>
      <c r="H137" t="s">
        <v>875</v>
      </c>
      <c r="I137" t="s">
        <v>21</v>
      </c>
      <c r="J137" t="s">
        <v>56</v>
      </c>
      <c r="K137" t="s">
        <v>23</v>
      </c>
      <c r="M137" t="s">
        <v>176</v>
      </c>
      <c r="N137" t="s">
        <v>177</v>
      </c>
    </row>
    <row r="138" spans="1:14">
      <c r="A138" t="s">
        <v>876</v>
      </c>
      <c r="B138" t="s">
        <v>877</v>
      </c>
      <c r="C138" t="s">
        <v>878</v>
      </c>
      <c r="D138" t="s">
        <v>119</v>
      </c>
      <c r="E138" t="s">
        <v>18</v>
      </c>
      <c r="F138" t="s">
        <v>879</v>
      </c>
      <c r="G138" t="s">
        <v>121</v>
      </c>
      <c r="H138" t="s">
        <v>880</v>
      </c>
      <c r="I138" t="s">
        <v>21</v>
      </c>
      <c r="J138" t="s">
        <v>22</v>
      </c>
      <c r="K138" t="s">
        <v>23</v>
      </c>
      <c r="L138">
        <v>4</v>
      </c>
      <c r="M138" t="s">
        <v>34</v>
      </c>
      <c r="N138" t="s">
        <v>25</v>
      </c>
    </row>
    <row r="139" spans="1:14">
      <c r="A139" t="s">
        <v>881</v>
      </c>
      <c r="B139" t="s">
        <v>882</v>
      </c>
      <c r="C139" t="s">
        <v>883</v>
      </c>
      <c r="D139" t="s">
        <v>312</v>
      </c>
      <c r="E139" t="s">
        <v>18</v>
      </c>
      <c r="F139" t="s">
        <v>313</v>
      </c>
      <c r="G139" t="s">
        <v>314</v>
      </c>
      <c r="H139" t="s">
        <v>884</v>
      </c>
      <c r="I139" t="s">
        <v>21</v>
      </c>
      <c r="J139" t="s">
        <v>22</v>
      </c>
      <c r="K139" t="s">
        <v>23</v>
      </c>
      <c r="L139">
        <v>3</v>
      </c>
      <c r="M139" t="s">
        <v>42</v>
      </c>
      <c r="N139" t="s">
        <v>25</v>
      </c>
    </row>
    <row r="140" spans="1:14">
      <c r="A140" t="s">
        <v>885</v>
      </c>
      <c r="B140" t="s">
        <v>886</v>
      </c>
      <c r="C140" t="s">
        <v>887</v>
      </c>
      <c r="D140" t="s">
        <v>85</v>
      </c>
      <c r="E140" t="s">
        <v>18</v>
      </c>
      <c r="F140" t="s">
        <v>888</v>
      </c>
      <c r="G140" t="s">
        <v>87</v>
      </c>
      <c r="H140" t="s">
        <v>889</v>
      </c>
      <c r="I140" t="s">
        <v>21</v>
      </c>
      <c r="J140" t="s">
        <v>22</v>
      </c>
      <c r="K140" t="s">
        <v>23</v>
      </c>
      <c r="L140">
        <v>2</v>
      </c>
      <c r="M140" t="s">
        <v>24</v>
      </c>
      <c r="N140" t="s">
        <v>25</v>
      </c>
    </row>
    <row r="141" spans="1:14">
      <c r="A141" t="s">
        <v>890</v>
      </c>
      <c r="B141" t="s">
        <v>891</v>
      </c>
      <c r="C141" t="s">
        <v>892</v>
      </c>
      <c r="D141" t="s">
        <v>17</v>
      </c>
      <c r="E141" t="s">
        <v>18</v>
      </c>
      <c r="F141" t="s">
        <v>19</v>
      </c>
      <c r="G141" t="s">
        <v>17</v>
      </c>
      <c r="H141" t="s">
        <v>893</v>
      </c>
      <c r="I141" t="s">
        <v>21</v>
      </c>
      <c r="J141" t="s">
        <v>22</v>
      </c>
      <c r="K141" t="s">
        <v>23</v>
      </c>
      <c r="L141">
        <v>2</v>
      </c>
      <c r="M141" t="s">
        <v>24</v>
      </c>
      <c r="N141" t="s">
        <v>25</v>
      </c>
    </row>
    <row r="142" spans="1:14">
      <c r="A142" t="s">
        <v>894</v>
      </c>
      <c r="B142" t="s">
        <v>895</v>
      </c>
      <c r="C142" t="s">
        <v>896</v>
      </c>
      <c r="D142" t="s">
        <v>897</v>
      </c>
      <c r="E142" t="s">
        <v>18</v>
      </c>
      <c r="F142" t="s">
        <v>898</v>
      </c>
      <c r="G142" t="s">
        <v>808</v>
      </c>
      <c r="H142" t="s">
        <v>899</v>
      </c>
      <c r="I142" t="s">
        <v>21</v>
      </c>
      <c r="J142" t="s">
        <v>33</v>
      </c>
      <c r="K142" t="s">
        <v>23</v>
      </c>
      <c r="L142">
        <v>3</v>
      </c>
      <c r="M142" t="s">
        <v>42</v>
      </c>
      <c r="N142" t="s">
        <v>25</v>
      </c>
    </row>
    <row r="143" spans="1:14">
      <c r="A143" t="s">
        <v>900</v>
      </c>
      <c r="B143" t="s">
        <v>901</v>
      </c>
      <c r="C143" t="s">
        <v>902</v>
      </c>
      <c r="D143" t="s">
        <v>903</v>
      </c>
      <c r="E143" t="s">
        <v>18</v>
      </c>
      <c r="F143" t="s">
        <v>904</v>
      </c>
      <c r="G143" t="s">
        <v>121</v>
      </c>
      <c r="H143" t="s">
        <v>905</v>
      </c>
      <c r="I143" t="s">
        <v>21</v>
      </c>
      <c r="J143" t="s">
        <v>22</v>
      </c>
      <c r="K143" t="s">
        <v>23</v>
      </c>
      <c r="L143">
        <v>3</v>
      </c>
      <c r="M143" t="s">
        <v>42</v>
      </c>
      <c r="N143" t="s">
        <v>25</v>
      </c>
    </row>
    <row r="144" spans="1:14">
      <c r="A144" t="s">
        <v>906</v>
      </c>
      <c r="B144" t="s">
        <v>907</v>
      </c>
      <c r="C144" t="s">
        <v>908</v>
      </c>
      <c r="D144" t="s">
        <v>126</v>
      </c>
      <c r="E144" t="s">
        <v>18</v>
      </c>
      <c r="F144" t="s">
        <v>127</v>
      </c>
      <c r="G144" t="s">
        <v>128</v>
      </c>
      <c r="H144" t="s">
        <v>909</v>
      </c>
      <c r="I144" t="s">
        <v>21</v>
      </c>
      <c r="J144" t="s">
        <v>22</v>
      </c>
      <c r="K144" t="s">
        <v>23</v>
      </c>
      <c r="L144">
        <v>2</v>
      </c>
      <c r="M144" t="s">
        <v>24</v>
      </c>
      <c r="N144" t="s">
        <v>25</v>
      </c>
    </row>
    <row r="145" spans="1:14">
      <c r="A145" t="s">
        <v>910</v>
      </c>
      <c r="B145" t="s">
        <v>911</v>
      </c>
      <c r="C145" t="s">
        <v>912</v>
      </c>
      <c r="D145" t="s">
        <v>119</v>
      </c>
      <c r="E145" t="s">
        <v>18</v>
      </c>
      <c r="F145" t="s">
        <v>913</v>
      </c>
      <c r="G145" t="s">
        <v>121</v>
      </c>
      <c r="H145" t="s">
        <v>914</v>
      </c>
      <c r="I145" t="s">
        <v>21</v>
      </c>
      <c r="J145" t="s">
        <v>22</v>
      </c>
      <c r="K145" t="s">
        <v>23</v>
      </c>
      <c r="L145">
        <v>4</v>
      </c>
      <c r="M145" t="s">
        <v>34</v>
      </c>
      <c r="N145" t="s">
        <v>25</v>
      </c>
    </row>
    <row r="146" spans="1:14">
      <c r="A146" t="s">
        <v>915</v>
      </c>
      <c r="B146" t="s">
        <v>916</v>
      </c>
      <c r="C146" t="s">
        <v>917</v>
      </c>
      <c r="D146" t="s">
        <v>195</v>
      </c>
      <c r="E146" t="s">
        <v>18</v>
      </c>
      <c r="F146" t="s">
        <v>918</v>
      </c>
      <c r="G146" t="s">
        <v>128</v>
      </c>
      <c r="H146" t="s">
        <v>919</v>
      </c>
      <c r="I146" t="s">
        <v>21</v>
      </c>
      <c r="J146" t="s">
        <v>22</v>
      </c>
      <c r="K146" t="s">
        <v>23</v>
      </c>
      <c r="L146">
        <v>2</v>
      </c>
      <c r="M146" t="s">
        <v>24</v>
      </c>
      <c r="N146" t="s">
        <v>25</v>
      </c>
    </row>
    <row r="147" spans="1:14">
      <c r="A147" t="s">
        <v>920</v>
      </c>
      <c r="B147" t="s">
        <v>921</v>
      </c>
      <c r="C147" t="s">
        <v>922</v>
      </c>
      <c r="D147" t="s">
        <v>126</v>
      </c>
      <c r="E147" t="s">
        <v>18</v>
      </c>
      <c r="F147" t="s">
        <v>923</v>
      </c>
      <c r="G147" t="s">
        <v>128</v>
      </c>
      <c r="H147" t="s">
        <v>924</v>
      </c>
      <c r="I147" t="s">
        <v>21</v>
      </c>
      <c r="J147" t="s">
        <v>354</v>
      </c>
      <c r="K147" t="s">
        <v>23</v>
      </c>
      <c r="L147">
        <v>3</v>
      </c>
      <c r="M147" t="s">
        <v>42</v>
      </c>
      <c r="N147" t="s">
        <v>25</v>
      </c>
    </row>
    <row r="148" spans="1:14">
      <c r="A148" t="s">
        <v>925</v>
      </c>
      <c r="B148" t="s">
        <v>926</v>
      </c>
      <c r="C148" t="s">
        <v>927</v>
      </c>
      <c r="D148" t="s">
        <v>53</v>
      </c>
      <c r="E148" t="s">
        <v>18</v>
      </c>
      <c r="F148" t="s">
        <v>928</v>
      </c>
      <c r="G148" t="s">
        <v>53</v>
      </c>
      <c r="H148" t="s">
        <v>929</v>
      </c>
      <c r="I148" t="s">
        <v>21</v>
      </c>
      <c r="J148" t="s">
        <v>22</v>
      </c>
      <c r="K148" t="s">
        <v>23</v>
      </c>
      <c r="L148">
        <v>2</v>
      </c>
      <c r="M148" t="s">
        <v>24</v>
      </c>
      <c r="N148" t="s">
        <v>25</v>
      </c>
    </row>
    <row r="149" spans="1:14">
      <c r="A149" t="s">
        <v>930</v>
      </c>
      <c r="B149" t="s">
        <v>931</v>
      </c>
      <c r="C149" t="s">
        <v>932</v>
      </c>
      <c r="D149" t="s">
        <v>933</v>
      </c>
      <c r="E149" t="s">
        <v>18</v>
      </c>
      <c r="F149" t="s">
        <v>934</v>
      </c>
      <c r="G149" t="s">
        <v>121</v>
      </c>
      <c r="H149" t="s">
        <v>935</v>
      </c>
      <c r="I149" t="s">
        <v>21</v>
      </c>
      <c r="J149" t="s">
        <v>33</v>
      </c>
      <c r="K149" t="s">
        <v>23</v>
      </c>
      <c r="L149">
        <v>3</v>
      </c>
      <c r="M149" t="s">
        <v>42</v>
      </c>
      <c r="N149" t="s">
        <v>25</v>
      </c>
    </row>
    <row r="150" spans="1:14">
      <c r="A150" t="s">
        <v>936</v>
      </c>
      <c r="B150" t="s">
        <v>937</v>
      </c>
      <c r="C150" t="s">
        <v>938</v>
      </c>
      <c r="D150" t="s">
        <v>133</v>
      </c>
      <c r="E150" t="s">
        <v>18</v>
      </c>
      <c r="F150" t="s">
        <v>939</v>
      </c>
      <c r="G150" t="s">
        <v>133</v>
      </c>
      <c r="H150" t="s">
        <v>940</v>
      </c>
      <c r="I150" t="s">
        <v>21</v>
      </c>
      <c r="J150" t="s">
        <v>56</v>
      </c>
      <c r="K150" t="s">
        <v>23</v>
      </c>
      <c r="L150">
        <v>2</v>
      </c>
      <c r="M150" t="s">
        <v>24</v>
      </c>
      <c r="N150" t="s">
        <v>25</v>
      </c>
    </row>
    <row r="151" spans="1:14">
      <c r="A151" t="s">
        <v>941</v>
      </c>
      <c r="B151" t="s">
        <v>942</v>
      </c>
      <c r="C151" t="s">
        <v>943</v>
      </c>
      <c r="D151" t="s">
        <v>944</v>
      </c>
      <c r="E151" t="s">
        <v>18</v>
      </c>
      <c r="F151" t="s">
        <v>945</v>
      </c>
      <c r="G151" t="s">
        <v>53</v>
      </c>
      <c r="H151" t="s">
        <v>946</v>
      </c>
      <c r="I151" t="s">
        <v>21</v>
      </c>
      <c r="J151" t="s">
        <v>22</v>
      </c>
      <c r="K151" t="s">
        <v>23</v>
      </c>
      <c r="L151">
        <v>3</v>
      </c>
      <c r="M151" t="s">
        <v>42</v>
      </c>
      <c r="N151" t="s">
        <v>25</v>
      </c>
    </row>
    <row r="152" spans="1:14">
      <c r="A152" t="s">
        <v>947</v>
      </c>
      <c r="B152" t="s">
        <v>948</v>
      </c>
      <c r="C152" t="s">
        <v>949</v>
      </c>
      <c r="D152" t="s">
        <v>233</v>
      </c>
      <c r="E152" t="s">
        <v>18</v>
      </c>
      <c r="F152" t="s">
        <v>950</v>
      </c>
      <c r="G152" t="s">
        <v>235</v>
      </c>
      <c r="H152" t="s">
        <v>951</v>
      </c>
      <c r="I152" t="s">
        <v>21</v>
      </c>
      <c r="J152" t="s">
        <v>63</v>
      </c>
      <c r="K152" t="s">
        <v>23</v>
      </c>
      <c r="L152">
        <v>4</v>
      </c>
      <c r="M152" t="s">
        <v>34</v>
      </c>
      <c r="N152" t="s">
        <v>25</v>
      </c>
    </row>
    <row r="153" spans="1:14">
      <c r="A153" t="s">
        <v>952</v>
      </c>
      <c r="B153" t="s">
        <v>953</v>
      </c>
      <c r="C153" t="s">
        <v>954</v>
      </c>
      <c r="D153" t="s">
        <v>955</v>
      </c>
      <c r="E153" t="s">
        <v>18</v>
      </c>
      <c r="F153" t="s">
        <v>956</v>
      </c>
      <c r="G153" t="s">
        <v>957</v>
      </c>
      <c r="H153" t="s">
        <v>958</v>
      </c>
      <c r="I153" t="s">
        <v>21</v>
      </c>
      <c r="J153" t="s">
        <v>75</v>
      </c>
      <c r="K153" t="s">
        <v>23</v>
      </c>
      <c r="L153">
        <v>3</v>
      </c>
      <c r="M153" t="s">
        <v>42</v>
      </c>
      <c r="N153" t="s">
        <v>25</v>
      </c>
    </row>
    <row r="154" spans="1:14">
      <c r="A154" t="s">
        <v>959</v>
      </c>
      <c r="B154" t="s">
        <v>960</v>
      </c>
      <c r="C154" t="s">
        <v>961</v>
      </c>
      <c r="D154" t="s">
        <v>962</v>
      </c>
      <c r="E154" t="s">
        <v>18</v>
      </c>
      <c r="F154" t="s">
        <v>963</v>
      </c>
      <c r="G154" t="s">
        <v>964</v>
      </c>
      <c r="H154" t="s">
        <v>965</v>
      </c>
      <c r="I154" t="s">
        <v>21</v>
      </c>
      <c r="J154" t="s">
        <v>278</v>
      </c>
      <c r="K154" t="s">
        <v>23</v>
      </c>
      <c r="M154" t="s">
        <v>176</v>
      </c>
      <c r="N154" t="s">
        <v>177</v>
      </c>
    </row>
    <row r="155" spans="1:14">
      <c r="A155" t="s">
        <v>966</v>
      </c>
      <c r="B155" t="s">
        <v>967</v>
      </c>
      <c r="C155" t="s">
        <v>968</v>
      </c>
      <c r="D155" t="s">
        <v>99</v>
      </c>
      <c r="E155" t="s">
        <v>18</v>
      </c>
      <c r="F155" t="s">
        <v>969</v>
      </c>
      <c r="G155" t="s">
        <v>101</v>
      </c>
      <c r="H155" t="s">
        <v>970</v>
      </c>
      <c r="I155" t="s">
        <v>21</v>
      </c>
      <c r="J155" t="s">
        <v>22</v>
      </c>
      <c r="K155" t="s">
        <v>23</v>
      </c>
      <c r="L155">
        <v>3</v>
      </c>
      <c r="M155" t="s">
        <v>42</v>
      </c>
      <c r="N155" t="s">
        <v>25</v>
      </c>
    </row>
    <row r="156" spans="1:14">
      <c r="A156" t="s">
        <v>971</v>
      </c>
      <c r="B156" t="s">
        <v>972</v>
      </c>
      <c r="C156" t="s">
        <v>973</v>
      </c>
      <c r="D156" t="s">
        <v>974</v>
      </c>
      <c r="E156" t="s">
        <v>18</v>
      </c>
      <c r="F156" t="s">
        <v>975</v>
      </c>
      <c r="G156" t="s">
        <v>121</v>
      </c>
      <c r="H156" t="s">
        <v>976</v>
      </c>
      <c r="I156" t="s">
        <v>21</v>
      </c>
      <c r="J156" t="s">
        <v>33</v>
      </c>
      <c r="K156" t="s">
        <v>23</v>
      </c>
      <c r="L156">
        <v>5</v>
      </c>
      <c r="M156" t="s">
        <v>168</v>
      </c>
      <c r="N156" t="s">
        <v>25</v>
      </c>
    </row>
    <row r="157" spans="1:14">
      <c r="A157" t="s">
        <v>977</v>
      </c>
      <c r="B157" t="s">
        <v>978</v>
      </c>
      <c r="C157" t="s">
        <v>979</v>
      </c>
      <c r="D157" t="s">
        <v>980</v>
      </c>
      <c r="E157" t="s">
        <v>18</v>
      </c>
      <c r="F157" t="s">
        <v>981</v>
      </c>
      <c r="G157" t="s">
        <v>295</v>
      </c>
      <c r="H157" t="s">
        <v>982</v>
      </c>
      <c r="I157" t="s">
        <v>21</v>
      </c>
      <c r="J157" t="s">
        <v>22</v>
      </c>
      <c r="K157" t="s">
        <v>23</v>
      </c>
      <c r="L157">
        <v>4</v>
      </c>
      <c r="M157" t="s">
        <v>34</v>
      </c>
      <c r="N157" t="s">
        <v>25</v>
      </c>
    </row>
    <row r="158" spans="1:14">
      <c r="A158" t="s">
        <v>983</v>
      </c>
      <c r="B158" t="s">
        <v>984</v>
      </c>
      <c r="C158" t="s">
        <v>985</v>
      </c>
      <c r="D158" t="s">
        <v>181</v>
      </c>
      <c r="E158" t="s">
        <v>18</v>
      </c>
      <c r="F158" t="s">
        <v>986</v>
      </c>
      <c r="G158" t="s">
        <v>183</v>
      </c>
      <c r="H158" t="s">
        <v>987</v>
      </c>
      <c r="I158" t="s">
        <v>21</v>
      </c>
      <c r="J158" t="s">
        <v>22</v>
      </c>
      <c r="K158" t="s">
        <v>23</v>
      </c>
      <c r="L158">
        <v>3</v>
      </c>
      <c r="M158" t="s">
        <v>42</v>
      </c>
      <c r="N158" t="s">
        <v>25</v>
      </c>
    </row>
    <row r="159" spans="1:14">
      <c r="A159" t="s">
        <v>988</v>
      </c>
      <c r="B159" t="s">
        <v>989</v>
      </c>
      <c r="C159" t="s">
        <v>990</v>
      </c>
      <c r="D159" t="s">
        <v>991</v>
      </c>
      <c r="E159" t="s">
        <v>18</v>
      </c>
      <c r="F159" t="s">
        <v>992</v>
      </c>
      <c r="G159" t="s">
        <v>993</v>
      </c>
      <c r="H159" t="s">
        <v>994</v>
      </c>
      <c r="I159" t="s">
        <v>21</v>
      </c>
      <c r="J159" t="s">
        <v>22</v>
      </c>
      <c r="K159" t="s">
        <v>23</v>
      </c>
      <c r="L159">
        <v>3</v>
      </c>
      <c r="M159" t="s">
        <v>42</v>
      </c>
      <c r="N159" t="s">
        <v>25</v>
      </c>
    </row>
    <row r="160" spans="1:14">
      <c r="A160" t="s">
        <v>995</v>
      </c>
      <c r="B160" t="s">
        <v>996</v>
      </c>
      <c r="C160" t="s">
        <v>997</v>
      </c>
      <c r="D160" t="s">
        <v>53</v>
      </c>
      <c r="E160" t="s">
        <v>18</v>
      </c>
      <c r="F160" t="s">
        <v>998</v>
      </c>
      <c r="G160" t="s">
        <v>53</v>
      </c>
      <c r="H160" t="s">
        <v>999</v>
      </c>
      <c r="I160" t="s">
        <v>21</v>
      </c>
      <c r="J160" t="s">
        <v>33</v>
      </c>
      <c r="K160" t="s">
        <v>23</v>
      </c>
      <c r="L160">
        <v>3</v>
      </c>
      <c r="M160" t="s">
        <v>42</v>
      </c>
      <c r="N160" t="s">
        <v>25</v>
      </c>
    </row>
    <row r="161" spans="1:14">
      <c r="A161" t="s">
        <v>1000</v>
      </c>
      <c r="B161" t="s">
        <v>1001</v>
      </c>
      <c r="C161" t="s">
        <v>1002</v>
      </c>
      <c r="D161" t="s">
        <v>1003</v>
      </c>
      <c r="E161" t="s">
        <v>18</v>
      </c>
      <c r="F161" t="s">
        <v>1004</v>
      </c>
      <c r="G161" t="s">
        <v>808</v>
      </c>
      <c r="H161" t="s">
        <v>1005</v>
      </c>
      <c r="I161" t="s">
        <v>21</v>
      </c>
      <c r="J161" t="s">
        <v>22</v>
      </c>
      <c r="K161" t="s">
        <v>23</v>
      </c>
      <c r="L161">
        <v>2</v>
      </c>
      <c r="M161" t="s">
        <v>24</v>
      </c>
      <c r="N161" t="s">
        <v>25</v>
      </c>
    </row>
    <row r="162" spans="1:14">
      <c r="A162" t="s">
        <v>1006</v>
      </c>
      <c r="B162" t="s">
        <v>1007</v>
      </c>
      <c r="C162" t="s">
        <v>1008</v>
      </c>
      <c r="D162" t="s">
        <v>1009</v>
      </c>
      <c r="E162" t="s">
        <v>18</v>
      </c>
      <c r="F162" t="s">
        <v>1010</v>
      </c>
      <c r="G162" t="s">
        <v>53</v>
      </c>
      <c r="H162" t="s">
        <v>1011</v>
      </c>
      <c r="I162" t="s">
        <v>21</v>
      </c>
      <c r="J162" t="s">
        <v>33</v>
      </c>
      <c r="K162" t="s">
        <v>23</v>
      </c>
      <c r="L162">
        <v>4</v>
      </c>
      <c r="M162" t="s">
        <v>34</v>
      </c>
      <c r="N162" t="s">
        <v>25</v>
      </c>
    </row>
    <row r="163" spans="1:14">
      <c r="A163" t="s">
        <v>1012</v>
      </c>
      <c r="B163" t="s">
        <v>1013</v>
      </c>
      <c r="C163" t="s">
        <v>1014</v>
      </c>
      <c r="D163" t="s">
        <v>808</v>
      </c>
      <c r="E163" t="s">
        <v>18</v>
      </c>
      <c r="F163" t="s">
        <v>1015</v>
      </c>
      <c r="G163" t="s">
        <v>808</v>
      </c>
      <c r="H163" t="s">
        <v>1016</v>
      </c>
      <c r="I163" t="s">
        <v>21</v>
      </c>
      <c r="J163" t="s">
        <v>33</v>
      </c>
      <c r="K163" t="s">
        <v>23</v>
      </c>
      <c r="L163">
        <v>5</v>
      </c>
      <c r="M163" t="s">
        <v>168</v>
      </c>
      <c r="N163" t="s">
        <v>25</v>
      </c>
    </row>
    <row r="164" spans="1:14">
      <c r="A164" t="s">
        <v>1017</v>
      </c>
      <c r="B164" t="s">
        <v>1018</v>
      </c>
      <c r="C164" t="s">
        <v>1019</v>
      </c>
      <c r="D164" t="s">
        <v>1020</v>
      </c>
      <c r="E164" t="s">
        <v>18</v>
      </c>
      <c r="F164" t="s">
        <v>1021</v>
      </c>
      <c r="G164" t="s">
        <v>1022</v>
      </c>
      <c r="H164" t="s">
        <v>1023</v>
      </c>
      <c r="I164" t="s">
        <v>21</v>
      </c>
      <c r="J164" t="s">
        <v>22</v>
      </c>
      <c r="K164" t="s">
        <v>23</v>
      </c>
      <c r="L164">
        <v>1</v>
      </c>
      <c r="M164" t="s">
        <v>322</v>
      </c>
      <c r="N164" t="s">
        <v>25</v>
      </c>
    </row>
    <row r="165" spans="1:14">
      <c r="A165" t="s">
        <v>1024</v>
      </c>
      <c r="B165" t="s">
        <v>1025</v>
      </c>
      <c r="C165" t="s">
        <v>1026</v>
      </c>
      <c r="D165" t="s">
        <v>1027</v>
      </c>
      <c r="E165" t="s">
        <v>18</v>
      </c>
      <c r="F165" t="s">
        <v>1028</v>
      </c>
      <c r="G165" t="s">
        <v>1029</v>
      </c>
      <c r="H165" t="s">
        <v>1030</v>
      </c>
      <c r="I165" t="s">
        <v>21</v>
      </c>
      <c r="J165" t="s">
        <v>33</v>
      </c>
      <c r="K165" t="s">
        <v>23</v>
      </c>
      <c r="M165" t="s">
        <v>176</v>
      </c>
      <c r="N165" t="s">
        <v>177</v>
      </c>
    </row>
    <row r="166" spans="1:14">
      <c r="A166" t="s">
        <v>1031</v>
      </c>
      <c r="B166" t="s">
        <v>1032</v>
      </c>
      <c r="C166" t="s">
        <v>1033</v>
      </c>
      <c r="D166" t="s">
        <v>847</v>
      </c>
      <c r="E166" t="s">
        <v>18</v>
      </c>
      <c r="F166" t="s">
        <v>1034</v>
      </c>
      <c r="G166" t="s">
        <v>629</v>
      </c>
      <c r="H166" t="s">
        <v>1035</v>
      </c>
      <c r="I166" t="s">
        <v>21</v>
      </c>
      <c r="J166" t="s">
        <v>33</v>
      </c>
      <c r="K166" t="s">
        <v>23</v>
      </c>
      <c r="L166">
        <v>4</v>
      </c>
      <c r="M166" t="s">
        <v>34</v>
      </c>
      <c r="N166" t="s">
        <v>25</v>
      </c>
    </row>
    <row r="167" spans="1:14">
      <c r="A167" t="s">
        <v>1036</v>
      </c>
      <c r="B167" t="s">
        <v>1037</v>
      </c>
      <c r="C167" t="s">
        <v>1038</v>
      </c>
      <c r="D167" t="s">
        <v>119</v>
      </c>
      <c r="E167" t="s">
        <v>18</v>
      </c>
      <c r="F167" t="s">
        <v>814</v>
      </c>
      <c r="G167" t="s">
        <v>121</v>
      </c>
      <c r="H167" t="s">
        <v>1039</v>
      </c>
      <c r="I167" t="s">
        <v>21</v>
      </c>
      <c r="J167" t="s">
        <v>81</v>
      </c>
      <c r="K167" t="s">
        <v>302</v>
      </c>
      <c r="M167" t="s">
        <v>176</v>
      </c>
      <c r="N167" t="s">
        <v>177</v>
      </c>
    </row>
    <row r="168" spans="1:14">
      <c r="A168" t="s">
        <v>1040</v>
      </c>
      <c r="B168" t="s">
        <v>1041</v>
      </c>
      <c r="C168" t="s">
        <v>1042</v>
      </c>
      <c r="D168" t="s">
        <v>1043</v>
      </c>
      <c r="E168" t="s">
        <v>18</v>
      </c>
      <c r="F168" t="s">
        <v>1044</v>
      </c>
      <c r="G168" t="s">
        <v>121</v>
      </c>
      <c r="H168" t="s">
        <v>1045</v>
      </c>
      <c r="I168" t="s">
        <v>21</v>
      </c>
      <c r="J168" t="s">
        <v>22</v>
      </c>
      <c r="K168" t="s">
        <v>23</v>
      </c>
      <c r="L168">
        <v>3</v>
      </c>
      <c r="M168" t="s">
        <v>42</v>
      </c>
      <c r="N168" t="s">
        <v>25</v>
      </c>
    </row>
    <row r="169" spans="1:14">
      <c r="A169" t="s">
        <v>1046</v>
      </c>
      <c r="B169" t="s">
        <v>1047</v>
      </c>
      <c r="C169" t="s">
        <v>1048</v>
      </c>
      <c r="D169" t="s">
        <v>126</v>
      </c>
      <c r="E169" t="s">
        <v>18</v>
      </c>
      <c r="F169" t="s">
        <v>1049</v>
      </c>
      <c r="G169" t="s">
        <v>128</v>
      </c>
      <c r="H169" t="s">
        <v>1050</v>
      </c>
      <c r="I169" t="s">
        <v>21</v>
      </c>
      <c r="J169" t="s">
        <v>33</v>
      </c>
      <c r="K169" t="s">
        <v>23</v>
      </c>
      <c r="L169">
        <v>5</v>
      </c>
      <c r="M169" t="s">
        <v>168</v>
      </c>
      <c r="N169" t="s">
        <v>25</v>
      </c>
    </row>
    <row r="170" spans="1:14">
      <c r="A170" t="s">
        <v>1051</v>
      </c>
      <c r="B170" t="s">
        <v>1052</v>
      </c>
      <c r="C170" t="s">
        <v>1053</v>
      </c>
      <c r="D170" t="s">
        <v>152</v>
      </c>
      <c r="E170" t="s">
        <v>18</v>
      </c>
      <c r="F170" t="s">
        <v>1054</v>
      </c>
      <c r="G170" t="s">
        <v>154</v>
      </c>
      <c r="H170" t="s">
        <v>1055</v>
      </c>
      <c r="I170" t="s">
        <v>21</v>
      </c>
      <c r="J170" t="s">
        <v>75</v>
      </c>
      <c r="K170" t="s">
        <v>23</v>
      </c>
      <c r="L170">
        <v>4</v>
      </c>
      <c r="M170" t="s">
        <v>34</v>
      </c>
      <c r="N170" t="s">
        <v>25</v>
      </c>
    </row>
    <row r="171" spans="1:14">
      <c r="A171" t="s">
        <v>1056</v>
      </c>
      <c r="B171" t="s">
        <v>1057</v>
      </c>
      <c r="C171" t="s">
        <v>1058</v>
      </c>
      <c r="D171" t="s">
        <v>420</v>
      </c>
      <c r="E171" t="s">
        <v>18</v>
      </c>
      <c r="F171" t="s">
        <v>1059</v>
      </c>
      <c r="G171" t="s">
        <v>422</v>
      </c>
      <c r="H171" t="s">
        <v>1060</v>
      </c>
      <c r="I171" t="s">
        <v>21</v>
      </c>
      <c r="J171" t="s">
        <v>354</v>
      </c>
      <c r="K171" t="s">
        <v>23</v>
      </c>
      <c r="L171">
        <v>3</v>
      </c>
      <c r="M171" t="s">
        <v>42</v>
      </c>
      <c r="N171" t="s">
        <v>25</v>
      </c>
    </row>
    <row r="172" spans="1:14">
      <c r="A172" t="s">
        <v>1061</v>
      </c>
      <c r="B172" t="s">
        <v>1062</v>
      </c>
      <c r="C172" t="s">
        <v>1063</v>
      </c>
      <c r="D172" t="s">
        <v>119</v>
      </c>
      <c r="E172" t="s">
        <v>18</v>
      </c>
      <c r="F172" t="s">
        <v>201</v>
      </c>
      <c r="G172" t="s">
        <v>121</v>
      </c>
      <c r="H172" t="s">
        <v>1064</v>
      </c>
      <c r="I172" t="s">
        <v>21</v>
      </c>
      <c r="J172" t="s">
        <v>75</v>
      </c>
      <c r="K172" t="s">
        <v>23</v>
      </c>
      <c r="M172" t="s">
        <v>176</v>
      </c>
      <c r="N172" t="s">
        <v>177</v>
      </c>
    </row>
    <row r="173" spans="1:14">
      <c r="A173" t="s">
        <v>1065</v>
      </c>
      <c r="B173" t="s">
        <v>1066</v>
      </c>
      <c r="C173" t="s">
        <v>1067</v>
      </c>
      <c r="D173" t="s">
        <v>181</v>
      </c>
      <c r="E173" t="s">
        <v>18</v>
      </c>
      <c r="F173" t="s">
        <v>1068</v>
      </c>
      <c r="G173" t="s">
        <v>183</v>
      </c>
      <c r="H173" t="s">
        <v>1069</v>
      </c>
      <c r="I173" t="s">
        <v>21</v>
      </c>
      <c r="J173" t="s">
        <v>33</v>
      </c>
      <c r="K173" t="s">
        <v>23</v>
      </c>
      <c r="M173" t="s">
        <v>176</v>
      </c>
      <c r="N173" t="s">
        <v>177</v>
      </c>
    </row>
    <row r="174" spans="1:14">
      <c r="A174" t="s">
        <v>1070</v>
      </c>
      <c r="B174" t="s">
        <v>1071</v>
      </c>
      <c r="C174" t="s">
        <v>1072</v>
      </c>
      <c r="D174" t="s">
        <v>181</v>
      </c>
      <c r="E174" t="s">
        <v>18</v>
      </c>
      <c r="F174" t="s">
        <v>1073</v>
      </c>
      <c r="G174" t="s">
        <v>183</v>
      </c>
      <c r="H174" t="s">
        <v>1074</v>
      </c>
      <c r="I174" t="s">
        <v>21</v>
      </c>
      <c r="J174" t="s">
        <v>22</v>
      </c>
      <c r="K174" t="s">
        <v>23</v>
      </c>
      <c r="L174">
        <v>3</v>
      </c>
      <c r="M174" t="s">
        <v>42</v>
      </c>
      <c r="N174" t="s">
        <v>25</v>
      </c>
    </row>
    <row r="175" spans="1:14">
      <c r="A175" t="s">
        <v>1075</v>
      </c>
      <c r="B175" t="s">
        <v>1076</v>
      </c>
      <c r="C175" t="s">
        <v>1077</v>
      </c>
      <c r="D175" t="s">
        <v>1078</v>
      </c>
      <c r="E175" t="s">
        <v>18</v>
      </c>
      <c r="F175" t="s">
        <v>1079</v>
      </c>
      <c r="G175" t="s">
        <v>535</v>
      </c>
      <c r="H175" t="s">
        <v>1080</v>
      </c>
      <c r="I175" t="s">
        <v>21</v>
      </c>
      <c r="J175" t="s">
        <v>33</v>
      </c>
      <c r="K175" t="s">
        <v>23</v>
      </c>
      <c r="L175">
        <v>5</v>
      </c>
      <c r="M175" t="s">
        <v>168</v>
      </c>
      <c r="N175" t="s">
        <v>25</v>
      </c>
    </row>
    <row r="176" spans="1:14">
      <c r="A176" t="s">
        <v>1081</v>
      </c>
      <c r="B176" t="s">
        <v>1082</v>
      </c>
      <c r="C176" t="s">
        <v>1083</v>
      </c>
      <c r="D176" t="s">
        <v>213</v>
      </c>
      <c r="E176" t="s">
        <v>18</v>
      </c>
      <c r="F176" t="s">
        <v>1084</v>
      </c>
      <c r="G176" t="s">
        <v>53</v>
      </c>
      <c r="H176" t="s">
        <v>1085</v>
      </c>
      <c r="I176" t="s">
        <v>21</v>
      </c>
      <c r="J176" t="s">
        <v>22</v>
      </c>
      <c r="K176" t="s">
        <v>23</v>
      </c>
      <c r="L176">
        <v>4</v>
      </c>
      <c r="M176" t="s">
        <v>34</v>
      </c>
      <c r="N176" t="s">
        <v>25</v>
      </c>
    </row>
    <row r="177" spans="1:14">
      <c r="A177" t="s">
        <v>1086</v>
      </c>
      <c r="B177" t="s">
        <v>1087</v>
      </c>
      <c r="C177" t="s">
        <v>1088</v>
      </c>
      <c r="D177" t="s">
        <v>293</v>
      </c>
      <c r="E177" t="s">
        <v>18</v>
      </c>
      <c r="F177" t="s">
        <v>294</v>
      </c>
      <c r="G177" t="s">
        <v>295</v>
      </c>
      <c r="H177" t="s">
        <v>1089</v>
      </c>
      <c r="I177" t="s">
        <v>21</v>
      </c>
      <c r="J177" t="s">
        <v>22</v>
      </c>
      <c r="K177" t="s">
        <v>23</v>
      </c>
      <c r="M177" t="s">
        <v>176</v>
      </c>
      <c r="N177" t="s">
        <v>177</v>
      </c>
    </row>
    <row r="178" spans="1:14">
      <c r="A178" t="s">
        <v>1090</v>
      </c>
      <c r="B178" t="s">
        <v>1091</v>
      </c>
      <c r="C178" t="s">
        <v>1092</v>
      </c>
      <c r="D178" t="s">
        <v>38</v>
      </c>
      <c r="E178" t="s">
        <v>18</v>
      </c>
      <c r="F178" t="s">
        <v>1093</v>
      </c>
      <c r="G178" t="s">
        <v>40</v>
      </c>
      <c r="H178" t="s">
        <v>1094</v>
      </c>
      <c r="I178" t="s">
        <v>21</v>
      </c>
      <c r="J178" t="s">
        <v>22</v>
      </c>
      <c r="K178" t="s">
        <v>23</v>
      </c>
      <c r="M178" t="s">
        <v>176</v>
      </c>
      <c r="N178" t="s">
        <v>177</v>
      </c>
    </row>
    <row r="179" spans="1:14">
      <c r="A179" t="s">
        <v>1095</v>
      </c>
      <c r="B179" t="s">
        <v>1096</v>
      </c>
      <c r="C179" t="s">
        <v>1097</v>
      </c>
      <c r="D179" t="s">
        <v>1098</v>
      </c>
      <c r="E179" t="s">
        <v>18</v>
      </c>
      <c r="F179" t="s">
        <v>1099</v>
      </c>
      <c r="G179" t="s">
        <v>1100</v>
      </c>
      <c r="H179" t="s">
        <v>1101</v>
      </c>
      <c r="I179" t="s">
        <v>21</v>
      </c>
      <c r="J179" t="s">
        <v>33</v>
      </c>
      <c r="K179" t="s">
        <v>23</v>
      </c>
      <c r="L179">
        <v>3</v>
      </c>
      <c r="M179" t="s">
        <v>42</v>
      </c>
      <c r="N179" t="s">
        <v>25</v>
      </c>
    </row>
    <row r="180" spans="1:14">
      <c r="A180" t="s">
        <v>1102</v>
      </c>
      <c r="B180" t="s">
        <v>1103</v>
      </c>
      <c r="C180" t="s">
        <v>1104</v>
      </c>
      <c r="D180" t="s">
        <v>260</v>
      </c>
      <c r="E180" t="s">
        <v>18</v>
      </c>
      <c r="F180" t="s">
        <v>261</v>
      </c>
      <c r="G180" t="s">
        <v>121</v>
      </c>
      <c r="H180" t="s">
        <v>1105</v>
      </c>
      <c r="I180" t="s">
        <v>21</v>
      </c>
      <c r="J180" t="s">
        <v>22</v>
      </c>
      <c r="K180" t="s">
        <v>23</v>
      </c>
      <c r="M180" t="s">
        <v>176</v>
      </c>
      <c r="N180" t="s">
        <v>177</v>
      </c>
    </row>
    <row r="181" spans="1:14">
      <c r="A181" t="s">
        <v>1106</v>
      </c>
      <c r="B181" t="s">
        <v>1107</v>
      </c>
      <c r="C181" t="s">
        <v>1108</v>
      </c>
      <c r="D181" t="s">
        <v>1109</v>
      </c>
      <c r="E181" t="s">
        <v>18</v>
      </c>
      <c r="F181" t="s">
        <v>1110</v>
      </c>
      <c r="G181" t="s">
        <v>585</v>
      </c>
      <c r="H181" t="s">
        <v>1111</v>
      </c>
      <c r="I181" t="s">
        <v>21</v>
      </c>
      <c r="J181" t="s">
        <v>22</v>
      </c>
      <c r="K181" t="s">
        <v>23</v>
      </c>
      <c r="M181" t="s">
        <v>176</v>
      </c>
      <c r="N181" t="s">
        <v>177</v>
      </c>
    </row>
    <row r="182" spans="1:14">
      <c r="A182" t="s">
        <v>1112</v>
      </c>
      <c r="B182" t="s">
        <v>1113</v>
      </c>
      <c r="C182" t="s">
        <v>1114</v>
      </c>
      <c r="D182" t="s">
        <v>46</v>
      </c>
      <c r="E182" t="s">
        <v>18</v>
      </c>
      <c r="F182" t="s">
        <v>47</v>
      </c>
      <c r="G182" t="s">
        <v>48</v>
      </c>
      <c r="H182" t="s">
        <v>1115</v>
      </c>
      <c r="I182" t="s">
        <v>21</v>
      </c>
      <c r="J182" t="s">
        <v>22</v>
      </c>
      <c r="K182" t="s">
        <v>23</v>
      </c>
      <c r="M182" t="s">
        <v>176</v>
      </c>
      <c r="N182" t="s">
        <v>177</v>
      </c>
    </row>
    <row r="183" spans="1:14">
      <c r="A183" t="s">
        <v>1116</v>
      </c>
      <c r="B183" t="s">
        <v>1117</v>
      </c>
      <c r="C183" t="s">
        <v>1118</v>
      </c>
      <c r="D183" t="s">
        <v>1119</v>
      </c>
      <c r="E183" t="s">
        <v>18</v>
      </c>
      <c r="F183" t="s">
        <v>1120</v>
      </c>
      <c r="G183" t="s">
        <v>629</v>
      </c>
      <c r="H183" t="s">
        <v>1121</v>
      </c>
      <c r="I183" t="s">
        <v>21</v>
      </c>
      <c r="J183" t="s">
        <v>33</v>
      </c>
      <c r="K183" t="s">
        <v>23</v>
      </c>
      <c r="L183">
        <v>4</v>
      </c>
      <c r="M183" t="s">
        <v>34</v>
      </c>
      <c r="N183" t="s">
        <v>25</v>
      </c>
    </row>
    <row r="184" spans="1:14">
      <c r="A184" t="s">
        <v>1122</v>
      </c>
      <c r="B184" t="s">
        <v>1123</v>
      </c>
      <c r="C184" t="s">
        <v>1124</v>
      </c>
      <c r="D184" t="s">
        <v>119</v>
      </c>
      <c r="E184" t="s">
        <v>18</v>
      </c>
      <c r="F184" t="s">
        <v>1125</v>
      </c>
      <c r="G184" t="s">
        <v>121</v>
      </c>
      <c r="H184" t="s">
        <v>1126</v>
      </c>
      <c r="I184" t="s">
        <v>21</v>
      </c>
      <c r="J184" t="s">
        <v>33</v>
      </c>
      <c r="K184" t="s">
        <v>23</v>
      </c>
      <c r="L184">
        <v>5</v>
      </c>
      <c r="M184" t="s">
        <v>168</v>
      </c>
      <c r="N184" t="s">
        <v>25</v>
      </c>
    </row>
    <row r="185" spans="1:14">
      <c r="A185" t="s">
        <v>1127</v>
      </c>
      <c r="B185" t="s">
        <v>1128</v>
      </c>
      <c r="C185" t="s">
        <v>1129</v>
      </c>
      <c r="D185" t="s">
        <v>1130</v>
      </c>
      <c r="E185" t="s">
        <v>18</v>
      </c>
      <c r="F185" t="s">
        <v>1131</v>
      </c>
      <c r="G185" t="s">
        <v>535</v>
      </c>
      <c r="H185" t="s">
        <v>1132</v>
      </c>
      <c r="I185" t="s">
        <v>21</v>
      </c>
      <c r="J185" t="s">
        <v>33</v>
      </c>
      <c r="K185" t="s">
        <v>23</v>
      </c>
      <c r="L185">
        <v>3</v>
      </c>
      <c r="M185" t="s">
        <v>42</v>
      </c>
      <c r="N185" t="s">
        <v>25</v>
      </c>
    </row>
    <row r="186" spans="1:14">
      <c r="A186" t="s">
        <v>1133</v>
      </c>
      <c r="B186" t="s">
        <v>1134</v>
      </c>
      <c r="C186" t="s">
        <v>1135</v>
      </c>
      <c r="D186" t="s">
        <v>1078</v>
      </c>
      <c r="E186" t="s">
        <v>18</v>
      </c>
      <c r="F186" t="s">
        <v>1079</v>
      </c>
      <c r="G186" t="s">
        <v>535</v>
      </c>
      <c r="H186" t="s">
        <v>1136</v>
      </c>
      <c r="I186" t="s">
        <v>21</v>
      </c>
      <c r="J186" t="s">
        <v>33</v>
      </c>
      <c r="K186" t="s">
        <v>23</v>
      </c>
      <c r="L186">
        <v>4</v>
      </c>
      <c r="M186" t="s">
        <v>34</v>
      </c>
      <c r="N186" t="s">
        <v>25</v>
      </c>
    </row>
    <row r="187" spans="1:14">
      <c r="A187" t="s">
        <v>1137</v>
      </c>
      <c r="B187" t="s">
        <v>1138</v>
      </c>
      <c r="C187" t="s">
        <v>1139</v>
      </c>
      <c r="D187" t="s">
        <v>53</v>
      </c>
      <c r="E187" t="s">
        <v>18</v>
      </c>
      <c r="F187" t="s">
        <v>1140</v>
      </c>
      <c r="G187" t="s">
        <v>53</v>
      </c>
      <c r="H187" t="s">
        <v>1141</v>
      </c>
      <c r="I187" t="s">
        <v>21</v>
      </c>
      <c r="J187" t="s">
        <v>22</v>
      </c>
      <c r="K187" t="s">
        <v>23</v>
      </c>
      <c r="L187">
        <v>5</v>
      </c>
      <c r="M187" t="s">
        <v>168</v>
      </c>
      <c r="N187" t="s">
        <v>25</v>
      </c>
    </row>
    <row r="188" spans="1:14">
      <c r="A188" t="s">
        <v>1142</v>
      </c>
      <c r="B188" t="s">
        <v>1143</v>
      </c>
      <c r="C188" t="s">
        <v>1144</v>
      </c>
      <c r="D188" t="s">
        <v>1145</v>
      </c>
      <c r="E188" t="s">
        <v>18</v>
      </c>
      <c r="F188" t="s">
        <v>1146</v>
      </c>
      <c r="G188" t="s">
        <v>808</v>
      </c>
      <c r="H188" t="s">
        <v>1147</v>
      </c>
      <c r="I188" t="s">
        <v>21</v>
      </c>
      <c r="J188" t="s">
        <v>22</v>
      </c>
      <c r="K188" t="s">
        <v>23</v>
      </c>
      <c r="L188">
        <v>3</v>
      </c>
      <c r="M188" t="s">
        <v>42</v>
      </c>
      <c r="N188" t="s">
        <v>25</v>
      </c>
    </row>
    <row r="189" spans="1:14">
      <c r="A189" t="s">
        <v>1148</v>
      </c>
      <c r="B189" t="s">
        <v>1149</v>
      </c>
      <c r="C189" t="s">
        <v>1150</v>
      </c>
      <c r="D189" t="s">
        <v>106</v>
      </c>
      <c r="E189" t="s">
        <v>18</v>
      </c>
      <c r="F189" t="s">
        <v>107</v>
      </c>
      <c r="G189" t="s">
        <v>87</v>
      </c>
      <c r="H189" t="s">
        <v>1151</v>
      </c>
      <c r="I189" t="s">
        <v>21</v>
      </c>
      <c r="J189" t="s">
        <v>22</v>
      </c>
      <c r="K189" t="s">
        <v>23</v>
      </c>
      <c r="L189">
        <v>4</v>
      </c>
      <c r="M189" t="s">
        <v>34</v>
      </c>
      <c r="N189" t="s">
        <v>25</v>
      </c>
    </row>
    <row r="190" spans="1:14">
      <c r="A190" t="s">
        <v>1152</v>
      </c>
      <c r="B190" t="s">
        <v>1153</v>
      </c>
      <c r="C190" t="s">
        <v>1154</v>
      </c>
      <c r="D190" t="s">
        <v>188</v>
      </c>
      <c r="E190" t="s">
        <v>18</v>
      </c>
      <c r="F190" t="s">
        <v>1155</v>
      </c>
      <c r="G190" t="s">
        <v>190</v>
      </c>
      <c r="H190" t="s">
        <v>1156</v>
      </c>
      <c r="I190" t="s">
        <v>21</v>
      </c>
      <c r="J190" t="s">
        <v>81</v>
      </c>
      <c r="K190" t="s">
        <v>23</v>
      </c>
      <c r="M190" t="s">
        <v>176</v>
      </c>
      <c r="N190" t="s">
        <v>177</v>
      </c>
    </row>
    <row r="191" spans="1:14">
      <c r="A191" t="s">
        <v>1157</v>
      </c>
      <c r="B191" t="s">
        <v>1158</v>
      </c>
      <c r="C191" t="s">
        <v>1159</v>
      </c>
      <c r="D191" t="s">
        <v>1078</v>
      </c>
      <c r="E191" t="s">
        <v>18</v>
      </c>
      <c r="F191" t="s">
        <v>1079</v>
      </c>
      <c r="G191" t="s">
        <v>535</v>
      </c>
      <c r="H191" t="s">
        <v>1160</v>
      </c>
      <c r="I191" t="s">
        <v>21</v>
      </c>
      <c r="J191" t="s">
        <v>81</v>
      </c>
      <c r="K191" t="s">
        <v>23</v>
      </c>
      <c r="M191" t="s">
        <v>176</v>
      </c>
      <c r="N191" t="s">
        <v>177</v>
      </c>
    </row>
    <row r="192" spans="1:14">
      <c r="A192" t="s">
        <v>1161</v>
      </c>
      <c r="B192" t="s">
        <v>1162</v>
      </c>
      <c r="C192" t="s">
        <v>1163</v>
      </c>
      <c r="D192" t="s">
        <v>1164</v>
      </c>
      <c r="E192" t="s">
        <v>18</v>
      </c>
      <c r="F192" t="s">
        <v>1165</v>
      </c>
      <c r="G192" t="s">
        <v>462</v>
      </c>
      <c r="H192" t="s">
        <v>1166</v>
      </c>
      <c r="I192" t="s">
        <v>21</v>
      </c>
      <c r="J192" t="s">
        <v>33</v>
      </c>
      <c r="K192" t="s">
        <v>23</v>
      </c>
      <c r="L192">
        <v>3</v>
      </c>
      <c r="M192" t="s">
        <v>42</v>
      </c>
      <c r="N192" t="s">
        <v>25</v>
      </c>
    </row>
    <row r="193" spans="1:14">
      <c r="A193" t="s">
        <v>1167</v>
      </c>
      <c r="B193" t="s">
        <v>1168</v>
      </c>
      <c r="C193" t="s">
        <v>1169</v>
      </c>
      <c r="D193" t="s">
        <v>233</v>
      </c>
      <c r="E193" t="s">
        <v>18</v>
      </c>
      <c r="F193" t="s">
        <v>234</v>
      </c>
      <c r="G193" t="s">
        <v>235</v>
      </c>
      <c r="H193" t="s">
        <v>1170</v>
      </c>
      <c r="I193" t="s">
        <v>21</v>
      </c>
      <c r="J193" t="s">
        <v>81</v>
      </c>
      <c r="K193" t="s">
        <v>23</v>
      </c>
      <c r="L193">
        <v>5</v>
      </c>
      <c r="M193" t="s">
        <v>168</v>
      </c>
      <c r="N193" t="s">
        <v>25</v>
      </c>
    </row>
    <row r="194" spans="1:14">
      <c r="A194" t="s">
        <v>1171</v>
      </c>
      <c r="B194" t="s">
        <v>1172</v>
      </c>
      <c r="C194" t="s">
        <v>1173</v>
      </c>
      <c r="D194" t="s">
        <v>181</v>
      </c>
      <c r="E194" t="s">
        <v>18</v>
      </c>
      <c r="F194" t="s">
        <v>1174</v>
      </c>
      <c r="G194" t="s">
        <v>511</v>
      </c>
      <c r="H194" t="s">
        <v>1175</v>
      </c>
      <c r="I194" t="s">
        <v>21</v>
      </c>
      <c r="J194" t="s">
        <v>33</v>
      </c>
      <c r="K194" t="s">
        <v>23</v>
      </c>
      <c r="M194" t="s">
        <v>176</v>
      </c>
      <c r="N194" t="s">
        <v>177</v>
      </c>
    </row>
    <row r="195" spans="1:14">
      <c r="A195" t="s">
        <v>1176</v>
      </c>
      <c r="B195" t="s">
        <v>1177</v>
      </c>
      <c r="C195" t="s">
        <v>1178</v>
      </c>
      <c r="D195" t="s">
        <v>181</v>
      </c>
      <c r="E195" t="s">
        <v>18</v>
      </c>
      <c r="F195" t="s">
        <v>1179</v>
      </c>
      <c r="G195" t="s">
        <v>183</v>
      </c>
      <c r="H195" t="s">
        <v>1180</v>
      </c>
      <c r="I195" t="s">
        <v>21</v>
      </c>
      <c r="J195" t="s">
        <v>33</v>
      </c>
      <c r="K195" t="s">
        <v>23</v>
      </c>
      <c r="L195">
        <v>4</v>
      </c>
      <c r="M195" t="s">
        <v>34</v>
      </c>
      <c r="N195" t="s">
        <v>143</v>
      </c>
    </row>
    <row r="196" spans="1:14">
      <c r="A196" t="s">
        <v>1181</v>
      </c>
      <c r="B196" t="s">
        <v>1182</v>
      </c>
      <c r="C196" t="s">
        <v>1183</v>
      </c>
      <c r="D196" t="s">
        <v>293</v>
      </c>
      <c r="E196" t="s">
        <v>18</v>
      </c>
      <c r="F196" t="s">
        <v>294</v>
      </c>
      <c r="G196" t="s">
        <v>295</v>
      </c>
      <c r="H196" t="s">
        <v>1184</v>
      </c>
      <c r="I196" t="s">
        <v>21</v>
      </c>
      <c r="J196" t="s">
        <v>81</v>
      </c>
      <c r="K196" t="s">
        <v>23</v>
      </c>
      <c r="L196">
        <v>3</v>
      </c>
      <c r="M196" t="s">
        <v>42</v>
      </c>
      <c r="N196" t="s">
        <v>25</v>
      </c>
    </row>
    <row r="197" spans="1:14">
      <c r="A197" t="s">
        <v>1185</v>
      </c>
      <c r="B197" t="s">
        <v>1186</v>
      </c>
      <c r="C197" t="s">
        <v>1187</v>
      </c>
      <c r="D197" t="s">
        <v>195</v>
      </c>
      <c r="E197" t="s">
        <v>18</v>
      </c>
      <c r="F197" t="s">
        <v>1188</v>
      </c>
      <c r="G197" t="s">
        <v>128</v>
      </c>
      <c r="H197" t="s">
        <v>1189</v>
      </c>
      <c r="I197" t="s">
        <v>21</v>
      </c>
      <c r="J197" t="s">
        <v>81</v>
      </c>
      <c r="K197" t="s">
        <v>23</v>
      </c>
      <c r="M197" t="s">
        <v>176</v>
      </c>
      <c r="N197" t="s">
        <v>177</v>
      </c>
    </row>
    <row r="198" spans="1:14">
      <c r="A198" t="s">
        <v>1190</v>
      </c>
      <c r="B198" t="s">
        <v>1191</v>
      </c>
      <c r="C198" t="s">
        <v>1192</v>
      </c>
      <c r="D198" t="s">
        <v>213</v>
      </c>
      <c r="E198" t="s">
        <v>18</v>
      </c>
      <c r="F198" t="s">
        <v>1193</v>
      </c>
      <c r="G198" t="s">
        <v>53</v>
      </c>
      <c r="H198" t="s">
        <v>1194</v>
      </c>
      <c r="I198" t="s">
        <v>21</v>
      </c>
      <c r="J198" t="s">
        <v>22</v>
      </c>
      <c r="K198" t="s">
        <v>23</v>
      </c>
      <c r="M198" t="s">
        <v>176</v>
      </c>
      <c r="N198" t="s">
        <v>177</v>
      </c>
    </row>
    <row r="199" spans="1:14">
      <c r="A199" t="s">
        <v>1195</v>
      </c>
      <c r="B199" t="s">
        <v>1196</v>
      </c>
      <c r="C199" t="s">
        <v>1197</v>
      </c>
      <c r="D199" t="s">
        <v>434</v>
      </c>
      <c r="E199" t="s">
        <v>18</v>
      </c>
      <c r="F199" t="s">
        <v>1198</v>
      </c>
      <c r="G199" t="s">
        <v>436</v>
      </c>
      <c r="H199" t="s">
        <v>1199</v>
      </c>
      <c r="I199" t="s">
        <v>21</v>
      </c>
      <c r="J199" t="s">
        <v>22</v>
      </c>
      <c r="K199" t="s">
        <v>23</v>
      </c>
      <c r="M199" t="s">
        <v>176</v>
      </c>
      <c r="N199" t="s">
        <v>177</v>
      </c>
    </row>
    <row r="200" spans="1:14">
      <c r="A200" t="s">
        <v>1200</v>
      </c>
      <c r="B200" t="s">
        <v>1201</v>
      </c>
      <c r="C200" t="s">
        <v>1202</v>
      </c>
      <c r="D200" t="s">
        <v>133</v>
      </c>
      <c r="E200" t="s">
        <v>18</v>
      </c>
      <c r="F200" t="s">
        <v>1203</v>
      </c>
      <c r="G200" t="s">
        <v>133</v>
      </c>
      <c r="H200" t="s">
        <v>1204</v>
      </c>
      <c r="I200" t="s">
        <v>21</v>
      </c>
      <c r="J200" t="s">
        <v>56</v>
      </c>
      <c r="K200" t="s">
        <v>23</v>
      </c>
      <c r="L200">
        <v>2</v>
      </c>
      <c r="M200" t="s">
        <v>24</v>
      </c>
      <c r="N200" t="s">
        <v>25</v>
      </c>
    </row>
    <row r="201" spans="1:14">
      <c r="A201" t="s">
        <v>1205</v>
      </c>
      <c r="B201" t="s">
        <v>1206</v>
      </c>
      <c r="C201" t="s">
        <v>1207</v>
      </c>
      <c r="D201" t="s">
        <v>126</v>
      </c>
      <c r="E201" t="s">
        <v>18</v>
      </c>
      <c r="F201" t="s">
        <v>1208</v>
      </c>
      <c r="G201" t="s">
        <v>128</v>
      </c>
      <c r="H201" t="s">
        <v>1209</v>
      </c>
      <c r="I201" t="s">
        <v>21</v>
      </c>
      <c r="J201" t="s">
        <v>81</v>
      </c>
      <c r="K201" t="s">
        <v>23</v>
      </c>
      <c r="M201" t="s">
        <v>176</v>
      </c>
      <c r="N201" t="s">
        <v>177</v>
      </c>
    </row>
    <row r="202" spans="1:14">
      <c r="A202" t="s">
        <v>1210</v>
      </c>
      <c r="B202" t="s">
        <v>1211</v>
      </c>
      <c r="C202" t="s">
        <v>1212</v>
      </c>
      <c r="D202" t="s">
        <v>1213</v>
      </c>
      <c r="E202" t="s">
        <v>18</v>
      </c>
      <c r="F202" t="s">
        <v>1214</v>
      </c>
      <c r="G202" t="s">
        <v>808</v>
      </c>
      <c r="H202" t="s">
        <v>1215</v>
      </c>
      <c r="I202" t="s">
        <v>21</v>
      </c>
      <c r="J202" t="s">
        <v>22</v>
      </c>
      <c r="K202" t="s">
        <v>23</v>
      </c>
      <c r="M202" t="s">
        <v>176</v>
      </c>
      <c r="N202" t="s">
        <v>177</v>
      </c>
    </row>
    <row r="203" spans="1:14">
      <c r="A203" t="s">
        <v>1216</v>
      </c>
      <c r="B203" t="s">
        <v>1217</v>
      </c>
      <c r="C203" t="s">
        <v>1218</v>
      </c>
      <c r="D203" t="s">
        <v>1145</v>
      </c>
      <c r="E203" t="s">
        <v>18</v>
      </c>
      <c r="F203" t="s">
        <v>1219</v>
      </c>
      <c r="G203" t="s">
        <v>629</v>
      </c>
      <c r="H203" t="s">
        <v>1220</v>
      </c>
      <c r="I203" t="s">
        <v>21</v>
      </c>
      <c r="J203" t="s">
        <v>75</v>
      </c>
      <c r="K203" t="s">
        <v>23</v>
      </c>
      <c r="L203">
        <v>5</v>
      </c>
      <c r="M203" t="s">
        <v>168</v>
      </c>
      <c r="N203" t="s">
        <v>25</v>
      </c>
    </row>
    <row r="204" spans="1:14">
      <c r="A204" t="s">
        <v>1221</v>
      </c>
      <c r="B204" t="s">
        <v>1222</v>
      </c>
      <c r="C204" t="s">
        <v>1223</v>
      </c>
      <c r="D204" t="s">
        <v>1224</v>
      </c>
      <c r="E204" t="s">
        <v>18</v>
      </c>
      <c r="F204" t="s">
        <v>1225</v>
      </c>
      <c r="G204" t="s">
        <v>128</v>
      </c>
      <c r="H204" t="s">
        <v>1226</v>
      </c>
      <c r="I204" t="s">
        <v>21</v>
      </c>
      <c r="J204" t="s">
        <v>22</v>
      </c>
      <c r="K204" t="s">
        <v>23</v>
      </c>
      <c r="M204" t="s">
        <v>176</v>
      </c>
      <c r="N204" t="s">
        <v>177</v>
      </c>
    </row>
    <row r="205" spans="1:14">
      <c r="A205" t="s">
        <v>1227</v>
      </c>
      <c r="B205" t="s">
        <v>1228</v>
      </c>
      <c r="C205" t="s">
        <v>1229</v>
      </c>
      <c r="D205" t="s">
        <v>53</v>
      </c>
      <c r="E205" t="s">
        <v>18</v>
      </c>
      <c r="F205" t="s">
        <v>675</v>
      </c>
      <c r="G205" t="s">
        <v>53</v>
      </c>
      <c r="H205" t="s">
        <v>1230</v>
      </c>
      <c r="I205" t="s">
        <v>21</v>
      </c>
      <c r="J205" t="s">
        <v>81</v>
      </c>
      <c r="K205" t="s">
        <v>23</v>
      </c>
      <c r="M205" t="s">
        <v>176</v>
      </c>
      <c r="N205" t="s">
        <v>177</v>
      </c>
    </row>
    <row r="206" spans="1:14">
      <c r="A206" t="s">
        <v>1231</v>
      </c>
      <c r="B206" t="s">
        <v>1232</v>
      </c>
      <c r="C206" t="s">
        <v>1233</v>
      </c>
      <c r="D206" t="s">
        <v>847</v>
      </c>
      <c r="E206" t="s">
        <v>18</v>
      </c>
      <c r="F206" t="s">
        <v>1034</v>
      </c>
      <c r="G206" t="s">
        <v>629</v>
      </c>
      <c r="H206" t="s">
        <v>1234</v>
      </c>
      <c r="I206" t="s">
        <v>21</v>
      </c>
      <c r="J206" t="s">
        <v>75</v>
      </c>
      <c r="K206" t="s">
        <v>23</v>
      </c>
      <c r="L206">
        <v>4</v>
      </c>
      <c r="M206" t="s">
        <v>34</v>
      </c>
      <c r="N206" t="s">
        <v>25</v>
      </c>
    </row>
    <row r="207" spans="1:14">
      <c r="A207" t="s">
        <v>1235</v>
      </c>
      <c r="B207" t="s">
        <v>1236</v>
      </c>
      <c r="C207" t="s">
        <v>1237</v>
      </c>
      <c r="D207" t="s">
        <v>847</v>
      </c>
      <c r="E207" t="s">
        <v>18</v>
      </c>
      <c r="F207" t="s">
        <v>1034</v>
      </c>
      <c r="G207" t="s">
        <v>629</v>
      </c>
      <c r="H207" t="s">
        <v>1238</v>
      </c>
      <c r="I207" t="s">
        <v>21</v>
      </c>
      <c r="J207" t="s">
        <v>81</v>
      </c>
      <c r="K207" t="s">
        <v>23</v>
      </c>
      <c r="M207" t="s">
        <v>176</v>
      </c>
      <c r="N207" t="s">
        <v>177</v>
      </c>
    </row>
    <row r="208" spans="1:14">
      <c r="A208" t="s">
        <v>1239</v>
      </c>
      <c r="B208" t="s">
        <v>1240</v>
      </c>
      <c r="C208" t="s">
        <v>1241</v>
      </c>
      <c r="D208" t="s">
        <v>808</v>
      </c>
      <c r="E208" t="s">
        <v>18</v>
      </c>
      <c r="F208" t="s">
        <v>1242</v>
      </c>
      <c r="G208" t="s">
        <v>808</v>
      </c>
      <c r="H208" t="s">
        <v>1243</v>
      </c>
      <c r="I208" t="s">
        <v>21</v>
      </c>
      <c r="J208" t="s">
        <v>81</v>
      </c>
      <c r="K208" t="s">
        <v>23</v>
      </c>
      <c r="L208">
        <v>5</v>
      </c>
      <c r="M208" t="s">
        <v>168</v>
      </c>
      <c r="N208" t="s">
        <v>25</v>
      </c>
    </row>
    <row r="209" spans="1:14">
      <c r="A209" t="s">
        <v>1244</v>
      </c>
      <c r="B209" t="s">
        <v>1245</v>
      </c>
      <c r="C209" t="s">
        <v>1246</v>
      </c>
      <c r="D209" t="s">
        <v>808</v>
      </c>
      <c r="E209" t="s">
        <v>18</v>
      </c>
      <c r="F209" t="s">
        <v>1242</v>
      </c>
      <c r="G209" t="s">
        <v>808</v>
      </c>
      <c r="H209" t="s">
        <v>1247</v>
      </c>
      <c r="I209" t="s">
        <v>21</v>
      </c>
      <c r="J209" t="s">
        <v>22</v>
      </c>
      <c r="K209" t="s">
        <v>23</v>
      </c>
      <c r="M209" t="s">
        <v>176</v>
      </c>
      <c r="N209" t="s">
        <v>168</v>
      </c>
    </row>
    <row r="210" spans="1:14">
      <c r="A210" t="s">
        <v>1248</v>
      </c>
      <c r="B210" t="s">
        <v>1249</v>
      </c>
      <c r="C210" t="s">
        <v>1250</v>
      </c>
      <c r="D210" t="s">
        <v>1043</v>
      </c>
      <c r="E210" t="s">
        <v>18</v>
      </c>
      <c r="F210" t="s">
        <v>1251</v>
      </c>
      <c r="G210" t="s">
        <v>121</v>
      </c>
      <c r="H210" t="s">
        <v>1252</v>
      </c>
      <c r="I210" t="s">
        <v>21</v>
      </c>
      <c r="J210" t="s">
        <v>22</v>
      </c>
      <c r="K210" t="s">
        <v>23</v>
      </c>
      <c r="M210" t="s">
        <v>176</v>
      </c>
      <c r="N210" t="s">
        <v>177</v>
      </c>
    </row>
    <row r="211" spans="1:14">
      <c r="A211" t="s">
        <v>1253</v>
      </c>
      <c r="B211" t="s">
        <v>1254</v>
      </c>
      <c r="C211" t="s">
        <v>1255</v>
      </c>
      <c r="D211" t="s">
        <v>181</v>
      </c>
      <c r="E211" t="s">
        <v>18</v>
      </c>
      <c r="F211" t="s">
        <v>1256</v>
      </c>
      <c r="G211" t="s">
        <v>183</v>
      </c>
      <c r="H211" t="s">
        <v>1257</v>
      </c>
      <c r="I211" t="s">
        <v>21</v>
      </c>
      <c r="J211" t="s">
        <v>81</v>
      </c>
      <c r="K211" t="s">
        <v>23</v>
      </c>
      <c r="M211" t="s">
        <v>176</v>
      </c>
      <c r="N211" t="s">
        <v>177</v>
      </c>
    </row>
    <row r="212" spans="1:14">
      <c r="A212" t="s">
        <v>1258</v>
      </c>
      <c r="B212" t="s">
        <v>1259</v>
      </c>
      <c r="C212" t="s">
        <v>1260</v>
      </c>
      <c r="D212" t="s">
        <v>802</v>
      </c>
      <c r="E212" t="s">
        <v>18</v>
      </c>
      <c r="F212" t="s">
        <v>803</v>
      </c>
      <c r="G212" t="s">
        <v>121</v>
      </c>
      <c r="H212" t="s">
        <v>1261</v>
      </c>
      <c r="I212" t="s">
        <v>21</v>
      </c>
      <c r="J212" t="s">
        <v>81</v>
      </c>
      <c r="K212" t="s">
        <v>23</v>
      </c>
      <c r="M212" t="s">
        <v>176</v>
      </c>
      <c r="N212" t="s">
        <v>177</v>
      </c>
    </row>
    <row r="213" spans="1:14">
      <c r="A213" t="s">
        <v>1262</v>
      </c>
      <c r="B213" t="s">
        <v>1263</v>
      </c>
      <c r="C213" t="s">
        <v>1264</v>
      </c>
      <c r="D213" t="s">
        <v>808</v>
      </c>
      <c r="E213" t="s">
        <v>18</v>
      </c>
      <c r="F213" t="s">
        <v>1242</v>
      </c>
      <c r="G213" t="s">
        <v>808</v>
      </c>
      <c r="H213" t="s">
        <v>1265</v>
      </c>
      <c r="I213" t="s">
        <v>21</v>
      </c>
      <c r="J213" t="s">
        <v>22</v>
      </c>
      <c r="K213" t="s">
        <v>302</v>
      </c>
      <c r="M213" t="s">
        <v>176</v>
      </c>
      <c r="N213" t="s">
        <v>177</v>
      </c>
    </row>
    <row r="214" spans="1:14">
      <c r="A214" t="s">
        <v>1266</v>
      </c>
      <c r="B214" t="s">
        <v>1267</v>
      </c>
      <c r="C214" t="s">
        <v>1268</v>
      </c>
      <c r="D214" t="s">
        <v>1269</v>
      </c>
      <c r="E214" t="s">
        <v>18</v>
      </c>
      <c r="F214" t="s">
        <v>1270</v>
      </c>
      <c r="G214" t="s">
        <v>128</v>
      </c>
      <c r="H214" t="s">
        <v>1271</v>
      </c>
      <c r="I214" t="s">
        <v>21</v>
      </c>
      <c r="J214" t="s">
        <v>33</v>
      </c>
      <c r="K214" t="s">
        <v>23</v>
      </c>
      <c r="L214">
        <v>4</v>
      </c>
      <c r="M214" t="s">
        <v>34</v>
      </c>
      <c r="N214" t="s">
        <v>25</v>
      </c>
    </row>
    <row r="215" spans="1:14">
      <c r="A215" t="s">
        <v>1272</v>
      </c>
      <c r="B215" t="s">
        <v>1273</v>
      </c>
      <c r="C215" t="s">
        <v>1274</v>
      </c>
      <c r="D215" t="s">
        <v>847</v>
      </c>
      <c r="E215" t="s">
        <v>18</v>
      </c>
      <c r="F215" t="s">
        <v>1034</v>
      </c>
      <c r="G215" t="s">
        <v>629</v>
      </c>
      <c r="H215" t="s">
        <v>1275</v>
      </c>
      <c r="I215" t="s">
        <v>21</v>
      </c>
      <c r="J215" t="s">
        <v>81</v>
      </c>
      <c r="K215" t="s">
        <v>23</v>
      </c>
      <c r="L215">
        <v>4</v>
      </c>
      <c r="M215" t="s">
        <v>34</v>
      </c>
      <c r="N215" t="s">
        <v>25</v>
      </c>
    </row>
    <row r="216" spans="1:14">
      <c r="A216" t="s">
        <v>1276</v>
      </c>
      <c r="B216" t="s">
        <v>1277</v>
      </c>
      <c r="C216" t="s">
        <v>1278</v>
      </c>
      <c r="D216" t="s">
        <v>260</v>
      </c>
      <c r="E216" t="s">
        <v>18</v>
      </c>
      <c r="F216" t="s">
        <v>1279</v>
      </c>
      <c r="G216" t="s">
        <v>121</v>
      </c>
      <c r="H216" t="s">
        <v>1280</v>
      </c>
      <c r="I216" t="s">
        <v>21</v>
      </c>
      <c r="J216" t="s">
        <v>22</v>
      </c>
      <c r="K216" t="s">
        <v>23</v>
      </c>
      <c r="L216">
        <v>3</v>
      </c>
      <c r="M216" t="s">
        <v>42</v>
      </c>
      <c r="N216" t="s">
        <v>25</v>
      </c>
    </row>
    <row r="217" spans="1:14">
      <c r="A217" t="s">
        <v>1281</v>
      </c>
      <c r="B217" t="s">
        <v>1282</v>
      </c>
      <c r="C217" t="s">
        <v>1283</v>
      </c>
      <c r="D217" t="s">
        <v>991</v>
      </c>
      <c r="E217" t="s">
        <v>18</v>
      </c>
      <c r="F217" t="s">
        <v>1284</v>
      </c>
      <c r="G217" t="s">
        <v>993</v>
      </c>
      <c r="H217" t="s">
        <v>1285</v>
      </c>
      <c r="I217" t="s">
        <v>21</v>
      </c>
      <c r="J217" t="s">
        <v>33</v>
      </c>
      <c r="K217" t="s">
        <v>23</v>
      </c>
      <c r="L217">
        <v>4</v>
      </c>
      <c r="M217" t="s">
        <v>34</v>
      </c>
      <c r="N217" t="s">
        <v>25</v>
      </c>
    </row>
    <row r="218" spans="1:14">
      <c r="A218" t="s">
        <v>1286</v>
      </c>
      <c r="B218" t="s">
        <v>1287</v>
      </c>
      <c r="C218" t="s">
        <v>1288</v>
      </c>
      <c r="D218" t="s">
        <v>991</v>
      </c>
      <c r="E218" t="s">
        <v>18</v>
      </c>
      <c r="F218" t="s">
        <v>1284</v>
      </c>
      <c r="G218" t="s">
        <v>993</v>
      </c>
      <c r="H218" t="s">
        <v>1289</v>
      </c>
      <c r="I218" t="s">
        <v>21</v>
      </c>
      <c r="J218" t="s">
        <v>33</v>
      </c>
      <c r="K218" t="s">
        <v>23</v>
      </c>
      <c r="L218">
        <v>4</v>
      </c>
      <c r="M218" t="s">
        <v>34</v>
      </c>
      <c r="N218" t="s">
        <v>143</v>
      </c>
    </row>
    <row r="219" spans="1:14">
      <c r="A219" t="s">
        <v>1290</v>
      </c>
      <c r="B219" t="s">
        <v>1291</v>
      </c>
      <c r="C219" t="s">
        <v>1292</v>
      </c>
      <c r="D219" t="s">
        <v>1293</v>
      </c>
      <c r="E219" t="s">
        <v>18</v>
      </c>
      <c r="F219" t="s">
        <v>1294</v>
      </c>
      <c r="G219" t="s">
        <v>993</v>
      </c>
      <c r="H219" t="s">
        <v>1295</v>
      </c>
      <c r="I219" t="s">
        <v>21</v>
      </c>
      <c r="J219" t="s">
        <v>75</v>
      </c>
      <c r="K219" t="s">
        <v>23</v>
      </c>
      <c r="L219">
        <v>3</v>
      </c>
      <c r="M219" t="s">
        <v>42</v>
      </c>
      <c r="N219" t="s">
        <v>25</v>
      </c>
    </row>
    <row r="220" spans="1:14">
      <c r="A220" t="s">
        <v>1296</v>
      </c>
      <c r="B220" t="s">
        <v>1297</v>
      </c>
      <c r="C220" t="s">
        <v>1298</v>
      </c>
      <c r="D220" t="s">
        <v>1299</v>
      </c>
      <c r="E220" t="s">
        <v>18</v>
      </c>
      <c r="F220" t="s">
        <v>1300</v>
      </c>
      <c r="G220" t="s">
        <v>1299</v>
      </c>
      <c r="H220" t="s">
        <v>1301</v>
      </c>
      <c r="I220" t="s">
        <v>21</v>
      </c>
      <c r="J220" t="s">
        <v>22</v>
      </c>
      <c r="K220" t="s">
        <v>23</v>
      </c>
      <c r="L220">
        <v>5</v>
      </c>
      <c r="M220" t="s">
        <v>168</v>
      </c>
      <c r="N220" t="s">
        <v>25</v>
      </c>
    </row>
    <row r="221" spans="1:14">
      <c r="A221" t="s">
        <v>1302</v>
      </c>
      <c r="B221" t="s">
        <v>1303</v>
      </c>
      <c r="C221" t="s">
        <v>1304</v>
      </c>
      <c r="D221" t="s">
        <v>17</v>
      </c>
      <c r="E221" t="s">
        <v>18</v>
      </c>
      <c r="F221" t="s">
        <v>1305</v>
      </c>
      <c r="G221" t="s">
        <v>17</v>
      </c>
      <c r="H221" t="s">
        <v>1306</v>
      </c>
      <c r="I221" t="s">
        <v>21</v>
      </c>
      <c r="J221" t="s">
        <v>22</v>
      </c>
      <c r="K221" t="s">
        <v>23</v>
      </c>
      <c r="L221">
        <v>2</v>
      </c>
      <c r="M221" t="s">
        <v>24</v>
      </c>
      <c r="N221" t="s">
        <v>25</v>
      </c>
    </row>
    <row r="222" spans="1:14">
      <c r="A222" t="s">
        <v>1307</v>
      </c>
      <c r="B222" t="s">
        <v>1308</v>
      </c>
      <c r="C222" t="s">
        <v>1309</v>
      </c>
      <c r="D222" t="s">
        <v>53</v>
      </c>
      <c r="E222" t="s">
        <v>18</v>
      </c>
      <c r="F222" t="s">
        <v>675</v>
      </c>
      <c r="G222" t="s">
        <v>53</v>
      </c>
      <c r="H222" t="s">
        <v>1310</v>
      </c>
      <c r="I222" t="s">
        <v>21</v>
      </c>
      <c r="J222" t="s">
        <v>75</v>
      </c>
      <c r="K222" t="s">
        <v>23</v>
      </c>
      <c r="M222" t="s">
        <v>176</v>
      </c>
      <c r="N222" t="s">
        <v>177</v>
      </c>
    </row>
    <row r="223" spans="1:14">
      <c r="A223" t="s">
        <v>1311</v>
      </c>
      <c r="B223" t="s">
        <v>1312</v>
      </c>
      <c r="C223" t="s">
        <v>1313</v>
      </c>
      <c r="D223" t="s">
        <v>1078</v>
      </c>
      <c r="E223" t="s">
        <v>18</v>
      </c>
      <c r="F223" t="s">
        <v>1314</v>
      </c>
      <c r="G223" t="s">
        <v>535</v>
      </c>
      <c r="H223" t="s">
        <v>1315</v>
      </c>
      <c r="I223" t="s">
        <v>21</v>
      </c>
      <c r="J223" t="s">
        <v>33</v>
      </c>
      <c r="K223" t="s">
        <v>23</v>
      </c>
      <c r="L223">
        <v>3</v>
      </c>
      <c r="M223" t="s">
        <v>42</v>
      </c>
      <c r="N223" t="s">
        <v>25</v>
      </c>
    </row>
    <row r="224" spans="1:14">
      <c r="A224" t="s">
        <v>1316</v>
      </c>
      <c r="B224" t="s">
        <v>1317</v>
      </c>
      <c r="C224" t="s">
        <v>1318</v>
      </c>
      <c r="D224" t="s">
        <v>188</v>
      </c>
      <c r="E224" t="s">
        <v>18</v>
      </c>
      <c r="F224" t="s">
        <v>1319</v>
      </c>
      <c r="G224" t="s">
        <v>190</v>
      </c>
      <c r="H224" t="s">
        <v>1320</v>
      </c>
      <c r="I224" t="s">
        <v>21</v>
      </c>
      <c r="J224" t="s">
        <v>22</v>
      </c>
      <c r="K224" t="s">
        <v>23</v>
      </c>
      <c r="M224" t="s">
        <v>176</v>
      </c>
      <c r="N224" t="s">
        <v>177</v>
      </c>
    </row>
    <row r="225" spans="1:14">
      <c r="A225" t="s">
        <v>1321</v>
      </c>
      <c r="B225" t="s">
        <v>1322</v>
      </c>
      <c r="C225" t="s">
        <v>1323</v>
      </c>
      <c r="D225" t="s">
        <v>188</v>
      </c>
      <c r="E225" t="s">
        <v>18</v>
      </c>
      <c r="F225" t="s">
        <v>1155</v>
      </c>
      <c r="G225" t="s">
        <v>190</v>
      </c>
      <c r="H225" t="s">
        <v>1324</v>
      </c>
      <c r="I225" t="s">
        <v>21</v>
      </c>
      <c r="J225" t="s">
        <v>22</v>
      </c>
      <c r="K225" t="s">
        <v>23</v>
      </c>
      <c r="L225">
        <v>4</v>
      </c>
      <c r="M225" t="s">
        <v>34</v>
      </c>
      <c r="N225" t="s">
        <v>25</v>
      </c>
    </row>
    <row r="226" spans="1:14">
      <c r="A226" t="s">
        <v>1325</v>
      </c>
      <c r="B226" t="s">
        <v>1326</v>
      </c>
      <c r="C226" t="s">
        <v>1327</v>
      </c>
      <c r="D226" t="s">
        <v>1328</v>
      </c>
      <c r="E226" t="s">
        <v>18</v>
      </c>
      <c r="F226" t="s">
        <v>1329</v>
      </c>
      <c r="G226" t="s">
        <v>511</v>
      </c>
      <c r="H226" t="s">
        <v>1330</v>
      </c>
      <c r="I226" t="s">
        <v>21</v>
      </c>
      <c r="J226" t="s">
        <v>33</v>
      </c>
      <c r="K226" t="s">
        <v>23</v>
      </c>
      <c r="L226">
        <v>3</v>
      </c>
      <c r="M226" t="s">
        <v>42</v>
      </c>
      <c r="N226" t="s">
        <v>143</v>
      </c>
    </row>
    <row r="227" spans="1:14">
      <c r="A227" t="s">
        <v>1331</v>
      </c>
      <c r="B227" t="s">
        <v>1332</v>
      </c>
      <c r="C227" t="s">
        <v>1333</v>
      </c>
      <c r="D227" t="s">
        <v>1164</v>
      </c>
      <c r="E227" t="s">
        <v>18</v>
      </c>
      <c r="F227" t="s">
        <v>1165</v>
      </c>
      <c r="G227" t="s">
        <v>462</v>
      </c>
      <c r="H227" t="s">
        <v>1334</v>
      </c>
      <c r="I227" t="s">
        <v>21</v>
      </c>
      <c r="J227" t="s">
        <v>75</v>
      </c>
      <c r="K227" t="s">
        <v>23</v>
      </c>
      <c r="M227" t="s">
        <v>176</v>
      </c>
      <c r="N227" t="s">
        <v>177</v>
      </c>
    </row>
    <row r="228" spans="1:14">
      <c r="A228" t="s">
        <v>1335</v>
      </c>
      <c r="B228" t="s">
        <v>1336</v>
      </c>
      <c r="C228" t="s">
        <v>1337</v>
      </c>
      <c r="D228" t="s">
        <v>1338</v>
      </c>
      <c r="E228" t="s">
        <v>18</v>
      </c>
      <c r="F228" t="s">
        <v>1339</v>
      </c>
      <c r="G228" t="s">
        <v>53</v>
      </c>
      <c r="H228" t="s">
        <v>1340</v>
      </c>
      <c r="I228" t="s">
        <v>21</v>
      </c>
      <c r="J228" t="s">
        <v>33</v>
      </c>
      <c r="K228" t="s">
        <v>23</v>
      </c>
      <c r="L228">
        <v>2</v>
      </c>
      <c r="M228" t="s">
        <v>24</v>
      </c>
      <c r="N228" t="s">
        <v>25</v>
      </c>
    </row>
    <row r="229" spans="1:14">
      <c r="A229" t="s">
        <v>1341</v>
      </c>
      <c r="B229" t="s">
        <v>1342</v>
      </c>
      <c r="C229" t="s">
        <v>1343</v>
      </c>
      <c r="D229" t="s">
        <v>1344</v>
      </c>
      <c r="E229" t="s">
        <v>18</v>
      </c>
      <c r="F229" t="s">
        <v>1345</v>
      </c>
      <c r="G229" t="s">
        <v>808</v>
      </c>
      <c r="H229" t="s">
        <v>1346</v>
      </c>
      <c r="I229" t="s">
        <v>21</v>
      </c>
      <c r="J229" t="s">
        <v>22</v>
      </c>
      <c r="K229" t="s">
        <v>23</v>
      </c>
      <c r="M229" t="s">
        <v>176</v>
      </c>
      <c r="N229" t="s">
        <v>177</v>
      </c>
    </row>
    <row r="230" spans="1:14">
      <c r="A230" t="s">
        <v>1347</v>
      </c>
      <c r="B230" t="s">
        <v>1348</v>
      </c>
      <c r="C230" t="s">
        <v>1349</v>
      </c>
      <c r="D230" t="s">
        <v>195</v>
      </c>
      <c r="E230" t="s">
        <v>18</v>
      </c>
      <c r="F230" t="s">
        <v>918</v>
      </c>
      <c r="G230" t="s">
        <v>128</v>
      </c>
      <c r="H230" t="s">
        <v>1350</v>
      </c>
      <c r="I230" t="s">
        <v>21</v>
      </c>
      <c r="J230" t="s">
        <v>22</v>
      </c>
      <c r="K230" t="s">
        <v>23</v>
      </c>
      <c r="M230" t="s">
        <v>176</v>
      </c>
      <c r="N230" t="s">
        <v>177</v>
      </c>
    </row>
    <row r="231" spans="1:14">
      <c r="A231" t="s">
        <v>1351</v>
      </c>
      <c r="B231" t="s">
        <v>1352</v>
      </c>
      <c r="C231" t="s">
        <v>1353</v>
      </c>
      <c r="D231" t="s">
        <v>1354</v>
      </c>
      <c r="E231" t="s">
        <v>18</v>
      </c>
      <c r="F231" t="s">
        <v>1355</v>
      </c>
      <c r="G231" t="s">
        <v>808</v>
      </c>
      <c r="H231" t="s">
        <v>1356</v>
      </c>
      <c r="I231" t="s">
        <v>21</v>
      </c>
      <c r="J231" t="s">
        <v>22</v>
      </c>
      <c r="K231" t="s">
        <v>23</v>
      </c>
      <c r="L231">
        <v>5</v>
      </c>
      <c r="M231" t="s">
        <v>168</v>
      </c>
      <c r="N231" t="s">
        <v>25</v>
      </c>
    </row>
    <row r="232" spans="1:14">
      <c r="A232" t="s">
        <v>1357</v>
      </c>
      <c r="B232" t="s">
        <v>1358</v>
      </c>
      <c r="C232" t="s">
        <v>1359</v>
      </c>
      <c r="D232" t="s">
        <v>627</v>
      </c>
      <c r="E232" t="s">
        <v>18</v>
      </c>
      <c r="F232" t="s">
        <v>1360</v>
      </c>
      <c r="G232" t="s">
        <v>629</v>
      </c>
      <c r="H232" t="s">
        <v>1361</v>
      </c>
      <c r="I232" t="s">
        <v>21</v>
      </c>
      <c r="J232" t="s">
        <v>81</v>
      </c>
      <c r="K232" t="s">
        <v>23</v>
      </c>
      <c r="M232" t="s">
        <v>176</v>
      </c>
      <c r="N232" t="s">
        <v>177</v>
      </c>
    </row>
    <row r="233" spans="1:14">
      <c r="A233" t="s">
        <v>1362</v>
      </c>
      <c r="B233" t="s">
        <v>1363</v>
      </c>
      <c r="C233" t="s">
        <v>1364</v>
      </c>
      <c r="D233" t="s">
        <v>195</v>
      </c>
      <c r="E233" t="s">
        <v>18</v>
      </c>
      <c r="F233" t="s">
        <v>196</v>
      </c>
      <c r="G233" t="s">
        <v>128</v>
      </c>
      <c r="H233" t="s">
        <v>1365</v>
      </c>
      <c r="I233" t="s">
        <v>21</v>
      </c>
      <c r="J233" t="s">
        <v>81</v>
      </c>
      <c r="K233" t="s">
        <v>302</v>
      </c>
      <c r="L233">
        <v>4</v>
      </c>
      <c r="M233" t="s">
        <v>34</v>
      </c>
      <c r="N233" t="s">
        <v>25</v>
      </c>
    </row>
    <row r="234" spans="1:14">
      <c r="A234" t="s">
        <v>1366</v>
      </c>
      <c r="B234" t="s">
        <v>1367</v>
      </c>
      <c r="C234" t="s">
        <v>1368</v>
      </c>
      <c r="D234" t="s">
        <v>1369</v>
      </c>
      <c r="E234" t="s">
        <v>18</v>
      </c>
      <c r="F234" t="s">
        <v>1370</v>
      </c>
      <c r="G234" t="s">
        <v>53</v>
      </c>
      <c r="H234" t="s">
        <v>1371</v>
      </c>
      <c r="I234" t="s">
        <v>21</v>
      </c>
      <c r="J234" t="s">
        <v>22</v>
      </c>
      <c r="K234" t="s">
        <v>23</v>
      </c>
      <c r="L234">
        <v>4</v>
      </c>
      <c r="M234" t="s">
        <v>34</v>
      </c>
      <c r="N234" t="s">
        <v>25</v>
      </c>
    </row>
    <row r="235" spans="1:14">
      <c r="A235" t="s">
        <v>1372</v>
      </c>
      <c r="B235" t="s">
        <v>1373</v>
      </c>
      <c r="C235" t="s">
        <v>1374</v>
      </c>
      <c r="D235" t="s">
        <v>119</v>
      </c>
      <c r="E235" t="s">
        <v>18</v>
      </c>
      <c r="F235" t="s">
        <v>1125</v>
      </c>
      <c r="G235" t="s">
        <v>121</v>
      </c>
      <c r="H235" t="s">
        <v>1375</v>
      </c>
      <c r="I235" t="s">
        <v>21</v>
      </c>
      <c r="J235" t="s">
        <v>33</v>
      </c>
      <c r="K235" t="s">
        <v>23</v>
      </c>
      <c r="L235">
        <v>4</v>
      </c>
      <c r="M235" t="s">
        <v>34</v>
      </c>
      <c r="N235" t="s">
        <v>25</v>
      </c>
    </row>
    <row r="236" spans="1:14">
      <c r="A236" t="s">
        <v>1376</v>
      </c>
      <c r="B236" t="s">
        <v>1377</v>
      </c>
      <c r="C236" t="s">
        <v>1378</v>
      </c>
      <c r="D236" t="s">
        <v>687</v>
      </c>
      <c r="E236" t="s">
        <v>18</v>
      </c>
      <c r="F236" t="s">
        <v>1379</v>
      </c>
      <c r="G236" t="s">
        <v>528</v>
      </c>
      <c r="H236" t="s">
        <v>1380</v>
      </c>
      <c r="I236" t="s">
        <v>21</v>
      </c>
      <c r="J236" t="s">
        <v>81</v>
      </c>
      <c r="K236" t="s">
        <v>23</v>
      </c>
      <c r="L236">
        <v>3</v>
      </c>
      <c r="M236" t="s">
        <v>42</v>
      </c>
      <c r="N236" t="s">
        <v>25</v>
      </c>
    </row>
    <row r="237" spans="1:14">
      <c r="A237" t="s">
        <v>1381</v>
      </c>
      <c r="B237" t="s">
        <v>1382</v>
      </c>
      <c r="C237" t="s">
        <v>1383</v>
      </c>
      <c r="D237" t="s">
        <v>119</v>
      </c>
      <c r="E237" t="s">
        <v>18</v>
      </c>
      <c r="F237" t="s">
        <v>1384</v>
      </c>
      <c r="G237" t="s">
        <v>121</v>
      </c>
      <c r="H237" t="s">
        <v>1385</v>
      </c>
      <c r="I237" t="s">
        <v>21</v>
      </c>
      <c r="J237" t="s">
        <v>33</v>
      </c>
      <c r="K237" t="s">
        <v>23</v>
      </c>
      <c r="L237">
        <v>5</v>
      </c>
      <c r="M237" t="s">
        <v>168</v>
      </c>
      <c r="N237" t="s">
        <v>25</v>
      </c>
    </row>
    <row r="238" spans="1:14">
      <c r="A238" t="s">
        <v>1386</v>
      </c>
      <c r="B238" t="s">
        <v>1387</v>
      </c>
      <c r="C238" t="s">
        <v>1388</v>
      </c>
      <c r="D238" t="s">
        <v>188</v>
      </c>
      <c r="E238" t="s">
        <v>18</v>
      </c>
      <c r="F238" t="s">
        <v>1389</v>
      </c>
      <c r="G238" t="s">
        <v>190</v>
      </c>
      <c r="H238" t="s">
        <v>1390</v>
      </c>
      <c r="I238" t="s">
        <v>21</v>
      </c>
      <c r="J238" t="s">
        <v>22</v>
      </c>
      <c r="K238" t="s">
        <v>23</v>
      </c>
      <c r="L238">
        <v>5</v>
      </c>
      <c r="M238" t="s">
        <v>168</v>
      </c>
      <c r="N238" t="s">
        <v>25</v>
      </c>
    </row>
    <row r="239" spans="1:14">
      <c r="A239" t="s">
        <v>1391</v>
      </c>
      <c r="B239" t="s">
        <v>1392</v>
      </c>
      <c r="C239" t="s">
        <v>1393</v>
      </c>
      <c r="D239" t="s">
        <v>1394</v>
      </c>
      <c r="E239" t="s">
        <v>18</v>
      </c>
      <c r="F239" t="s">
        <v>1395</v>
      </c>
      <c r="G239" t="s">
        <v>166</v>
      </c>
      <c r="H239" t="s">
        <v>1396</v>
      </c>
      <c r="I239" t="s">
        <v>21</v>
      </c>
      <c r="J239" t="s">
        <v>22</v>
      </c>
      <c r="K239" t="s">
        <v>23</v>
      </c>
      <c r="L239">
        <v>4</v>
      </c>
      <c r="M239" t="s">
        <v>34</v>
      </c>
      <c r="N239" t="s">
        <v>25</v>
      </c>
    </row>
    <row r="240" spans="1:14">
      <c r="A240" t="s">
        <v>1397</v>
      </c>
      <c r="B240" t="s">
        <v>1398</v>
      </c>
      <c r="C240" t="s">
        <v>1399</v>
      </c>
      <c r="D240" t="s">
        <v>1400</v>
      </c>
      <c r="E240" t="s">
        <v>18</v>
      </c>
      <c r="F240" t="s">
        <v>1401</v>
      </c>
      <c r="G240" t="s">
        <v>629</v>
      </c>
      <c r="H240" t="s">
        <v>1402</v>
      </c>
      <c r="I240" t="s">
        <v>21</v>
      </c>
      <c r="J240" t="s">
        <v>33</v>
      </c>
      <c r="K240" t="s">
        <v>23</v>
      </c>
      <c r="L240">
        <v>4</v>
      </c>
      <c r="M240" t="s">
        <v>34</v>
      </c>
      <c r="N240" t="s">
        <v>25</v>
      </c>
    </row>
    <row r="241" spans="1:14">
      <c r="A241" t="s">
        <v>1403</v>
      </c>
      <c r="B241" t="s">
        <v>1404</v>
      </c>
      <c r="C241" t="s">
        <v>1405</v>
      </c>
      <c r="D241" t="s">
        <v>126</v>
      </c>
      <c r="E241" t="s">
        <v>18</v>
      </c>
      <c r="F241" t="s">
        <v>1406</v>
      </c>
      <c r="G241" t="s">
        <v>128</v>
      </c>
      <c r="H241" t="s">
        <v>1407</v>
      </c>
      <c r="I241" t="s">
        <v>21</v>
      </c>
      <c r="J241" t="s">
        <v>33</v>
      </c>
      <c r="K241" t="s">
        <v>23</v>
      </c>
      <c r="L241">
        <v>5</v>
      </c>
      <c r="M241" t="s">
        <v>168</v>
      </c>
      <c r="N241" t="s">
        <v>25</v>
      </c>
    </row>
    <row r="242" spans="1:14">
      <c r="A242" t="s">
        <v>1408</v>
      </c>
      <c r="B242" t="s">
        <v>1409</v>
      </c>
      <c r="C242" t="s">
        <v>1410</v>
      </c>
      <c r="D242" t="s">
        <v>1411</v>
      </c>
      <c r="E242" t="s">
        <v>18</v>
      </c>
      <c r="F242" t="s">
        <v>1412</v>
      </c>
      <c r="G242" t="s">
        <v>48</v>
      </c>
      <c r="H242" t="s">
        <v>1413</v>
      </c>
      <c r="I242" t="s">
        <v>21</v>
      </c>
      <c r="J242" t="s">
        <v>33</v>
      </c>
      <c r="K242" t="s">
        <v>23</v>
      </c>
      <c r="L242">
        <v>4</v>
      </c>
      <c r="M242" t="s">
        <v>34</v>
      </c>
      <c r="N242" t="s">
        <v>25</v>
      </c>
    </row>
    <row r="243" spans="1:14">
      <c r="A243" t="s">
        <v>1414</v>
      </c>
      <c r="B243" t="s">
        <v>1415</v>
      </c>
      <c r="C243" t="s">
        <v>1416</v>
      </c>
      <c r="D243" t="s">
        <v>1417</v>
      </c>
      <c r="E243" t="s">
        <v>18</v>
      </c>
      <c r="F243" t="s">
        <v>1418</v>
      </c>
      <c r="G243" t="s">
        <v>53</v>
      </c>
      <c r="H243" t="s">
        <v>1419</v>
      </c>
      <c r="I243" t="s">
        <v>21</v>
      </c>
      <c r="J243" t="s">
        <v>81</v>
      </c>
      <c r="K243" t="s">
        <v>23</v>
      </c>
      <c r="L243">
        <v>2</v>
      </c>
      <c r="M243" t="s">
        <v>24</v>
      </c>
      <c r="N243" t="s">
        <v>25</v>
      </c>
    </row>
    <row r="244" spans="1:14">
      <c r="A244" t="s">
        <v>1420</v>
      </c>
      <c r="B244" t="s">
        <v>1421</v>
      </c>
      <c r="C244" t="s">
        <v>1422</v>
      </c>
      <c r="D244" t="s">
        <v>460</v>
      </c>
      <c r="E244" t="s">
        <v>18</v>
      </c>
      <c r="F244" t="s">
        <v>461</v>
      </c>
      <c r="G244" t="s">
        <v>462</v>
      </c>
      <c r="H244" t="s">
        <v>1423</v>
      </c>
      <c r="I244" t="s">
        <v>21</v>
      </c>
      <c r="J244" t="s">
        <v>81</v>
      </c>
      <c r="K244" t="s">
        <v>302</v>
      </c>
      <c r="M244" t="s">
        <v>176</v>
      </c>
      <c r="N244" t="s">
        <v>177</v>
      </c>
    </row>
    <row r="245" spans="1:14">
      <c r="A245" t="s">
        <v>1424</v>
      </c>
      <c r="B245" t="s">
        <v>1425</v>
      </c>
      <c r="C245" t="s">
        <v>1426</v>
      </c>
      <c r="D245" t="s">
        <v>1427</v>
      </c>
      <c r="E245" t="s">
        <v>18</v>
      </c>
      <c r="F245" t="s">
        <v>1428</v>
      </c>
      <c r="G245" t="s">
        <v>1429</v>
      </c>
      <c r="H245" t="s">
        <v>1430</v>
      </c>
      <c r="I245" t="s">
        <v>21</v>
      </c>
      <c r="J245" t="s">
        <v>22</v>
      </c>
      <c r="K245" t="s">
        <v>23</v>
      </c>
      <c r="L245">
        <v>4</v>
      </c>
      <c r="M245" t="s">
        <v>34</v>
      </c>
      <c r="N245" t="s">
        <v>25</v>
      </c>
    </row>
    <row r="246" spans="1:14">
      <c r="A246" t="s">
        <v>1431</v>
      </c>
      <c r="B246" t="s">
        <v>1432</v>
      </c>
      <c r="C246" t="s">
        <v>1433</v>
      </c>
      <c r="D246" t="s">
        <v>119</v>
      </c>
      <c r="E246" t="s">
        <v>18</v>
      </c>
      <c r="F246" t="s">
        <v>1434</v>
      </c>
      <c r="G246" t="s">
        <v>121</v>
      </c>
      <c r="H246" t="s">
        <v>1435</v>
      </c>
      <c r="I246" t="s">
        <v>21</v>
      </c>
      <c r="J246" t="s">
        <v>22</v>
      </c>
      <c r="K246" t="s">
        <v>23</v>
      </c>
      <c r="M246" t="s">
        <v>176</v>
      </c>
      <c r="N246" t="s">
        <v>177</v>
      </c>
    </row>
    <row r="247" spans="1:14">
      <c r="A247" t="s">
        <v>1436</v>
      </c>
      <c r="B247" t="s">
        <v>1437</v>
      </c>
      <c r="C247" t="s">
        <v>1438</v>
      </c>
      <c r="D247" t="s">
        <v>126</v>
      </c>
      <c r="E247" t="s">
        <v>18</v>
      </c>
      <c r="F247" t="s">
        <v>1439</v>
      </c>
      <c r="G247" t="s">
        <v>128</v>
      </c>
      <c r="H247" t="s">
        <v>1440</v>
      </c>
      <c r="I247" t="s">
        <v>21</v>
      </c>
      <c r="J247" t="s">
        <v>33</v>
      </c>
      <c r="K247" t="s">
        <v>23</v>
      </c>
      <c r="L247">
        <v>3</v>
      </c>
      <c r="M247" t="s">
        <v>42</v>
      </c>
      <c r="N247" t="s">
        <v>25</v>
      </c>
    </row>
    <row r="248" spans="1:14">
      <c r="A248" t="s">
        <v>1441</v>
      </c>
      <c r="B248" t="s">
        <v>1442</v>
      </c>
      <c r="C248" t="s">
        <v>1443</v>
      </c>
      <c r="D248" t="s">
        <v>1444</v>
      </c>
      <c r="E248" t="s">
        <v>18</v>
      </c>
      <c r="F248" t="s">
        <v>1445</v>
      </c>
      <c r="G248" t="s">
        <v>208</v>
      </c>
      <c r="H248" t="s">
        <v>1446</v>
      </c>
      <c r="I248" t="s">
        <v>21</v>
      </c>
      <c r="J248" t="s">
        <v>22</v>
      </c>
      <c r="K248" t="s">
        <v>23</v>
      </c>
      <c r="L248">
        <v>3</v>
      </c>
      <c r="M248" t="s">
        <v>42</v>
      </c>
      <c r="N248" t="s">
        <v>25</v>
      </c>
    </row>
    <row r="249" spans="1:14">
      <c r="A249" t="s">
        <v>1447</v>
      </c>
      <c r="B249" t="s">
        <v>1448</v>
      </c>
      <c r="C249" t="s">
        <v>1449</v>
      </c>
      <c r="D249" t="s">
        <v>1450</v>
      </c>
      <c r="E249" t="s">
        <v>18</v>
      </c>
      <c r="F249" t="s">
        <v>1451</v>
      </c>
      <c r="G249" t="s">
        <v>346</v>
      </c>
      <c r="H249" t="s">
        <v>1452</v>
      </c>
      <c r="I249" t="s">
        <v>21</v>
      </c>
      <c r="J249" t="s">
        <v>22</v>
      </c>
      <c r="K249" t="s">
        <v>23</v>
      </c>
      <c r="M249" t="s">
        <v>176</v>
      </c>
      <c r="N249" t="s">
        <v>177</v>
      </c>
    </row>
    <row r="250" spans="1:14">
      <c r="A250" t="s">
        <v>1453</v>
      </c>
      <c r="B250" t="s">
        <v>1454</v>
      </c>
      <c r="C250" t="s">
        <v>1455</v>
      </c>
      <c r="D250" t="s">
        <v>1456</v>
      </c>
      <c r="E250" t="s">
        <v>18</v>
      </c>
      <c r="F250" t="s">
        <v>1457</v>
      </c>
      <c r="G250" t="s">
        <v>1458</v>
      </c>
      <c r="H250" t="s">
        <v>1459</v>
      </c>
      <c r="I250" t="s">
        <v>21</v>
      </c>
      <c r="J250" t="s">
        <v>33</v>
      </c>
      <c r="K250" t="s">
        <v>23</v>
      </c>
      <c r="L250">
        <v>4</v>
      </c>
      <c r="M250" t="s">
        <v>34</v>
      </c>
      <c r="N250" t="s">
        <v>25</v>
      </c>
    </row>
    <row r="251" spans="1:14">
      <c r="A251" t="s">
        <v>1460</v>
      </c>
      <c r="B251" t="s">
        <v>1461</v>
      </c>
      <c r="C251" t="s">
        <v>1462</v>
      </c>
      <c r="D251" t="s">
        <v>645</v>
      </c>
      <c r="E251" t="s">
        <v>18</v>
      </c>
      <c r="F251" t="s">
        <v>646</v>
      </c>
      <c r="G251" t="s">
        <v>121</v>
      </c>
      <c r="H251" t="s">
        <v>1463</v>
      </c>
      <c r="I251" t="s">
        <v>21</v>
      </c>
      <c r="J251" t="s">
        <v>22</v>
      </c>
      <c r="K251" t="s">
        <v>23</v>
      </c>
      <c r="M251" t="s">
        <v>176</v>
      </c>
      <c r="N251" t="s">
        <v>177</v>
      </c>
    </row>
    <row r="252" spans="1:14">
      <c r="A252" t="s">
        <v>1464</v>
      </c>
      <c r="B252" t="s">
        <v>1465</v>
      </c>
      <c r="C252" t="s">
        <v>1466</v>
      </c>
      <c r="D252" t="s">
        <v>188</v>
      </c>
      <c r="E252" t="s">
        <v>18</v>
      </c>
      <c r="F252" t="s">
        <v>1467</v>
      </c>
      <c r="G252" t="s">
        <v>190</v>
      </c>
      <c r="H252" t="s">
        <v>1468</v>
      </c>
      <c r="I252" t="s">
        <v>21</v>
      </c>
      <c r="J252" t="s">
        <v>22</v>
      </c>
      <c r="K252" t="s">
        <v>302</v>
      </c>
      <c r="M252" t="s">
        <v>176</v>
      </c>
      <c r="N252" t="s">
        <v>177</v>
      </c>
    </row>
    <row r="253" spans="1:14">
      <c r="A253" t="s">
        <v>1469</v>
      </c>
      <c r="B253" t="s">
        <v>1470</v>
      </c>
      <c r="C253" t="s">
        <v>1471</v>
      </c>
      <c r="D253" t="s">
        <v>933</v>
      </c>
      <c r="E253" t="s">
        <v>18</v>
      </c>
      <c r="F253" t="s">
        <v>934</v>
      </c>
      <c r="G253" t="s">
        <v>121</v>
      </c>
      <c r="H253" t="s">
        <v>1472</v>
      </c>
      <c r="I253" t="s">
        <v>21</v>
      </c>
      <c r="J253" t="s">
        <v>22</v>
      </c>
      <c r="K253" t="s">
        <v>23</v>
      </c>
      <c r="M253" t="s">
        <v>176</v>
      </c>
      <c r="N253" t="s">
        <v>177</v>
      </c>
    </row>
    <row r="254" spans="1:14">
      <c r="A254" t="s">
        <v>1473</v>
      </c>
      <c r="B254" t="s">
        <v>1474</v>
      </c>
      <c r="C254" t="s">
        <v>1475</v>
      </c>
      <c r="D254" t="s">
        <v>17</v>
      </c>
      <c r="E254" t="s">
        <v>18</v>
      </c>
      <c r="F254" t="s">
        <v>1476</v>
      </c>
      <c r="G254" t="s">
        <v>17</v>
      </c>
      <c r="H254" t="s">
        <v>1477</v>
      </c>
      <c r="I254" t="s">
        <v>21</v>
      </c>
      <c r="J254" t="s">
        <v>22</v>
      </c>
      <c r="K254" t="s">
        <v>23</v>
      </c>
      <c r="L254">
        <v>2</v>
      </c>
      <c r="M254" t="s">
        <v>24</v>
      </c>
      <c r="N254" t="s">
        <v>25</v>
      </c>
    </row>
    <row r="255" spans="1:14">
      <c r="A255" t="s">
        <v>1478</v>
      </c>
      <c r="B255" t="s">
        <v>1479</v>
      </c>
      <c r="C255" t="s">
        <v>1480</v>
      </c>
      <c r="D255" t="s">
        <v>1481</v>
      </c>
      <c r="E255" t="s">
        <v>18</v>
      </c>
      <c r="F255" t="s">
        <v>1482</v>
      </c>
      <c r="G255" t="s">
        <v>128</v>
      </c>
      <c r="H255" t="s">
        <v>1483</v>
      </c>
      <c r="I255" t="s">
        <v>21</v>
      </c>
      <c r="J255" t="s">
        <v>22</v>
      </c>
      <c r="K255" t="s">
        <v>23</v>
      </c>
      <c r="M255" t="s">
        <v>176</v>
      </c>
      <c r="N255" t="s">
        <v>177</v>
      </c>
    </row>
    <row r="256" spans="1:14">
      <c r="A256" t="s">
        <v>1484</v>
      </c>
      <c r="B256" t="s">
        <v>1485</v>
      </c>
      <c r="C256" t="s">
        <v>1486</v>
      </c>
      <c r="D256" t="s">
        <v>1164</v>
      </c>
      <c r="E256" t="s">
        <v>18</v>
      </c>
      <c r="F256" t="s">
        <v>1487</v>
      </c>
      <c r="G256" t="s">
        <v>462</v>
      </c>
      <c r="H256" t="s">
        <v>1488</v>
      </c>
      <c r="I256" t="s">
        <v>21</v>
      </c>
      <c r="J256" t="s">
        <v>33</v>
      </c>
      <c r="K256" t="s">
        <v>23</v>
      </c>
      <c r="L256">
        <v>5</v>
      </c>
      <c r="M256" t="s">
        <v>168</v>
      </c>
      <c r="N256" t="s">
        <v>25</v>
      </c>
    </row>
    <row r="257" spans="1:14">
      <c r="A257" t="s">
        <v>1489</v>
      </c>
      <c r="B257" t="s">
        <v>1490</v>
      </c>
      <c r="C257" t="s">
        <v>1491</v>
      </c>
      <c r="D257" t="s">
        <v>1492</v>
      </c>
      <c r="E257" t="s">
        <v>18</v>
      </c>
      <c r="F257" t="s">
        <v>1493</v>
      </c>
      <c r="G257" t="s">
        <v>17</v>
      </c>
      <c r="H257" t="s">
        <v>1494</v>
      </c>
      <c r="I257" t="s">
        <v>21</v>
      </c>
      <c r="J257" t="s">
        <v>22</v>
      </c>
      <c r="K257" t="s">
        <v>23</v>
      </c>
      <c r="M257" t="s">
        <v>176</v>
      </c>
      <c r="N257" t="s">
        <v>177</v>
      </c>
    </row>
    <row r="258" spans="1:14">
      <c r="A258" t="s">
        <v>1495</v>
      </c>
      <c r="B258" t="s">
        <v>1496</v>
      </c>
      <c r="C258" t="s">
        <v>1497</v>
      </c>
      <c r="D258" t="s">
        <v>188</v>
      </c>
      <c r="E258" t="s">
        <v>18</v>
      </c>
      <c r="F258" t="s">
        <v>1498</v>
      </c>
      <c r="G258" t="s">
        <v>190</v>
      </c>
      <c r="H258" t="s">
        <v>1499</v>
      </c>
      <c r="I258" t="s">
        <v>21</v>
      </c>
      <c r="J258" t="s">
        <v>63</v>
      </c>
      <c r="K258" t="s">
        <v>302</v>
      </c>
      <c r="M258" t="s">
        <v>176</v>
      </c>
      <c r="N258" t="s">
        <v>1500</v>
      </c>
    </row>
    <row r="259" spans="1:14">
      <c r="A259" t="s">
        <v>1501</v>
      </c>
      <c r="B259" t="s">
        <v>1502</v>
      </c>
      <c r="C259" t="s">
        <v>1503</v>
      </c>
      <c r="D259" t="s">
        <v>1504</v>
      </c>
      <c r="E259" t="s">
        <v>18</v>
      </c>
      <c r="F259" t="s">
        <v>1505</v>
      </c>
      <c r="G259" t="s">
        <v>183</v>
      </c>
      <c r="H259" t="s">
        <v>1506</v>
      </c>
      <c r="I259" t="s">
        <v>21</v>
      </c>
      <c r="J259" t="s">
        <v>33</v>
      </c>
      <c r="K259" t="s">
        <v>23</v>
      </c>
      <c r="L259">
        <v>4</v>
      </c>
      <c r="M259" t="s">
        <v>34</v>
      </c>
      <c r="N259" t="s">
        <v>25</v>
      </c>
    </row>
    <row r="260" spans="1:14">
      <c r="A260" t="s">
        <v>1507</v>
      </c>
      <c r="B260" t="s">
        <v>1508</v>
      </c>
      <c r="C260" t="s">
        <v>1509</v>
      </c>
      <c r="D260" t="s">
        <v>1510</v>
      </c>
      <c r="E260" t="s">
        <v>18</v>
      </c>
      <c r="F260" t="s">
        <v>1511</v>
      </c>
      <c r="G260" t="s">
        <v>511</v>
      </c>
      <c r="H260" t="s">
        <v>1512</v>
      </c>
      <c r="I260" t="s">
        <v>21</v>
      </c>
      <c r="J260" t="s">
        <v>33</v>
      </c>
      <c r="K260" t="s">
        <v>23</v>
      </c>
      <c r="M260" t="s">
        <v>176</v>
      </c>
      <c r="N260" t="s">
        <v>177</v>
      </c>
    </row>
    <row r="261" spans="1:14">
      <c r="A261" t="s">
        <v>1513</v>
      </c>
      <c r="B261" t="s">
        <v>1514</v>
      </c>
      <c r="C261" t="s">
        <v>1515</v>
      </c>
      <c r="D261" t="s">
        <v>1224</v>
      </c>
      <c r="E261" t="s">
        <v>18</v>
      </c>
      <c r="F261" t="s">
        <v>1225</v>
      </c>
      <c r="G261" t="s">
        <v>128</v>
      </c>
      <c r="H261" t="s">
        <v>1516</v>
      </c>
      <c r="I261" t="s">
        <v>21</v>
      </c>
      <c r="J261" t="s">
        <v>22</v>
      </c>
      <c r="K261" t="s">
        <v>23</v>
      </c>
      <c r="M261" t="s">
        <v>176</v>
      </c>
      <c r="N261" t="s">
        <v>177</v>
      </c>
    </row>
    <row r="262" spans="1:14">
      <c r="A262" t="s">
        <v>1517</v>
      </c>
      <c r="B262" t="s">
        <v>1518</v>
      </c>
      <c r="C262" t="s">
        <v>1519</v>
      </c>
      <c r="D262" t="s">
        <v>1520</v>
      </c>
      <c r="E262" t="s">
        <v>18</v>
      </c>
      <c r="F262" t="s">
        <v>1521</v>
      </c>
      <c r="G262" t="s">
        <v>1522</v>
      </c>
      <c r="H262" t="s">
        <v>1523</v>
      </c>
      <c r="I262" t="s">
        <v>21</v>
      </c>
      <c r="J262" t="s">
        <v>22</v>
      </c>
      <c r="K262" t="s">
        <v>23</v>
      </c>
      <c r="M262" t="s">
        <v>176</v>
      </c>
      <c r="N262" t="s">
        <v>177</v>
      </c>
    </row>
    <row r="263" spans="1:14">
      <c r="A263" t="s">
        <v>1524</v>
      </c>
      <c r="B263" t="s">
        <v>1525</v>
      </c>
      <c r="C263" t="s">
        <v>1526</v>
      </c>
      <c r="D263" t="s">
        <v>119</v>
      </c>
      <c r="E263" t="s">
        <v>18</v>
      </c>
      <c r="F263" t="s">
        <v>1527</v>
      </c>
      <c r="G263" t="s">
        <v>121</v>
      </c>
      <c r="H263" t="s">
        <v>1528</v>
      </c>
      <c r="I263" t="s">
        <v>21</v>
      </c>
      <c r="J263" t="s">
        <v>22</v>
      </c>
      <c r="K263" t="s">
        <v>23</v>
      </c>
      <c r="M263" t="s">
        <v>176</v>
      </c>
      <c r="N263" t="s">
        <v>177</v>
      </c>
    </row>
    <row r="264" spans="1:14">
      <c r="A264" t="s">
        <v>1529</v>
      </c>
      <c r="B264" t="s">
        <v>1530</v>
      </c>
      <c r="C264" t="s">
        <v>1531</v>
      </c>
      <c r="D264" t="s">
        <v>181</v>
      </c>
      <c r="E264" t="s">
        <v>18</v>
      </c>
      <c r="F264" t="s">
        <v>1532</v>
      </c>
      <c r="G264" t="s">
        <v>183</v>
      </c>
      <c r="H264" t="s">
        <v>1533</v>
      </c>
      <c r="I264" t="s">
        <v>21</v>
      </c>
      <c r="J264" t="s">
        <v>33</v>
      </c>
      <c r="K264" t="s">
        <v>302</v>
      </c>
      <c r="M264" t="s">
        <v>176</v>
      </c>
      <c r="N264" t="s">
        <v>177</v>
      </c>
    </row>
    <row r="265" spans="1:14">
      <c r="A265" t="s">
        <v>1534</v>
      </c>
      <c r="B265" t="s">
        <v>1535</v>
      </c>
      <c r="C265" t="s">
        <v>1536</v>
      </c>
      <c r="D265" t="s">
        <v>1145</v>
      </c>
      <c r="E265" t="s">
        <v>18</v>
      </c>
      <c r="F265" t="s">
        <v>1537</v>
      </c>
      <c r="G265" t="s">
        <v>808</v>
      </c>
      <c r="H265" t="s">
        <v>1538</v>
      </c>
      <c r="I265" t="s">
        <v>21</v>
      </c>
      <c r="J265" t="s">
        <v>33</v>
      </c>
      <c r="K265" t="s">
        <v>23</v>
      </c>
      <c r="L265">
        <v>4</v>
      </c>
      <c r="M265" t="s">
        <v>34</v>
      </c>
      <c r="N265" t="s">
        <v>25</v>
      </c>
    </row>
    <row r="266" spans="1:14">
      <c r="A266" t="s">
        <v>1539</v>
      </c>
      <c r="B266" t="s">
        <v>1540</v>
      </c>
      <c r="C266" t="s">
        <v>1541</v>
      </c>
      <c r="D266" t="s">
        <v>736</v>
      </c>
      <c r="E266" t="s">
        <v>18</v>
      </c>
      <c r="F266" t="s">
        <v>737</v>
      </c>
      <c r="G266" t="s">
        <v>128</v>
      </c>
      <c r="H266" t="s">
        <v>1542</v>
      </c>
      <c r="I266" t="s">
        <v>21</v>
      </c>
      <c r="J266" t="s">
        <v>22</v>
      </c>
      <c r="K266" t="s">
        <v>302</v>
      </c>
      <c r="M266" t="s">
        <v>176</v>
      </c>
      <c r="N266" t="s">
        <v>177</v>
      </c>
    </row>
    <row r="267" spans="1:14">
      <c r="A267" t="s">
        <v>1543</v>
      </c>
      <c r="B267" t="s">
        <v>1544</v>
      </c>
      <c r="C267" t="s">
        <v>1545</v>
      </c>
      <c r="D267" t="s">
        <v>933</v>
      </c>
      <c r="E267" t="s">
        <v>18</v>
      </c>
      <c r="F267" t="s">
        <v>934</v>
      </c>
      <c r="G267" t="s">
        <v>121</v>
      </c>
      <c r="H267" t="s">
        <v>1546</v>
      </c>
      <c r="I267" t="s">
        <v>21</v>
      </c>
      <c r="J267" t="s">
        <v>22</v>
      </c>
      <c r="K267" t="s">
        <v>23</v>
      </c>
      <c r="M267" t="s">
        <v>176</v>
      </c>
      <c r="N267" t="s">
        <v>177</v>
      </c>
    </row>
    <row r="268" spans="1:14">
      <c r="A268" t="s">
        <v>1547</v>
      </c>
      <c r="B268" t="s">
        <v>1548</v>
      </c>
      <c r="C268" t="s">
        <v>1549</v>
      </c>
      <c r="D268" t="s">
        <v>1550</v>
      </c>
      <c r="E268" t="s">
        <v>18</v>
      </c>
      <c r="F268" t="s">
        <v>1551</v>
      </c>
      <c r="G268" t="s">
        <v>462</v>
      </c>
      <c r="H268" t="s">
        <v>1552</v>
      </c>
      <c r="I268" t="s">
        <v>21</v>
      </c>
      <c r="J268" t="s">
        <v>22</v>
      </c>
      <c r="K268" t="s">
        <v>23</v>
      </c>
      <c r="M268" t="s">
        <v>176</v>
      </c>
      <c r="N268" t="s">
        <v>177</v>
      </c>
    </row>
    <row r="269" spans="1:14">
      <c r="A269" t="s">
        <v>1553</v>
      </c>
      <c r="B269" t="s">
        <v>1554</v>
      </c>
      <c r="C269" t="s">
        <v>1555</v>
      </c>
      <c r="D269" t="s">
        <v>1043</v>
      </c>
      <c r="E269" t="s">
        <v>18</v>
      </c>
      <c r="F269" t="s">
        <v>1251</v>
      </c>
      <c r="G269" t="s">
        <v>121</v>
      </c>
      <c r="H269" t="s">
        <v>1556</v>
      </c>
      <c r="I269" t="s">
        <v>21</v>
      </c>
      <c r="J269" t="s">
        <v>22</v>
      </c>
      <c r="K269" t="s">
        <v>302</v>
      </c>
      <c r="M269" t="s">
        <v>176</v>
      </c>
      <c r="N269" t="s">
        <v>177</v>
      </c>
    </row>
    <row r="270" spans="1:14">
      <c r="A270" t="s">
        <v>1557</v>
      </c>
      <c r="B270" t="s">
        <v>1558</v>
      </c>
      <c r="C270" t="s">
        <v>1559</v>
      </c>
      <c r="D270" t="s">
        <v>1560</v>
      </c>
      <c r="E270" t="s">
        <v>18</v>
      </c>
      <c r="F270" t="s">
        <v>1561</v>
      </c>
      <c r="G270" t="s">
        <v>585</v>
      </c>
      <c r="H270" t="s">
        <v>1562</v>
      </c>
      <c r="I270" t="s">
        <v>21</v>
      </c>
      <c r="J270" t="s">
        <v>33</v>
      </c>
      <c r="K270" t="s">
        <v>23</v>
      </c>
      <c r="L270">
        <v>4</v>
      </c>
      <c r="M270" t="s">
        <v>34</v>
      </c>
      <c r="N270" t="s">
        <v>25</v>
      </c>
    </row>
    <row r="271" spans="1:14">
      <c r="A271" t="s">
        <v>1563</v>
      </c>
      <c r="B271" t="s">
        <v>1564</v>
      </c>
      <c r="C271" t="s">
        <v>1565</v>
      </c>
      <c r="D271" t="s">
        <v>1269</v>
      </c>
      <c r="E271" t="s">
        <v>18</v>
      </c>
      <c r="F271" t="s">
        <v>1270</v>
      </c>
      <c r="G271" t="s">
        <v>128</v>
      </c>
      <c r="H271" t="s">
        <v>1566</v>
      </c>
      <c r="I271" t="s">
        <v>21</v>
      </c>
      <c r="J271" t="s">
        <v>22</v>
      </c>
      <c r="K271" t="s">
        <v>23</v>
      </c>
      <c r="L271">
        <v>5</v>
      </c>
      <c r="M271" t="s">
        <v>168</v>
      </c>
      <c r="N271" t="s">
        <v>25</v>
      </c>
    </row>
    <row r="272" spans="1:14">
      <c r="A272" t="s">
        <v>1567</v>
      </c>
      <c r="B272" t="s">
        <v>1568</v>
      </c>
      <c r="C272" t="s">
        <v>1569</v>
      </c>
      <c r="D272" t="s">
        <v>1078</v>
      </c>
      <c r="E272" t="s">
        <v>18</v>
      </c>
      <c r="F272" t="s">
        <v>1079</v>
      </c>
      <c r="G272" t="s">
        <v>535</v>
      </c>
      <c r="H272" t="s">
        <v>1570</v>
      </c>
      <c r="I272" t="s">
        <v>21</v>
      </c>
      <c r="J272" t="s">
        <v>22</v>
      </c>
      <c r="K272" t="s">
        <v>23</v>
      </c>
      <c r="M272" t="s">
        <v>176</v>
      </c>
      <c r="N272" t="s">
        <v>177</v>
      </c>
    </row>
    <row r="273" spans="1:14">
      <c r="A273" t="s">
        <v>1571</v>
      </c>
      <c r="B273" t="s">
        <v>1572</v>
      </c>
      <c r="C273" t="s">
        <v>1573</v>
      </c>
      <c r="D273" t="s">
        <v>119</v>
      </c>
      <c r="E273" t="s">
        <v>18</v>
      </c>
      <c r="F273" t="s">
        <v>1574</v>
      </c>
      <c r="G273" t="s">
        <v>121</v>
      </c>
      <c r="H273" t="s">
        <v>1575</v>
      </c>
      <c r="I273" t="s">
        <v>21</v>
      </c>
      <c r="J273" t="s">
        <v>22</v>
      </c>
      <c r="K273" t="s">
        <v>23</v>
      </c>
      <c r="M273" t="s">
        <v>176</v>
      </c>
      <c r="N273" t="s">
        <v>168</v>
      </c>
    </row>
    <row r="274" spans="1:14">
      <c r="A274" t="s">
        <v>1576</v>
      </c>
      <c r="B274" t="s">
        <v>1577</v>
      </c>
      <c r="C274" t="s">
        <v>1578</v>
      </c>
      <c r="D274" t="s">
        <v>53</v>
      </c>
      <c r="E274" t="s">
        <v>18</v>
      </c>
      <c r="F274" t="s">
        <v>675</v>
      </c>
      <c r="G274" t="s">
        <v>53</v>
      </c>
      <c r="H274" t="s">
        <v>1579</v>
      </c>
      <c r="I274" t="s">
        <v>21</v>
      </c>
      <c r="J274" t="s">
        <v>22</v>
      </c>
      <c r="K274" t="s">
        <v>23</v>
      </c>
      <c r="M274" t="s">
        <v>176</v>
      </c>
      <c r="N274" t="s">
        <v>177</v>
      </c>
    </row>
    <row r="275" spans="1:14">
      <c r="A275" t="s">
        <v>1580</v>
      </c>
      <c r="B275" t="s">
        <v>1581</v>
      </c>
      <c r="C275" t="s">
        <v>1582</v>
      </c>
      <c r="D275" t="s">
        <v>847</v>
      </c>
      <c r="E275" t="s">
        <v>18</v>
      </c>
      <c r="F275" t="s">
        <v>848</v>
      </c>
      <c r="G275" t="s">
        <v>629</v>
      </c>
      <c r="H275" t="s">
        <v>1583</v>
      </c>
      <c r="I275" t="s">
        <v>21</v>
      </c>
      <c r="J275" t="s">
        <v>22</v>
      </c>
      <c r="K275" t="s">
        <v>23</v>
      </c>
      <c r="M275" t="s">
        <v>176</v>
      </c>
      <c r="N275" t="s">
        <v>177</v>
      </c>
    </row>
    <row r="276" spans="1:14">
      <c r="A276" t="s">
        <v>1584</v>
      </c>
      <c r="B276" t="s">
        <v>1585</v>
      </c>
      <c r="C276" t="s">
        <v>1586</v>
      </c>
      <c r="D276" t="s">
        <v>991</v>
      </c>
      <c r="E276" t="s">
        <v>18</v>
      </c>
      <c r="F276" t="s">
        <v>992</v>
      </c>
      <c r="G276" t="s">
        <v>993</v>
      </c>
      <c r="H276" t="s">
        <v>1587</v>
      </c>
      <c r="I276" t="s">
        <v>21</v>
      </c>
      <c r="J276" t="s">
        <v>22</v>
      </c>
      <c r="K276" t="s">
        <v>302</v>
      </c>
      <c r="M276" t="s">
        <v>176</v>
      </c>
      <c r="N276" t="s">
        <v>168</v>
      </c>
    </row>
    <row r="277" spans="1:14">
      <c r="A277" t="s">
        <v>1588</v>
      </c>
      <c r="B277" t="s">
        <v>1589</v>
      </c>
      <c r="C277" t="s">
        <v>1590</v>
      </c>
      <c r="D277" t="s">
        <v>133</v>
      </c>
      <c r="E277" t="s">
        <v>18</v>
      </c>
      <c r="F277" t="s">
        <v>1591</v>
      </c>
      <c r="G277" t="s">
        <v>133</v>
      </c>
      <c r="H277" t="s">
        <v>1592</v>
      </c>
      <c r="I277" t="s">
        <v>21</v>
      </c>
      <c r="J277" t="s">
        <v>22</v>
      </c>
      <c r="K277" t="s">
        <v>23</v>
      </c>
      <c r="M277" t="s">
        <v>176</v>
      </c>
      <c r="N277" t="s">
        <v>1500</v>
      </c>
    </row>
    <row r="278" spans="1:14">
      <c r="A278" t="s">
        <v>1593</v>
      </c>
      <c r="B278" t="s">
        <v>1594</v>
      </c>
      <c r="C278" t="s">
        <v>1595</v>
      </c>
      <c r="D278" t="s">
        <v>1596</v>
      </c>
      <c r="E278" t="s">
        <v>18</v>
      </c>
      <c r="F278" t="s">
        <v>1597</v>
      </c>
      <c r="G278" t="s">
        <v>1596</v>
      </c>
      <c r="H278" t="s">
        <v>1598</v>
      </c>
      <c r="I278" t="s">
        <v>21</v>
      </c>
      <c r="J278" t="s">
        <v>75</v>
      </c>
      <c r="K278" t="s">
        <v>23</v>
      </c>
      <c r="M278" t="s">
        <v>176</v>
      </c>
      <c r="N278" t="s">
        <v>168</v>
      </c>
    </row>
    <row r="279" spans="1:14">
      <c r="A279" t="s">
        <v>1599</v>
      </c>
      <c r="B279" t="s">
        <v>1600</v>
      </c>
      <c r="C279" t="s">
        <v>1601</v>
      </c>
      <c r="D279" t="s">
        <v>188</v>
      </c>
      <c r="E279" t="s">
        <v>18</v>
      </c>
      <c r="F279" t="s">
        <v>491</v>
      </c>
      <c r="G279" t="s">
        <v>190</v>
      </c>
      <c r="H279" t="s">
        <v>1602</v>
      </c>
      <c r="I279" t="s">
        <v>21</v>
      </c>
      <c r="J279" t="s">
        <v>22</v>
      </c>
      <c r="K279" t="s">
        <v>23</v>
      </c>
      <c r="M279" t="s">
        <v>176</v>
      </c>
      <c r="N279" t="s">
        <v>168</v>
      </c>
    </row>
    <row r="280" spans="1:14">
      <c r="A280" t="s">
        <v>1603</v>
      </c>
      <c r="B280" t="s">
        <v>1604</v>
      </c>
      <c r="C280" t="s">
        <v>1605</v>
      </c>
      <c r="D280" t="s">
        <v>188</v>
      </c>
      <c r="E280" t="s">
        <v>18</v>
      </c>
      <c r="F280" t="s">
        <v>455</v>
      </c>
      <c r="G280" t="s">
        <v>190</v>
      </c>
      <c r="H280" t="s">
        <v>1606</v>
      </c>
      <c r="I280" t="s">
        <v>21</v>
      </c>
      <c r="J280" t="s">
        <v>63</v>
      </c>
      <c r="K280" t="s">
        <v>302</v>
      </c>
      <c r="M280" t="s">
        <v>176</v>
      </c>
      <c r="N280" t="s">
        <v>168</v>
      </c>
    </row>
    <row r="281" spans="1:14">
      <c r="A281" t="s">
        <v>1607</v>
      </c>
      <c r="B281" t="s">
        <v>1608</v>
      </c>
      <c r="C281" t="s">
        <v>1609</v>
      </c>
      <c r="D281" t="s">
        <v>188</v>
      </c>
      <c r="E281" t="s">
        <v>18</v>
      </c>
      <c r="F281" t="s">
        <v>1610</v>
      </c>
      <c r="G281" t="s">
        <v>190</v>
      </c>
      <c r="H281" t="s">
        <v>1611</v>
      </c>
      <c r="I281" t="s">
        <v>21</v>
      </c>
      <c r="J281" t="s">
        <v>22</v>
      </c>
      <c r="K281" t="s">
        <v>23</v>
      </c>
      <c r="M281" t="s">
        <v>176</v>
      </c>
      <c r="N281" t="s">
        <v>1500</v>
      </c>
    </row>
    <row r="282" spans="1:14">
      <c r="A282" t="s">
        <v>1612</v>
      </c>
      <c r="B282" t="s">
        <v>1613</v>
      </c>
      <c r="C282" t="s">
        <v>1614</v>
      </c>
      <c r="D282" t="s">
        <v>1615</v>
      </c>
      <c r="E282" t="s">
        <v>18</v>
      </c>
      <c r="F282" t="s">
        <v>1616</v>
      </c>
      <c r="G282" t="s">
        <v>629</v>
      </c>
      <c r="H282" t="s">
        <v>1617</v>
      </c>
      <c r="I282" t="s">
        <v>21</v>
      </c>
      <c r="J282" t="s">
        <v>33</v>
      </c>
      <c r="K282" t="s">
        <v>23</v>
      </c>
      <c r="M282" t="s">
        <v>176</v>
      </c>
      <c r="N282" t="s">
        <v>168</v>
      </c>
    </row>
    <row r="283" spans="1:14">
      <c r="A283" t="s">
        <v>1618</v>
      </c>
      <c r="B283" t="s">
        <v>1619</v>
      </c>
      <c r="C283" t="s">
        <v>1620</v>
      </c>
      <c r="D283" t="s">
        <v>1621</v>
      </c>
      <c r="E283" t="s">
        <v>18</v>
      </c>
      <c r="F283" t="s">
        <v>1622</v>
      </c>
      <c r="G283" t="s">
        <v>121</v>
      </c>
      <c r="H283" t="s">
        <v>1623</v>
      </c>
      <c r="I283" t="s">
        <v>21</v>
      </c>
      <c r="J283" t="s">
        <v>33</v>
      </c>
      <c r="K283" t="s">
        <v>23</v>
      </c>
      <c r="M283" t="s">
        <v>176</v>
      </c>
      <c r="N283" t="s">
        <v>168</v>
      </c>
    </row>
    <row r="284" spans="1:14">
      <c r="A284" t="s">
        <v>1624</v>
      </c>
      <c r="B284" t="s">
        <v>1625</v>
      </c>
      <c r="C284" t="s">
        <v>1626</v>
      </c>
      <c r="D284" t="s">
        <v>1627</v>
      </c>
      <c r="E284" t="s">
        <v>18</v>
      </c>
      <c r="F284" t="s">
        <v>1628</v>
      </c>
      <c r="G284" t="s">
        <v>1629</v>
      </c>
      <c r="H284" t="s">
        <v>1630</v>
      </c>
      <c r="I284" t="s">
        <v>21</v>
      </c>
      <c r="J284" t="s">
        <v>33</v>
      </c>
      <c r="K284" t="s">
        <v>23</v>
      </c>
      <c r="M284" t="s">
        <v>176</v>
      </c>
      <c r="N284" t="s">
        <v>168</v>
      </c>
    </row>
    <row r="285" spans="1:14">
      <c r="A285" t="s">
        <v>1631</v>
      </c>
      <c r="B285" t="s">
        <v>1632</v>
      </c>
      <c r="C285" t="s">
        <v>1633</v>
      </c>
      <c r="D285" t="s">
        <v>903</v>
      </c>
      <c r="E285" t="s">
        <v>18</v>
      </c>
      <c r="F285" t="s">
        <v>904</v>
      </c>
      <c r="G285" t="s">
        <v>121</v>
      </c>
      <c r="H285" t="s">
        <v>1634</v>
      </c>
      <c r="I285" t="s">
        <v>21</v>
      </c>
      <c r="J285" t="s">
        <v>81</v>
      </c>
      <c r="K285" t="s">
        <v>302</v>
      </c>
      <c r="M285" t="s">
        <v>176</v>
      </c>
      <c r="N285" t="s">
        <v>168</v>
      </c>
    </row>
    <row r="286" spans="1:14">
      <c r="A286" t="s">
        <v>1635</v>
      </c>
      <c r="B286" t="s">
        <v>1636</v>
      </c>
      <c r="C286" t="s">
        <v>1637</v>
      </c>
      <c r="D286" t="s">
        <v>1145</v>
      </c>
      <c r="E286" t="s">
        <v>18</v>
      </c>
      <c r="F286" t="s">
        <v>1537</v>
      </c>
      <c r="G286" t="s">
        <v>808</v>
      </c>
      <c r="H286" t="s">
        <v>1638</v>
      </c>
      <c r="I286" t="s">
        <v>21</v>
      </c>
      <c r="J286" t="s">
        <v>33</v>
      </c>
      <c r="K286" t="s">
        <v>23</v>
      </c>
      <c r="M286" t="s">
        <v>176</v>
      </c>
      <c r="N286" t="s">
        <v>168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77260-5225-4E1A-B729-05394AEE37E2}">
  <dimension ref="A1:K286"/>
  <sheetViews>
    <sheetView topLeftCell="B41" workbookViewId="0">
      <selection activeCell="J49" sqref="J49"/>
    </sheetView>
  </sheetViews>
  <sheetFormatPr defaultRowHeight="14.5"/>
  <cols>
    <col min="1" max="1" width="11.90625" bestFit="1" customWidth="1"/>
    <col min="2" max="2" width="26.1796875" style="2" bestFit="1" customWidth="1"/>
    <col min="3" max="3" width="26.81640625" style="2" bestFit="1" customWidth="1"/>
    <col min="4" max="4" width="29.08984375" style="2" bestFit="1" customWidth="1"/>
    <col min="5" max="5" width="19.26953125" style="2" bestFit="1" customWidth="1"/>
    <col min="6" max="6" width="24.7265625" style="2" bestFit="1" customWidth="1"/>
    <col min="7" max="7" width="26.54296875" style="2" bestFit="1" customWidth="1"/>
    <col min="8" max="8" width="24.36328125" bestFit="1" customWidth="1"/>
    <col min="9" max="9" width="26.1796875" style="2" bestFit="1" customWidth="1"/>
    <col min="10" max="10" width="19.90625" bestFit="1" customWidth="1"/>
    <col min="11" max="11" width="19" bestFit="1" customWidth="1"/>
  </cols>
  <sheetData>
    <row r="1" spans="1:11">
      <c r="A1" t="s">
        <v>0</v>
      </c>
      <c r="B1" s="2" t="s">
        <v>1639</v>
      </c>
      <c r="C1" s="2" t="s">
        <v>1640</v>
      </c>
      <c r="D1" s="2" t="s">
        <v>1641</v>
      </c>
      <c r="E1" s="2" t="s">
        <v>1642</v>
      </c>
      <c r="F1" s="2" t="s">
        <v>1643</v>
      </c>
      <c r="G1" s="2" t="s">
        <v>1644</v>
      </c>
      <c r="H1" t="s">
        <v>1645</v>
      </c>
      <c r="I1" s="2" t="s">
        <v>1646</v>
      </c>
      <c r="J1" t="s">
        <v>1647</v>
      </c>
      <c r="K1" t="s">
        <v>1648</v>
      </c>
    </row>
    <row r="2" spans="1:11">
      <c r="A2" t="s">
        <v>14</v>
      </c>
      <c r="B2" s="2">
        <v>64</v>
      </c>
      <c r="C2" s="2">
        <v>68</v>
      </c>
      <c r="D2" s="2">
        <v>54</v>
      </c>
      <c r="E2" s="2">
        <v>82</v>
      </c>
      <c r="F2" s="2">
        <v>52</v>
      </c>
      <c r="G2" s="2">
        <v>54</v>
      </c>
      <c r="H2" t="s">
        <v>1649</v>
      </c>
      <c r="I2" s="2">
        <v>10</v>
      </c>
      <c r="J2" s="1">
        <v>45474</v>
      </c>
      <c r="K2" s="1">
        <v>45838</v>
      </c>
    </row>
    <row r="3" spans="1:11">
      <c r="A3" t="s">
        <v>26</v>
      </c>
      <c r="B3" s="2">
        <v>81</v>
      </c>
      <c r="C3" s="2">
        <v>78</v>
      </c>
      <c r="D3" s="2">
        <v>64</v>
      </c>
      <c r="E3" s="2">
        <v>91</v>
      </c>
      <c r="F3" s="2">
        <v>81</v>
      </c>
      <c r="G3" s="2">
        <v>80</v>
      </c>
      <c r="H3" t="s">
        <v>1650</v>
      </c>
      <c r="I3" s="2">
        <v>22</v>
      </c>
      <c r="J3" s="1">
        <v>45474</v>
      </c>
      <c r="K3" s="1">
        <v>45838</v>
      </c>
    </row>
    <row r="4" spans="1:11">
      <c r="A4" t="s">
        <v>35</v>
      </c>
      <c r="B4" s="2">
        <v>79</v>
      </c>
      <c r="C4" s="2">
        <v>75</v>
      </c>
      <c r="D4" s="2">
        <v>58</v>
      </c>
      <c r="E4" s="2">
        <v>87</v>
      </c>
      <c r="F4" s="2">
        <v>71</v>
      </c>
      <c r="G4" s="2">
        <v>71</v>
      </c>
      <c r="H4" t="s">
        <v>1651</v>
      </c>
      <c r="I4" s="2">
        <v>20</v>
      </c>
      <c r="J4" s="1">
        <v>45474</v>
      </c>
      <c r="K4" s="1">
        <v>45838</v>
      </c>
    </row>
    <row r="5" spans="1:11">
      <c r="A5" t="s">
        <v>43</v>
      </c>
      <c r="B5" s="2">
        <v>77</v>
      </c>
      <c r="C5" s="2">
        <v>77</v>
      </c>
      <c r="D5" s="2">
        <v>61</v>
      </c>
      <c r="E5" s="2">
        <v>83</v>
      </c>
      <c r="F5" s="2">
        <v>66</v>
      </c>
      <c r="G5" s="2">
        <v>66</v>
      </c>
      <c r="H5" t="s">
        <v>1652</v>
      </c>
      <c r="I5" s="2">
        <v>13</v>
      </c>
      <c r="J5" s="1">
        <v>45474</v>
      </c>
      <c r="K5" s="1">
        <v>45838</v>
      </c>
    </row>
    <row r="6" spans="1:11">
      <c r="A6" t="s">
        <v>50</v>
      </c>
      <c r="B6" s="2">
        <v>73</v>
      </c>
      <c r="C6" s="2">
        <v>76</v>
      </c>
      <c r="D6" s="2">
        <v>56</v>
      </c>
      <c r="E6" s="2">
        <v>85</v>
      </c>
      <c r="F6" s="2">
        <v>70</v>
      </c>
      <c r="G6" s="2">
        <v>70</v>
      </c>
      <c r="H6" t="s">
        <v>1653</v>
      </c>
      <c r="I6" s="2">
        <v>6</v>
      </c>
      <c r="J6" s="1">
        <v>45474</v>
      </c>
      <c r="K6" s="1">
        <v>45838</v>
      </c>
    </row>
    <row r="7" spans="1:11">
      <c r="A7" t="s">
        <v>57</v>
      </c>
      <c r="B7" s="2">
        <v>77</v>
      </c>
      <c r="C7" s="2">
        <v>76</v>
      </c>
      <c r="D7" s="2">
        <v>61</v>
      </c>
      <c r="E7" s="2">
        <v>85</v>
      </c>
      <c r="F7" s="2">
        <v>74</v>
      </c>
      <c r="G7" s="2">
        <v>72</v>
      </c>
      <c r="H7" t="s">
        <v>1654</v>
      </c>
      <c r="I7" s="2">
        <v>11</v>
      </c>
      <c r="J7" s="1">
        <v>45474</v>
      </c>
      <c r="K7" s="1">
        <v>45838</v>
      </c>
    </row>
    <row r="8" spans="1:11">
      <c r="A8" t="s">
        <v>64</v>
      </c>
      <c r="B8" s="2">
        <v>78</v>
      </c>
      <c r="C8" s="2">
        <v>80</v>
      </c>
      <c r="D8" s="2">
        <v>60</v>
      </c>
      <c r="E8" s="2">
        <v>87</v>
      </c>
      <c r="F8" s="2">
        <v>71</v>
      </c>
      <c r="G8" s="2">
        <v>74</v>
      </c>
      <c r="H8" t="s">
        <v>1655</v>
      </c>
      <c r="I8" s="2">
        <v>12</v>
      </c>
      <c r="J8" s="1">
        <v>45474</v>
      </c>
      <c r="K8" s="1">
        <v>45838</v>
      </c>
    </row>
    <row r="9" spans="1:11">
      <c r="A9" t="s">
        <v>69</v>
      </c>
      <c r="B9" s="2">
        <v>80</v>
      </c>
      <c r="C9" s="2">
        <v>79</v>
      </c>
      <c r="D9" s="2">
        <v>61</v>
      </c>
      <c r="E9" s="2">
        <v>83</v>
      </c>
      <c r="F9" s="2">
        <v>73</v>
      </c>
      <c r="G9" s="2">
        <v>73</v>
      </c>
      <c r="H9" t="s">
        <v>1656</v>
      </c>
      <c r="I9" s="2">
        <v>19</v>
      </c>
      <c r="J9" s="1">
        <v>45474</v>
      </c>
      <c r="K9" s="1">
        <v>45838</v>
      </c>
    </row>
    <row r="10" spans="1:11">
      <c r="A10" t="s">
        <v>76</v>
      </c>
      <c r="B10" s="2">
        <v>73</v>
      </c>
      <c r="C10" s="2">
        <v>75</v>
      </c>
      <c r="D10" s="2">
        <v>56</v>
      </c>
      <c r="E10" s="2">
        <v>84</v>
      </c>
      <c r="F10" s="2">
        <v>68</v>
      </c>
      <c r="G10" s="2">
        <v>70</v>
      </c>
      <c r="H10" t="s">
        <v>1657</v>
      </c>
      <c r="I10" s="2">
        <v>24</v>
      </c>
      <c r="J10" s="1">
        <v>45474</v>
      </c>
      <c r="K10" s="1">
        <v>45838</v>
      </c>
    </row>
    <row r="11" spans="1:11">
      <c r="A11" t="s">
        <v>82</v>
      </c>
      <c r="B11" s="2">
        <v>66</v>
      </c>
      <c r="C11" s="2">
        <v>69</v>
      </c>
      <c r="D11" s="2">
        <v>51</v>
      </c>
      <c r="E11" s="2">
        <v>81</v>
      </c>
      <c r="F11" s="2">
        <v>58</v>
      </c>
      <c r="G11" s="2">
        <v>58</v>
      </c>
      <c r="H11" t="s">
        <v>1658</v>
      </c>
      <c r="I11" s="2">
        <v>8</v>
      </c>
      <c r="J11" s="1">
        <v>45474</v>
      </c>
      <c r="K11" s="1">
        <v>45838</v>
      </c>
    </row>
    <row r="12" spans="1:11">
      <c r="A12" t="s">
        <v>89</v>
      </c>
      <c r="B12" s="2">
        <v>74</v>
      </c>
      <c r="C12" s="2">
        <v>75</v>
      </c>
      <c r="D12" s="2">
        <v>56</v>
      </c>
      <c r="E12" s="2">
        <v>80</v>
      </c>
      <c r="F12" s="2">
        <v>59</v>
      </c>
      <c r="G12" s="2">
        <v>59</v>
      </c>
      <c r="H12" t="s">
        <v>1659</v>
      </c>
      <c r="I12" s="2">
        <v>7</v>
      </c>
      <c r="J12" s="1">
        <v>45474</v>
      </c>
      <c r="K12" s="1">
        <v>45838</v>
      </c>
    </row>
    <row r="13" spans="1:11">
      <c r="A13" t="s">
        <v>96</v>
      </c>
      <c r="B13" s="2">
        <v>81</v>
      </c>
      <c r="C13" s="2">
        <v>78</v>
      </c>
      <c r="D13" s="2">
        <v>67</v>
      </c>
      <c r="E13" s="2">
        <v>85</v>
      </c>
      <c r="F13" s="2">
        <v>72</v>
      </c>
      <c r="G13" s="2">
        <v>71</v>
      </c>
      <c r="H13" t="s">
        <v>1660</v>
      </c>
      <c r="I13" s="2">
        <v>15</v>
      </c>
      <c r="J13" s="1">
        <v>45474</v>
      </c>
      <c r="K13" s="1">
        <v>45838</v>
      </c>
    </row>
    <row r="14" spans="1:11">
      <c r="A14" t="s">
        <v>103</v>
      </c>
      <c r="B14" s="2">
        <v>74</v>
      </c>
      <c r="C14" s="2">
        <v>75</v>
      </c>
      <c r="D14" s="2">
        <v>62</v>
      </c>
      <c r="E14" s="2">
        <v>83</v>
      </c>
      <c r="F14" s="2">
        <v>63</v>
      </c>
      <c r="G14" s="2">
        <v>63</v>
      </c>
      <c r="H14" t="s">
        <v>1661</v>
      </c>
      <c r="I14" s="2">
        <v>11</v>
      </c>
      <c r="J14" s="1">
        <v>45474</v>
      </c>
      <c r="K14" s="1">
        <v>45838</v>
      </c>
    </row>
    <row r="15" spans="1:11">
      <c r="A15" t="s">
        <v>109</v>
      </c>
      <c r="B15" s="2">
        <v>76</v>
      </c>
      <c r="C15" s="2">
        <v>76</v>
      </c>
      <c r="D15" s="2">
        <v>60</v>
      </c>
      <c r="E15" s="2">
        <v>83</v>
      </c>
      <c r="F15" s="2">
        <v>66</v>
      </c>
      <c r="G15" s="2">
        <v>67</v>
      </c>
      <c r="H15" t="s">
        <v>1662</v>
      </c>
      <c r="I15" s="2">
        <v>13</v>
      </c>
      <c r="J15" s="1">
        <v>45474</v>
      </c>
      <c r="K15" s="1">
        <v>45838</v>
      </c>
    </row>
    <row r="16" spans="1:11">
      <c r="A16" t="s">
        <v>116</v>
      </c>
      <c r="B16" s="2">
        <v>74</v>
      </c>
      <c r="C16" s="2">
        <v>74</v>
      </c>
      <c r="D16" s="2">
        <v>56</v>
      </c>
      <c r="E16" s="2">
        <v>77</v>
      </c>
      <c r="F16" s="2">
        <v>60</v>
      </c>
      <c r="G16" s="2">
        <v>56</v>
      </c>
      <c r="H16" t="s">
        <v>1663</v>
      </c>
      <c r="I16" s="2">
        <v>5</v>
      </c>
      <c r="J16" s="1">
        <v>45474</v>
      </c>
      <c r="K16" s="1">
        <v>45838</v>
      </c>
    </row>
    <row r="17" spans="1:11">
      <c r="A17" t="s">
        <v>123</v>
      </c>
      <c r="B17" s="2">
        <v>75</v>
      </c>
      <c r="C17" s="2">
        <v>78</v>
      </c>
      <c r="D17" s="2">
        <v>57</v>
      </c>
      <c r="E17" s="2">
        <v>84</v>
      </c>
      <c r="F17" s="2">
        <v>69</v>
      </c>
      <c r="G17" s="2">
        <v>70</v>
      </c>
      <c r="H17" t="s">
        <v>1664</v>
      </c>
      <c r="I17" s="2">
        <v>22</v>
      </c>
      <c r="J17" s="1">
        <v>45474</v>
      </c>
      <c r="K17" s="1">
        <v>45838</v>
      </c>
    </row>
    <row r="18" spans="1:11">
      <c r="A18" t="s">
        <v>130</v>
      </c>
      <c r="B18" s="2">
        <v>76</v>
      </c>
      <c r="C18" s="2">
        <v>75</v>
      </c>
      <c r="D18" s="2">
        <v>60</v>
      </c>
      <c r="E18" s="2">
        <v>85</v>
      </c>
      <c r="F18" s="2">
        <v>69</v>
      </c>
      <c r="G18" s="2">
        <v>70</v>
      </c>
      <c r="H18" t="s">
        <v>1665</v>
      </c>
      <c r="I18" s="2">
        <v>18</v>
      </c>
      <c r="J18" s="1">
        <v>45474</v>
      </c>
      <c r="K18" s="1">
        <v>45838</v>
      </c>
    </row>
    <row r="19" spans="1:11">
      <c r="A19" t="s">
        <v>136</v>
      </c>
      <c r="B19" s="2">
        <v>76</v>
      </c>
      <c r="C19" s="2">
        <v>80</v>
      </c>
      <c r="D19" s="2">
        <v>61</v>
      </c>
      <c r="E19" s="2">
        <v>87</v>
      </c>
      <c r="F19" s="2">
        <v>73</v>
      </c>
      <c r="G19" s="2">
        <v>72</v>
      </c>
      <c r="H19" t="s">
        <v>1666</v>
      </c>
      <c r="I19" s="2">
        <v>15</v>
      </c>
      <c r="J19" s="1">
        <v>45474</v>
      </c>
      <c r="K19" s="1">
        <v>45838</v>
      </c>
    </row>
    <row r="20" spans="1:11">
      <c r="A20" t="s">
        <v>144</v>
      </c>
      <c r="B20" s="2">
        <v>80</v>
      </c>
      <c r="C20" s="2">
        <v>83</v>
      </c>
      <c r="D20" s="2">
        <v>63</v>
      </c>
      <c r="E20" s="2">
        <v>90</v>
      </c>
      <c r="F20" s="2">
        <v>83</v>
      </c>
      <c r="G20" s="2">
        <v>85</v>
      </c>
      <c r="H20" t="s">
        <v>1667</v>
      </c>
      <c r="I20" s="2">
        <v>16</v>
      </c>
      <c r="J20" s="1">
        <v>45474</v>
      </c>
      <c r="K20" s="1">
        <v>45838</v>
      </c>
    </row>
    <row r="21" spans="1:11">
      <c r="A21" t="s">
        <v>149</v>
      </c>
      <c r="B21" s="2">
        <v>74</v>
      </c>
      <c r="C21" s="2">
        <v>74</v>
      </c>
      <c r="D21" s="2">
        <v>56</v>
      </c>
      <c r="E21" s="2">
        <v>82</v>
      </c>
      <c r="F21" s="2">
        <v>71</v>
      </c>
      <c r="G21" s="2">
        <v>72</v>
      </c>
      <c r="H21" t="s">
        <v>1668</v>
      </c>
      <c r="I21" s="2">
        <v>12</v>
      </c>
      <c r="J21" s="1">
        <v>45474</v>
      </c>
      <c r="K21" s="1">
        <v>45838</v>
      </c>
    </row>
    <row r="22" spans="1:11">
      <c r="A22" t="s">
        <v>156</v>
      </c>
      <c r="B22" s="2">
        <v>78</v>
      </c>
      <c r="C22" s="2">
        <v>78</v>
      </c>
      <c r="D22" s="2">
        <v>60</v>
      </c>
      <c r="E22" s="2">
        <v>87</v>
      </c>
      <c r="F22" s="2">
        <v>76</v>
      </c>
      <c r="G22" s="2">
        <v>75</v>
      </c>
      <c r="H22" t="s">
        <v>1669</v>
      </c>
      <c r="I22" s="2">
        <v>13</v>
      </c>
      <c r="J22" s="1">
        <v>45474</v>
      </c>
      <c r="K22" s="1">
        <v>45838</v>
      </c>
    </row>
    <row r="23" spans="1:11">
      <c r="A23" t="s">
        <v>161</v>
      </c>
      <c r="B23" s="2">
        <v>79</v>
      </c>
      <c r="C23" s="2">
        <v>80</v>
      </c>
      <c r="D23" s="2">
        <v>62</v>
      </c>
      <c r="E23" s="2">
        <v>88</v>
      </c>
      <c r="F23" s="2">
        <v>74</v>
      </c>
      <c r="G23" s="2">
        <v>73</v>
      </c>
      <c r="H23" t="s">
        <v>1670</v>
      </c>
      <c r="I23" s="2">
        <v>15</v>
      </c>
      <c r="J23" s="1">
        <v>45474</v>
      </c>
      <c r="K23" s="1">
        <v>45838</v>
      </c>
    </row>
    <row r="24" spans="1:11">
      <c r="A24" t="s">
        <v>169</v>
      </c>
      <c r="B24" s="2">
        <v>82</v>
      </c>
      <c r="C24" s="2">
        <v>86</v>
      </c>
      <c r="D24" s="2">
        <v>64</v>
      </c>
      <c r="E24" s="2">
        <v>87</v>
      </c>
      <c r="F24" s="2">
        <v>82</v>
      </c>
      <c r="G24" s="2">
        <v>74</v>
      </c>
      <c r="H24" t="s">
        <v>1671</v>
      </c>
      <c r="I24" s="2">
        <v>17</v>
      </c>
      <c r="J24" s="1">
        <v>45474</v>
      </c>
      <c r="K24" s="1">
        <v>45838</v>
      </c>
    </row>
    <row r="25" spans="1:11">
      <c r="A25" t="s">
        <v>178</v>
      </c>
      <c r="B25" s="2">
        <v>77</v>
      </c>
      <c r="C25" s="2">
        <v>76</v>
      </c>
      <c r="D25" s="2">
        <v>56</v>
      </c>
      <c r="E25" s="2">
        <v>83</v>
      </c>
      <c r="F25" s="2">
        <v>66</v>
      </c>
      <c r="G25" s="2">
        <v>67</v>
      </c>
      <c r="H25" t="s">
        <v>1672</v>
      </c>
      <c r="I25" s="2">
        <v>14</v>
      </c>
      <c r="J25" s="1">
        <v>45474</v>
      </c>
      <c r="K25" s="1">
        <v>45838</v>
      </c>
    </row>
    <row r="26" spans="1:11">
      <c r="A26" t="s">
        <v>185</v>
      </c>
      <c r="B26" s="2">
        <v>75</v>
      </c>
      <c r="C26" s="2">
        <v>75</v>
      </c>
      <c r="D26" s="2">
        <v>59</v>
      </c>
      <c r="E26" s="2">
        <v>83</v>
      </c>
      <c r="F26" s="2">
        <v>66</v>
      </c>
      <c r="G26" s="2">
        <v>63</v>
      </c>
      <c r="H26" t="s">
        <v>1673</v>
      </c>
      <c r="I26" s="2">
        <v>12</v>
      </c>
      <c r="J26" s="1">
        <v>45474</v>
      </c>
      <c r="K26" s="1">
        <v>45838</v>
      </c>
    </row>
    <row r="27" spans="1:11">
      <c r="A27" t="s">
        <v>192</v>
      </c>
      <c r="B27" s="2">
        <v>76</v>
      </c>
      <c r="C27" s="2">
        <v>74</v>
      </c>
      <c r="D27" s="2">
        <v>60</v>
      </c>
      <c r="E27" s="2">
        <v>86</v>
      </c>
      <c r="F27" s="2">
        <v>70</v>
      </c>
      <c r="G27" s="2">
        <v>71</v>
      </c>
      <c r="H27" t="s">
        <v>1674</v>
      </c>
      <c r="I27" s="2">
        <v>15</v>
      </c>
      <c r="J27" s="1">
        <v>45474</v>
      </c>
      <c r="K27" s="1">
        <v>45838</v>
      </c>
    </row>
    <row r="28" spans="1:11">
      <c r="A28" t="s">
        <v>198</v>
      </c>
      <c r="B28" s="2">
        <v>75</v>
      </c>
      <c r="C28" s="2">
        <v>75</v>
      </c>
      <c r="D28" s="2">
        <v>57</v>
      </c>
      <c r="E28" s="2">
        <v>85</v>
      </c>
      <c r="F28" s="2">
        <v>72</v>
      </c>
      <c r="G28" s="2">
        <v>71</v>
      </c>
      <c r="H28" t="s">
        <v>1675</v>
      </c>
      <c r="I28" s="2">
        <v>13</v>
      </c>
      <c r="J28" s="1">
        <v>45474</v>
      </c>
      <c r="K28" s="1">
        <v>45838</v>
      </c>
    </row>
    <row r="29" spans="1:11">
      <c r="A29" t="s">
        <v>203</v>
      </c>
      <c r="B29" s="2">
        <v>80</v>
      </c>
      <c r="C29" s="2">
        <v>82</v>
      </c>
      <c r="D29" s="2">
        <v>65</v>
      </c>
      <c r="E29" s="2">
        <v>85</v>
      </c>
      <c r="F29" s="2">
        <v>70</v>
      </c>
      <c r="G29" s="2">
        <v>66</v>
      </c>
      <c r="H29" t="s">
        <v>1676</v>
      </c>
      <c r="I29" s="2">
        <v>14</v>
      </c>
      <c r="J29" s="1">
        <v>45474</v>
      </c>
      <c r="K29" s="1">
        <v>45838</v>
      </c>
    </row>
    <row r="30" spans="1:11">
      <c r="A30" t="s">
        <v>210</v>
      </c>
      <c r="B30" s="2">
        <v>78</v>
      </c>
      <c r="C30" s="2">
        <v>77</v>
      </c>
      <c r="D30" s="2">
        <v>61</v>
      </c>
      <c r="E30" s="2">
        <v>88</v>
      </c>
      <c r="F30" s="2">
        <v>74</v>
      </c>
      <c r="G30" s="2">
        <v>77</v>
      </c>
      <c r="H30" t="s">
        <v>1677</v>
      </c>
      <c r="I30" s="2">
        <v>10</v>
      </c>
      <c r="J30" s="1">
        <v>45474</v>
      </c>
      <c r="K30" s="1">
        <v>45838</v>
      </c>
    </row>
    <row r="31" spans="1:11">
      <c r="A31" t="s">
        <v>216</v>
      </c>
      <c r="B31" s="2">
        <v>82</v>
      </c>
      <c r="C31" s="2">
        <v>82</v>
      </c>
      <c r="D31" s="2">
        <v>64</v>
      </c>
      <c r="E31" s="2">
        <v>89</v>
      </c>
      <c r="F31" s="2">
        <v>68</v>
      </c>
      <c r="G31" s="2">
        <v>70</v>
      </c>
      <c r="H31" t="s">
        <v>1678</v>
      </c>
      <c r="I31" s="2">
        <v>20</v>
      </c>
      <c r="J31" s="1">
        <v>45474</v>
      </c>
      <c r="K31" s="1">
        <v>45838</v>
      </c>
    </row>
    <row r="32" spans="1:11">
      <c r="A32" t="s">
        <v>223</v>
      </c>
      <c r="B32" s="2">
        <v>78</v>
      </c>
      <c r="C32" s="2">
        <v>71</v>
      </c>
      <c r="D32" s="2">
        <v>54</v>
      </c>
      <c r="E32" s="2">
        <v>87</v>
      </c>
      <c r="F32" s="2">
        <v>60</v>
      </c>
      <c r="G32" s="2">
        <v>56</v>
      </c>
      <c r="H32" t="s">
        <v>1679</v>
      </c>
      <c r="I32" s="2">
        <v>13</v>
      </c>
      <c r="J32" s="1">
        <v>45474</v>
      </c>
      <c r="K32" s="1">
        <v>45838</v>
      </c>
    </row>
    <row r="33" spans="1:11">
      <c r="A33" t="s">
        <v>230</v>
      </c>
      <c r="B33" s="2">
        <v>74</v>
      </c>
      <c r="C33" s="2">
        <v>74</v>
      </c>
      <c r="D33" s="2">
        <v>54</v>
      </c>
      <c r="E33" s="2">
        <v>84</v>
      </c>
      <c r="F33" s="2">
        <v>65</v>
      </c>
      <c r="G33" s="2">
        <v>67</v>
      </c>
      <c r="H33" t="s">
        <v>1680</v>
      </c>
      <c r="I33" s="2">
        <v>17</v>
      </c>
      <c r="J33" s="1">
        <v>45474</v>
      </c>
      <c r="K33" s="1">
        <v>45838</v>
      </c>
    </row>
    <row r="34" spans="1:11">
      <c r="A34" t="s">
        <v>237</v>
      </c>
      <c r="B34" s="2">
        <v>75</v>
      </c>
      <c r="C34" s="2">
        <v>71</v>
      </c>
      <c r="D34" s="2">
        <v>58</v>
      </c>
      <c r="E34" s="2">
        <v>77</v>
      </c>
      <c r="F34" s="2">
        <v>68</v>
      </c>
      <c r="G34" s="2">
        <v>67</v>
      </c>
      <c r="H34" t="s">
        <v>1681</v>
      </c>
      <c r="I34" s="2">
        <v>15</v>
      </c>
      <c r="J34" s="1">
        <v>45474</v>
      </c>
      <c r="K34" s="1">
        <v>45838</v>
      </c>
    </row>
    <row r="35" spans="1:11">
      <c r="A35" t="s">
        <v>243</v>
      </c>
      <c r="B35" s="2">
        <v>83</v>
      </c>
      <c r="C35" s="2">
        <v>75</v>
      </c>
      <c r="D35" s="2">
        <v>65</v>
      </c>
      <c r="E35" s="2">
        <v>88</v>
      </c>
      <c r="F35" s="2">
        <v>68</v>
      </c>
      <c r="G35" s="2">
        <v>69</v>
      </c>
      <c r="H35" t="s">
        <v>1682</v>
      </c>
      <c r="I35" s="2">
        <v>28</v>
      </c>
      <c r="J35" s="1">
        <v>45474</v>
      </c>
      <c r="K35" s="1">
        <v>45838</v>
      </c>
    </row>
    <row r="36" spans="1:11">
      <c r="A36" t="s">
        <v>250</v>
      </c>
      <c r="B36" s="2">
        <v>75</v>
      </c>
      <c r="C36" s="2">
        <v>78</v>
      </c>
      <c r="D36" s="2">
        <v>59</v>
      </c>
      <c r="E36" s="2">
        <v>83</v>
      </c>
      <c r="F36" s="2">
        <v>61</v>
      </c>
      <c r="G36" s="2">
        <v>57</v>
      </c>
      <c r="H36" t="s">
        <v>1683</v>
      </c>
      <c r="I36" s="2">
        <v>5</v>
      </c>
      <c r="J36" s="1">
        <v>45474</v>
      </c>
      <c r="K36" s="1">
        <v>45838</v>
      </c>
    </row>
    <row r="37" spans="1:11">
      <c r="A37" t="s">
        <v>257</v>
      </c>
      <c r="B37" s="2">
        <v>74</v>
      </c>
      <c r="C37" s="2">
        <v>72</v>
      </c>
      <c r="D37" s="2">
        <v>54</v>
      </c>
      <c r="E37" s="2">
        <v>80</v>
      </c>
      <c r="F37" s="2">
        <v>66</v>
      </c>
      <c r="G37" s="2">
        <v>62</v>
      </c>
      <c r="H37" t="s">
        <v>1684</v>
      </c>
      <c r="I37" s="2">
        <v>9</v>
      </c>
      <c r="J37" s="1">
        <v>45474</v>
      </c>
      <c r="K37" s="1">
        <v>45838</v>
      </c>
    </row>
    <row r="38" spans="1:11">
      <c r="A38" t="s">
        <v>263</v>
      </c>
      <c r="B38" s="2">
        <v>83</v>
      </c>
      <c r="C38" s="2">
        <v>83</v>
      </c>
      <c r="D38" s="2">
        <v>65</v>
      </c>
      <c r="E38" s="2">
        <v>89</v>
      </c>
      <c r="F38" s="2">
        <v>79</v>
      </c>
      <c r="G38" s="2">
        <v>78</v>
      </c>
      <c r="H38" t="s">
        <v>1685</v>
      </c>
      <c r="I38" s="2">
        <v>14</v>
      </c>
      <c r="J38" s="1">
        <v>45474</v>
      </c>
      <c r="K38" s="1">
        <v>45838</v>
      </c>
    </row>
    <row r="39" spans="1:11">
      <c r="A39" t="s">
        <v>267</v>
      </c>
      <c r="B39" s="2">
        <v>76</v>
      </c>
      <c r="C39" s="2">
        <v>75</v>
      </c>
      <c r="D39" s="2">
        <v>58</v>
      </c>
      <c r="E39" s="2">
        <v>85</v>
      </c>
      <c r="F39" s="2">
        <v>72</v>
      </c>
      <c r="G39" s="2">
        <v>74</v>
      </c>
      <c r="H39" t="s">
        <v>1686</v>
      </c>
      <c r="I39" s="2">
        <v>18</v>
      </c>
      <c r="J39" s="1">
        <v>45474</v>
      </c>
      <c r="K39" s="1">
        <v>45838</v>
      </c>
    </row>
    <row r="40" spans="1:11">
      <c r="A40" t="s">
        <v>271</v>
      </c>
      <c r="B40" s="2">
        <v>86</v>
      </c>
      <c r="C40" s="2">
        <v>84</v>
      </c>
      <c r="D40" s="2">
        <v>68</v>
      </c>
      <c r="E40" s="2">
        <v>89</v>
      </c>
      <c r="F40" s="2">
        <v>84</v>
      </c>
      <c r="G40" s="2">
        <v>81</v>
      </c>
      <c r="H40" t="s">
        <v>1687</v>
      </c>
      <c r="I40" s="2">
        <v>16</v>
      </c>
      <c r="J40" s="1">
        <v>45474</v>
      </c>
      <c r="K40" s="1">
        <v>45838</v>
      </c>
    </row>
    <row r="41" spans="1:11">
      <c r="A41" t="s">
        <v>279</v>
      </c>
      <c r="B41" s="2">
        <v>75</v>
      </c>
      <c r="C41" s="2">
        <v>71</v>
      </c>
      <c r="D41" s="2">
        <v>54</v>
      </c>
      <c r="E41" s="2">
        <v>82</v>
      </c>
      <c r="F41" s="2">
        <v>65</v>
      </c>
      <c r="G41" s="2">
        <v>60</v>
      </c>
      <c r="H41" t="s">
        <v>1688</v>
      </c>
      <c r="I41" s="2">
        <v>13</v>
      </c>
      <c r="J41" s="1">
        <v>45474</v>
      </c>
      <c r="K41" s="1">
        <v>45838</v>
      </c>
    </row>
    <row r="42" spans="1:11">
      <c r="A42" t="s">
        <v>283</v>
      </c>
      <c r="B42" s="2">
        <v>93</v>
      </c>
      <c r="C42" s="2">
        <v>94</v>
      </c>
      <c r="D42" s="2">
        <v>80</v>
      </c>
      <c r="E42" s="2">
        <v>89</v>
      </c>
      <c r="F42" s="2">
        <v>90</v>
      </c>
      <c r="G42" s="2">
        <v>82</v>
      </c>
      <c r="H42" t="s">
        <v>1689</v>
      </c>
      <c r="I42" s="2">
        <v>32</v>
      </c>
      <c r="J42" s="1">
        <v>45474</v>
      </c>
      <c r="K42" s="1">
        <v>45838</v>
      </c>
    </row>
    <row r="43" spans="1:11">
      <c r="A43" t="s">
        <v>290</v>
      </c>
      <c r="B43" s="2">
        <v>75</v>
      </c>
      <c r="C43" s="2">
        <v>73</v>
      </c>
      <c r="D43" s="2">
        <v>56</v>
      </c>
      <c r="E43" s="2">
        <v>82</v>
      </c>
      <c r="F43" s="2">
        <v>68</v>
      </c>
      <c r="G43" s="2">
        <v>68</v>
      </c>
      <c r="H43" t="s">
        <v>1690</v>
      </c>
      <c r="I43" s="2">
        <v>10</v>
      </c>
      <c r="J43" s="1">
        <v>45474</v>
      </c>
      <c r="K43" s="1">
        <v>45838</v>
      </c>
    </row>
    <row r="44" spans="1:11">
      <c r="A44" t="s">
        <v>297</v>
      </c>
      <c r="B44" s="2">
        <v>82</v>
      </c>
      <c r="C44" s="2">
        <v>82</v>
      </c>
      <c r="D44" s="2">
        <v>65</v>
      </c>
      <c r="E44" s="2">
        <v>84</v>
      </c>
      <c r="F44" s="2">
        <v>79</v>
      </c>
      <c r="G44" s="2">
        <v>79</v>
      </c>
      <c r="H44" t="s">
        <v>1691</v>
      </c>
      <c r="I44" s="2">
        <v>9</v>
      </c>
      <c r="J44" s="1">
        <v>45474</v>
      </c>
      <c r="K44" s="1">
        <v>45838</v>
      </c>
    </row>
    <row r="45" spans="1:11">
      <c r="A45" t="s">
        <v>303</v>
      </c>
      <c r="B45" s="2">
        <v>73</v>
      </c>
      <c r="C45" s="2">
        <v>76</v>
      </c>
      <c r="D45" s="2">
        <v>56</v>
      </c>
      <c r="E45" s="2">
        <v>84</v>
      </c>
      <c r="F45" s="2">
        <v>66</v>
      </c>
      <c r="G45" s="2">
        <v>63</v>
      </c>
      <c r="H45" t="s">
        <v>1692</v>
      </c>
      <c r="I45" s="2">
        <v>30</v>
      </c>
      <c r="J45" s="1">
        <v>45474</v>
      </c>
      <c r="K45" s="1">
        <v>45838</v>
      </c>
    </row>
    <row r="46" spans="1:11">
      <c r="A46" t="s">
        <v>309</v>
      </c>
      <c r="B46" s="2">
        <v>78</v>
      </c>
      <c r="C46" s="2">
        <v>76</v>
      </c>
      <c r="D46" s="2">
        <v>61</v>
      </c>
      <c r="E46" s="2">
        <v>84</v>
      </c>
      <c r="F46" s="2">
        <v>69</v>
      </c>
      <c r="G46" s="2">
        <v>71</v>
      </c>
      <c r="H46" t="s">
        <v>1693</v>
      </c>
      <c r="I46" s="2">
        <v>23</v>
      </c>
      <c r="J46" s="1">
        <v>45474</v>
      </c>
      <c r="K46" s="1">
        <v>45838</v>
      </c>
    </row>
    <row r="47" spans="1:11">
      <c r="A47" t="s">
        <v>316</v>
      </c>
      <c r="B47" s="2">
        <v>73</v>
      </c>
      <c r="C47" s="2">
        <v>74</v>
      </c>
      <c r="D47" s="2">
        <v>57</v>
      </c>
      <c r="E47" s="2">
        <v>86</v>
      </c>
      <c r="F47" s="2">
        <v>63</v>
      </c>
      <c r="G47" s="2">
        <v>66</v>
      </c>
      <c r="H47" t="s">
        <v>1694</v>
      </c>
      <c r="I47" s="2">
        <v>23</v>
      </c>
      <c r="J47" s="1">
        <v>45474</v>
      </c>
      <c r="K47" s="1">
        <v>45838</v>
      </c>
    </row>
    <row r="48" spans="1:11">
      <c r="A48" t="s">
        <v>323</v>
      </c>
      <c r="B48" s="2">
        <v>78</v>
      </c>
      <c r="C48" s="2">
        <v>76</v>
      </c>
      <c r="D48" s="2">
        <v>59</v>
      </c>
      <c r="E48" s="2">
        <v>88</v>
      </c>
      <c r="F48" s="2">
        <v>74</v>
      </c>
      <c r="G48" s="2">
        <v>76</v>
      </c>
      <c r="H48" t="s">
        <v>1695</v>
      </c>
      <c r="I48" s="2">
        <v>16</v>
      </c>
      <c r="J48" s="1">
        <v>45474</v>
      </c>
      <c r="K48" s="1">
        <v>45838</v>
      </c>
    </row>
    <row r="49" spans="1:11">
      <c r="A49" t="s">
        <v>327</v>
      </c>
      <c r="B49" s="2">
        <v>79</v>
      </c>
      <c r="C49" s="2">
        <v>78</v>
      </c>
      <c r="D49" s="2">
        <v>62</v>
      </c>
      <c r="E49" s="2">
        <v>87</v>
      </c>
      <c r="F49" s="2">
        <v>72</v>
      </c>
      <c r="G49" s="2">
        <v>73</v>
      </c>
      <c r="H49" t="s">
        <v>1696</v>
      </c>
      <c r="I49" s="2">
        <v>11</v>
      </c>
      <c r="J49" s="1">
        <v>45474</v>
      </c>
      <c r="K49" s="1">
        <v>45838</v>
      </c>
    </row>
    <row r="50" spans="1:11">
      <c r="A50" t="s">
        <v>331</v>
      </c>
      <c r="B50" s="2">
        <v>85</v>
      </c>
      <c r="C50" s="2">
        <v>83</v>
      </c>
      <c r="D50" s="2">
        <v>67</v>
      </c>
      <c r="E50" s="2">
        <v>91</v>
      </c>
      <c r="F50" s="2">
        <v>88</v>
      </c>
      <c r="G50" s="2">
        <v>84</v>
      </c>
      <c r="H50" t="s">
        <v>1697</v>
      </c>
      <c r="I50" s="2">
        <v>23</v>
      </c>
      <c r="J50" s="1">
        <v>45474</v>
      </c>
      <c r="K50" s="1">
        <v>45838</v>
      </c>
    </row>
    <row r="51" spans="1:11">
      <c r="A51" t="s">
        <v>337</v>
      </c>
      <c r="B51" s="2">
        <v>74</v>
      </c>
      <c r="C51" s="2">
        <v>75</v>
      </c>
      <c r="D51" s="2">
        <v>60</v>
      </c>
      <c r="E51" s="2">
        <v>85</v>
      </c>
      <c r="F51" s="2">
        <v>64</v>
      </c>
      <c r="G51" s="2">
        <v>65</v>
      </c>
      <c r="H51" t="s">
        <v>1698</v>
      </c>
      <c r="I51" s="2">
        <v>16</v>
      </c>
      <c r="J51" s="1">
        <v>45474</v>
      </c>
      <c r="K51" s="1">
        <v>45838</v>
      </c>
    </row>
    <row r="52" spans="1:11">
      <c r="A52" t="s">
        <v>341</v>
      </c>
      <c r="B52" s="2">
        <v>82</v>
      </c>
      <c r="C52" s="2">
        <v>78</v>
      </c>
      <c r="D52" s="2">
        <v>61</v>
      </c>
      <c r="E52" s="2">
        <v>90</v>
      </c>
      <c r="F52" s="2">
        <v>74</v>
      </c>
      <c r="G52" s="2">
        <v>72</v>
      </c>
      <c r="H52" t="s">
        <v>1699</v>
      </c>
      <c r="I52" s="2">
        <v>18</v>
      </c>
      <c r="J52" s="1">
        <v>45474</v>
      </c>
      <c r="K52" s="1">
        <v>45838</v>
      </c>
    </row>
    <row r="53" spans="1:11">
      <c r="A53" t="s">
        <v>348</v>
      </c>
      <c r="B53" s="2">
        <v>82</v>
      </c>
      <c r="C53" s="2">
        <v>82</v>
      </c>
      <c r="D53" s="2">
        <v>66</v>
      </c>
      <c r="E53" s="2">
        <v>89</v>
      </c>
      <c r="F53" s="2">
        <v>78</v>
      </c>
      <c r="G53" s="2">
        <v>68</v>
      </c>
      <c r="H53" t="s">
        <v>1700</v>
      </c>
      <c r="I53" s="2">
        <v>10</v>
      </c>
      <c r="J53" s="1">
        <v>45474</v>
      </c>
      <c r="K53" s="1">
        <v>45838</v>
      </c>
    </row>
    <row r="54" spans="1:11">
      <c r="A54" t="s">
        <v>355</v>
      </c>
      <c r="B54" s="2">
        <v>78</v>
      </c>
      <c r="C54" s="2">
        <v>81</v>
      </c>
      <c r="D54" s="2">
        <v>73</v>
      </c>
      <c r="E54" s="2">
        <v>83</v>
      </c>
      <c r="F54" s="2">
        <v>63</v>
      </c>
      <c r="G54" s="2">
        <v>60</v>
      </c>
      <c r="H54" t="s">
        <v>1701</v>
      </c>
      <c r="I54" s="2">
        <v>8</v>
      </c>
      <c r="J54" s="1">
        <v>45474</v>
      </c>
      <c r="K54" s="1">
        <v>45838</v>
      </c>
    </row>
    <row r="55" spans="1:11">
      <c r="A55" t="s">
        <v>362</v>
      </c>
      <c r="B55" s="2">
        <v>79</v>
      </c>
      <c r="C55" s="2">
        <v>83</v>
      </c>
      <c r="D55" s="2">
        <v>57</v>
      </c>
      <c r="E55" s="2">
        <v>93</v>
      </c>
      <c r="F55" s="2">
        <v>82</v>
      </c>
      <c r="G55" s="2">
        <v>77</v>
      </c>
      <c r="H55" t="s">
        <v>1702</v>
      </c>
      <c r="I55" s="2">
        <v>20</v>
      </c>
      <c r="J55" s="1">
        <v>45474</v>
      </c>
      <c r="K55" s="1">
        <v>45838</v>
      </c>
    </row>
    <row r="56" spans="1:11">
      <c r="A56" t="s">
        <v>369</v>
      </c>
      <c r="B56" s="2">
        <v>84</v>
      </c>
      <c r="C56" s="2">
        <v>78</v>
      </c>
      <c r="D56" s="2">
        <v>62</v>
      </c>
      <c r="E56" s="2">
        <v>87</v>
      </c>
      <c r="F56" s="2">
        <v>85</v>
      </c>
      <c r="G56" s="2">
        <v>86</v>
      </c>
      <c r="H56" t="s">
        <v>1703</v>
      </c>
      <c r="I56" s="2">
        <v>42</v>
      </c>
      <c r="J56" s="1">
        <v>45474</v>
      </c>
      <c r="K56" s="1">
        <v>45838</v>
      </c>
    </row>
    <row r="57" spans="1:11">
      <c r="A57" t="s">
        <v>374</v>
      </c>
      <c r="B57" s="2">
        <v>82</v>
      </c>
      <c r="C57" s="2">
        <v>77</v>
      </c>
      <c r="D57" s="2">
        <v>65</v>
      </c>
      <c r="E57" s="2">
        <v>83</v>
      </c>
      <c r="F57" s="2">
        <v>68</v>
      </c>
      <c r="G57" s="2">
        <v>60</v>
      </c>
      <c r="H57" t="s">
        <v>1704</v>
      </c>
      <c r="I57" s="2">
        <v>13</v>
      </c>
      <c r="J57" s="1">
        <v>45474</v>
      </c>
      <c r="K57" s="1">
        <v>45838</v>
      </c>
    </row>
    <row r="58" spans="1:11">
      <c r="A58" t="s">
        <v>381</v>
      </c>
      <c r="B58" s="2">
        <v>82</v>
      </c>
      <c r="C58" s="2">
        <v>76</v>
      </c>
      <c r="D58" s="2">
        <v>64</v>
      </c>
      <c r="E58" s="2">
        <v>82</v>
      </c>
      <c r="F58" s="2">
        <v>72</v>
      </c>
      <c r="G58" s="2">
        <v>71</v>
      </c>
      <c r="H58" t="s">
        <v>1705</v>
      </c>
      <c r="I58" s="2">
        <v>14</v>
      </c>
      <c r="J58" s="1">
        <v>45474</v>
      </c>
      <c r="K58" s="1">
        <v>45838</v>
      </c>
    </row>
    <row r="59" spans="1:11">
      <c r="A59" t="s">
        <v>388</v>
      </c>
      <c r="B59" s="2">
        <v>76</v>
      </c>
      <c r="C59" s="2">
        <v>78</v>
      </c>
      <c r="D59" s="2">
        <v>55</v>
      </c>
      <c r="E59" s="2">
        <v>83</v>
      </c>
      <c r="F59" s="2">
        <v>71</v>
      </c>
      <c r="G59" s="2">
        <v>70</v>
      </c>
      <c r="H59" t="s">
        <v>1706</v>
      </c>
      <c r="I59" s="2">
        <v>40</v>
      </c>
      <c r="J59" s="1">
        <v>45474</v>
      </c>
      <c r="K59" s="1">
        <v>45838</v>
      </c>
    </row>
    <row r="60" spans="1:11">
      <c r="A60" t="s">
        <v>394</v>
      </c>
      <c r="B60" s="2">
        <v>76</v>
      </c>
      <c r="C60" s="2">
        <v>76</v>
      </c>
      <c r="D60" s="2">
        <v>59</v>
      </c>
      <c r="E60" s="2">
        <v>83</v>
      </c>
      <c r="F60" s="2">
        <v>72</v>
      </c>
      <c r="G60" s="2">
        <v>71</v>
      </c>
      <c r="H60" t="s">
        <v>1707</v>
      </c>
      <c r="I60" s="2">
        <v>12</v>
      </c>
      <c r="J60" s="1">
        <v>45474</v>
      </c>
      <c r="K60" s="1">
        <v>45838</v>
      </c>
    </row>
    <row r="61" spans="1:11">
      <c r="A61" t="s">
        <v>399</v>
      </c>
      <c r="B61" s="2">
        <v>73</v>
      </c>
      <c r="C61" s="2">
        <v>77</v>
      </c>
      <c r="D61" s="2">
        <v>55</v>
      </c>
      <c r="E61" s="2">
        <v>83</v>
      </c>
      <c r="F61" s="2">
        <v>68</v>
      </c>
      <c r="G61" s="2">
        <v>64</v>
      </c>
      <c r="H61" t="s">
        <v>1649</v>
      </c>
      <c r="I61" s="2">
        <v>14</v>
      </c>
      <c r="J61" s="1">
        <v>45474</v>
      </c>
      <c r="K61" s="1">
        <v>45838</v>
      </c>
    </row>
    <row r="62" spans="1:11">
      <c r="A62" t="s">
        <v>403</v>
      </c>
      <c r="B62" s="2">
        <v>81</v>
      </c>
      <c r="C62" s="2">
        <v>88</v>
      </c>
      <c r="D62" s="2">
        <v>74</v>
      </c>
      <c r="E62" s="2">
        <v>87</v>
      </c>
      <c r="F62" s="2">
        <v>74</v>
      </c>
      <c r="G62" s="2">
        <v>75</v>
      </c>
      <c r="H62" t="s">
        <v>1708</v>
      </c>
      <c r="I62" s="2">
        <v>12</v>
      </c>
      <c r="J62" s="1">
        <v>45474</v>
      </c>
      <c r="K62" s="1">
        <v>45838</v>
      </c>
    </row>
    <row r="63" spans="1:11">
      <c r="A63" t="s">
        <v>410</v>
      </c>
      <c r="B63" s="2">
        <v>75</v>
      </c>
      <c r="C63" s="2">
        <v>74</v>
      </c>
      <c r="D63" s="2">
        <v>58</v>
      </c>
      <c r="E63" s="2">
        <v>82</v>
      </c>
      <c r="F63" s="2">
        <v>58</v>
      </c>
      <c r="G63" s="2">
        <v>55</v>
      </c>
      <c r="H63" t="s">
        <v>1709</v>
      </c>
      <c r="I63" s="2">
        <v>17</v>
      </c>
      <c r="J63" s="1">
        <v>45474</v>
      </c>
      <c r="K63" s="1">
        <v>45838</v>
      </c>
    </row>
    <row r="64" spans="1:11">
      <c r="A64" t="s">
        <v>417</v>
      </c>
      <c r="H64" t="s">
        <v>176</v>
      </c>
      <c r="J64" s="1">
        <v>45474</v>
      </c>
      <c r="K64" s="1">
        <v>45838</v>
      </c>
    </row>
    <row r="65" spans="1:11">
      <c r="A65" t="s">
        <v>424</v>
      </c>
      <c r="B65" s="2">
        <v>77</v>
      </c>
      <c r="C65" s="2">
        <v>77</v>
      </c>
      <c r="D65" s="2">
        <v>58</v>
      </c>
      <c r="E65" s="2">
        <v>83</v>
      </c>
      <c r="F65" s="2">
        <v>68</v>
      </c>
      <c r="G65" s="2">
        <v>64</v>
      </c>
      <c r="H65" t="s">
        <v>1710</v>
      </c>
      <c r="I65" s="2">
        <v>19</v>
      </c>
      <c r="J65" s="1">
        <v>45474</v>
      </c>
      <c r="K65" s="1">
        <v>45838</v>
      </c>
    </row>
    <row r="66" spans="1:11">
      <c r="A66" t="s">
        <v>431</v>
      </c>
      <c r="B66" s="2">
        <v>77</v>
      </c>
      <c r="C66" s="2">
        <v>72</v>
      </c>
      <c r="D66" s="2">
        <v>57</v>
      </c>
      <c r="E66" s="2">
        <v>82</v>
      </c>
      <c r="F66" s="2">
        <v>65</v>
      </c>
      <c r="G66" s="2">
        <v>66</v>
      </c>
      <c r="H66" t="s">
        <v>1711</v>
      </c>
      <c r="I66" s="2">
        <v>12</v>
      </c>
      <c r="J66" s="1">
        <v>45474</v>
      </c>
      <c r="K66" s="1">
        <v>45838</v>
      </c>
    </row>
    <row r="67" spans="1:11">
      <c r="A67" t="s">
        <v>438</v>
      </c>
      <c r="B67" s="2">
        <v>94</v>
      </c>
      <c r="C67" s="2">
        <v>89</v>
      </c>
      <c r="D67" s="2">
        <v>80</v>
      </c>
      <c r="E67" s="2">
        <v>95</v>
      </c>
      <c r="F67" s="2">
        <v>85</v>
      </c>
      <c r="G67" s="2">
        <v>74</v>
      </c>
      <c r="H67" t="s">
        <v>1712</v>
      </c>
      <c r="I67" s="2">
        <v>22</v>
      </c>
      <c r="J67" s="1">
        <v>45474</v>
      </c>
      <c r="K67" s="1">
        <v>45838</v>
      </c>
    </row>
    <row r="68" spans="1:11">
      <c r="A68" t="s">
        <v>445</v>
      </c>
      <c r="B68" s="2">
        <v>77</v>
      </c>
      <c r="C68" s="2">
        <v>79</v>
      </c>
      <c r="D68" s="2">
        <v>62</v>
      </c>
      <c r="E68" s="2">
        <v>85</v>
      </c>
      <c r="F68" s="2">
        <v>71</v>
      </c>
      <c r="G68" s="2">
        <v>72</v>
      </c>
      <c r="H68" t="s">
        <v>1713</v>
      </c>
      <c r="I68" s="2">
        <v>16</v>
      </c>
      <c r="J68" s="1">
        <v>45474</v>
      </c>
      <c r="K68" s="1">
        <v>45838</v>
      </c>
    </row>
    <row r="69" spans="1:11">
      <c r="A69" t="s">
        <v>452</v>
      </c>
      <c r="B69" s="2">
        <v>76</v>
      </c>
      <c r="C69" s="2">
        <v>78</v>
      </c>
      <c r="D69" s="2">
        <v>59</v>
      </c>
      <c r="E69" s="2">
        <v>85</v>
      </c>
      <c r="F69" s="2">
        <v>75</v>
      </c>
      <c r="G69" s="2">
        <v>76</v>
      </c>
      <c r="H69" t="s">
        <v>1714</v>
      </c>
      <c r="I69" s="2">
        <v>22</v>
      </c>
      <c r="J69" s="1">
        <v>45474</v>
      </c>
      <c r="K69" s="1">
        <v>45838</v>
      </c>
    </row>
    <row r="70" spans="1:11">
      <c r="A70" t="s">
        <v>457</v>
      </c>
      <c r="B70" s="2">
        <v>72</v>
      </c>
      <c r="C70" s="2">
        <v>67</v>
      </c>
      <c r="D70" s="2">
        <v>54</v>
      </c>
      <c r="E70" s="2">
        <v>77</v>
      </c>
      <c r="F70" s="2">
        <v>61</v>
      </c>
      <c r="G70" s="2">
        <v>57</v>
      </c>
      <c r="H70" t="s">
        <v>1715</v>
      </c>
      <c r="I70" s="2">
        <v>13</v>
      </c>
      <c r="J70" s="1">
        <v>45474</v>
      </c>
      <c r="K70" s="1">
        <v>45838</v>
      </c>
    </row>
    <row r="71" spans="1:11">
      <c r="A71" t="s">
        <v>464</v>
      </c>
      <c r="B71" s="2">
        <v>74</v>
      </c>
      <c r="C71" s="2">
        <v>77</v>
      </c>
      <c r="D71" s="2">
        <v>58</v>
      </c>
      <c r="E71" s="2">
        <v>89</v>
      </c>
      <c r="F71" s="2">
        <v>64</v>
      </c>
      <c r="G71" s="2">
        <v>65</v>
      </c>
      <c r="H71" t="s">
        <v>1716</v>
      </c>
      <c r="I71" s="2">
        <v>17</v>
      </c>
      <c r="J71" s="1">
        <v>45474</v>
      </c>
      <c r="K71" s="1">
        <v>45838</v>
      </c>
    </row>
    <row r="72" spans="1:11">
      <c r="A72" t="s">
        <v>471</v>
      </c>
      <c r="B72" s="2">
        <v>77</v>
      </c>
      <c r="C72" s="2">
        <v>76</v>
      </c>
      <c r="D72" s="2">
        <v>56</v>
      </c>
      <c r="E72" s="2">
        <v>84</v>
      </c>
      <c r="F72" s="2">
        <v>73</v>
      </c>
      <c r="G72" s="2">
        <v>76</v>
      </c>
      <c r="H72" t="s">
        <v>1717</v>
      </c>
      <c r="I72" s="2">
        <v>21</v>
      </c>
      <c r="J72" s="1">
        <v>45474</v>
      </c>
      <c r="K72" s="1">
        <v>45838</v>
      </c>
    </row>
    <row r="73" spans="1:11">
      <c r="A73" t="s">
        <v>475</v>
      </c>
      <c r="B73" s="2">
        <v>84</v>
      </c>
      <c r="C73" s="2">
        <v>83</v>
      </c>
      <c r="D73" s="2">
        <v>71</v>
      </c>
      <c r="E73" s="2">
        <v>92</v>
      </c>
      <c r="F73" s="2">
        <v>81</v>
      </c>
      <c r="G73" s="2">
        <v>72</v>
      </c>
      <c r="H73" t="s">
        <v>1718</v>
      </c>
      <c r="I73" s="2">
        <v>14</v>
      </c>
      <c r="J73" s="1">
        <v>45474</v>
      </c>
      <c r="K73" s="1">
        <v>45838</v>
      </c>
    </row>
    <row r="74" spans="1:11">
      <c r="A74" t="s">
        <v>481</v>
      </c>
      <c r="B74" s="2">
        <v>86</v>
      </c>
      <c r="C74" s="2">
        <v>80</v>
      </c>
      <c r="D74" s="2">
        <v>64</v>
      </c>
      <c r="E74" s="2">
        <v>88</v>
      </c>
      <c r="F74" s="2">
        <v>80</v>
      </c>
      <c r="G74" s="2">
        <v>76</v>
      </c>
      <c r="H74" t="s">
        <v>1719</v>
      </c>
      <c r="I74" s="2">
        <v>18</v>
      </c>
      <c r="J74" s="1">
        <v>45474</v>
      </c>
      <c r="K74" s="1">
        <v>45838</v>
      </c>
    </row>
    <row r="75" spans="1:11">
      <c r="A75" t="s">
        <v>488</v>
      </c>
      <c r="B75" s="2">
        <v>75</v>
      </c>
      <c r="C75" s="2">
        <v>78</v>
      </c>
      <c r="D75" s="2">
        <v>59</v>
      </c>
      <c r="E75" s="2">
        <v>86</v>
      </c>
      <c r="F75" s="2">
        <v>70</v>
      </c>
      <c r="G75" s="2">
        <v>70</v>
      </c>
      <c r="H75" t="s">
        <v>1720</v>
      </c>
      <c r="I75" s="2">
        <v>15</v>
      </c>
      <c r="J75" s="1">
        <v>45474</v>
      </c>
      <c r="K75" s="1">
        <v>45838</v>
      </c>
    </row>
    <row r="76" spans="1:11">
      <c r="A76" t="s">
        <v>493</v>
      </c>
      <c r="B76" s="2">
        <v>88</v>
      </c>
      <c r="C76" s="2">
        <v>79</v>
      </c>
      <c r="D76" s="2">
        <v>74</v>
      </c>
      <c r="E76" s="2">
        <v>90</v>
      </c>
      <c r="F76" s="2">
        <v>73</v>
      </c>
      <c r="G76" s="2">
        <v>69</v>
      </c>
      <c r="H76" t="s">
        <v>1721</v>
      </c>
      <c r="I76" s="2">
        <v>13</v>
      </c>
      <c r="J76" s="1">
        <v>45474</v>
      </c>
      <c r="K76" s="1">
        <v>45838</v>
      </c>
    </row>
    <row r="77" spans="1:11">
      <c r="A77" t="s">
        <v>500</v>
      </c>
      <c r="H77" t="s">
        <v>176</v>
      </c>
      <c r="J77" s="1">
        <v>45474</v>
      </c>
      <c r="K77" s="1">
        <v>45838</v>
      </c>
    </row>
    <row r="78" spans="1:11">
      <c r="A78" t="s">
        <v>506</v>
      </c>
      <c r="B78" s="2">
        <v>77</v>
      </c>
      <c r="C78" s="2">
        <v>83</v>
      </c>
      <c r="D78" s="2">
        <v>60</v>
      </c>
      <c r="E78" s="2">
        <v>85</v>
      </c>
      <c r="F78" s="2">
        <v>70</v>
      </c>
      <c r="G78" s="2">
        <v>69</v>
      </c>
      <c r="H78" t="s">
        <v>1722</v>
      </c>
      <c r="I78" s="2">
        <v>16</v>
      </c>
      <c r="J78" s="1">
        <v>45474</v>
      </c>
      <c r="K78" s="1">
        <v>45838</v>
      </c>
    </row>
    <row r="79" spans="1:11">
      <c r="A79" t="s">
        <v>513</v>
      </c>
      <c r="B79" s="2">
        <v>77</v>
      </c>
      <c r="C79" s="2">
        <v>80</v>
      </c>
      <c r="D79" s="2">
        <v>57</v>
      </c>
      <c r="E79" s="2">
        <v>84</v>
      </c>
      <c r="F79" s="2">
        <v>72</v>
      </c>
      <c r="G79" s="2">
        <v>71</v>
      </c>
      <c r="H79" t="s">
        <v>1723</v>
      </c>
      <c r="I79" s="2">
        <v>5</v>
      </c>
      <c r="J79" s="1">
        <v>45474</v>
      </c>
      <c r="K79" s="1">
        <v>45838</v>
      </c>
    </row>
    <row r="80" spans="1:11">
      <c r="A80" t="s">
        <v>517</v>
      </c>
      <c r="B80" s="2">
        <v>86</v>
      </c>
      <c r="C80" s="2">
        <v>81</v>
      </c>
      <c r="D80" s="2">
        <v>68</v>
      </c>
      <c r="E80" s="2">
        <v>89</v>
      </c>
      <c r="F80" s="2">
        <v>73</v>
      </c>
      <c r="G80" s="2">
        <v>71</v>
      </c>
      <c r="H80" t="s">
        <v>1724</v>
      </c>
      <c r="I80" s="2">
        <v>17</v>
      </c>
      <c r="J80" s="1">
        <v>45474</v>
      </c>
      <c r="K80" s="1">
        <v>45838</v>
      </c>
    </row>
    <row r="81" spans="1:11">
      <c r="A81" t="s">
        <v>523</v>
      </c>
      <c r="B81" s="2">
        <v>79</v>
      </c>
      <c r="C81" s="2">
        <v>75</v>
      </c>
      <c r="D81" s="2">
        <v>61</v>
      </c>
      <c r="E81" s="2">
        <v>85</v>
      </c>
      <c r="F81" s="2">
        <v>65</v>
      </c>
      <c r="G81" s="2">
        <v>67</v>
      </c>
      <c r="H81" t="s">
        <v>1725</v>
      </c>
      <c r="I81" s="2">
        <v>17</v>
      </c>
      <c r="J81" s="1">
        <v>45474</v>
      </c>
      <c r="K81" s="1">
        <v>45838</v>
      </c>
    </row>
    <row r="82" spans="1:11">
      <c r="A82" t="s">
        <v>530</v>
      </c>
      <c r="B82" s="2">
        <v>75</v>
      </c>
      <c r="C82" s="2">
        <v>75</v>
      </c>
      <c r="D82" s="2">
        <v>55</v>
      </c>
      <c r="E82" s="2">
        <v>82</v>
      </c>
      <c r="F82" s="2">
        <v>62</v>
      </c>
      <c r="G82" s="2">
        <v>59</v>
      </c>
      <c r="H82" t="s">
        <v>1726</v>
      </c>
      <c r="I82" s="2">
        <v>15</v>
      </c>
      <c r="J82" s="1">
        <v>45474</v>
      </c>
      <c r="K82" s="1">
        <v>45838</v>
      </c>
    </row>
    <row r="83" spans="1:11">
      <c r="A83" t="s">
        <v>537</v>
      </c>
      <c r="B83" s="2">
        <v>77</v>
      </c>
      <c r="C83" s="2">
        <v>74</v>
      </c>
      <c r="D83" s="2">
        <v>59</v>
      </c>
      <c r="E83" s="2">
        <v>85</v>
      </c>
      <c r="F83" s="2">
        <v>70</v>
      </c>
      <c r="G83" s="2">
        <v>69</v>
      </c>
      <c r="H83" t="s">
        <v>1727</v>
      </c>
      <c r="I83" s="2">
        <v>12</v>
      </c>
      <c r="J83" s="1">
        <v>45474</v>
      </c>
      <c r="K83" s="1">
        <v>45838</v>
      </c>
    </row>
    <row r="84" spans="1:11">
      <c r="A84" t="s">
        <v>542</v>
      </c>
      <c r="B84" s="2">
        <v>75</v>
      </c>
      <c r="C84" s="2">
        <v>77</v>
      </c>
      <c r="D84" s="2">
        <v>58</v>
      </c>
      <c r="E84" s="2">
        <v>86</v>
      </c>
      <c r="F84" s="2">
        <v>66</v>
      </c>
      <c r="G84" s="2">
        <v>63</v>
      </c>
      <c r="H84" t="s">
        <v>1728</v>
      </c>
      <c r="I84" s="2">
        <v>18</v>
      </c>
      <c r="J84" s="1">
        <v>45474</v>
      </c>
      <c r="K84" s="1">
        <v>45838</v>
      </c>
    </row>
    <row r="85" spans="1:11">
      <c r="A85" t="s">
        <v>549</v>
      </c>
      <c r="B85" s="2">
        <v>86</v>
      </c>
      <c r="C85" s="2">
        <v>83</v>
      </c>
      <c r="D85" s="2">
        <v>67</v>
      </c>
      <c r="E85" s="2">
        <v>90</v>
      </c>
      <c r="F85" s="2">
        <v>75</v>
      </c>
      <c r="G85" s="2">
        <v>74</v>
      </c>
      <c r="H85" t="s">
        <v>1729</v>
      </c>
      <c r="I85" s="2">
        <v>18</v>
      </c>
      <c r="J85" s="1">
        <v>45474</v>
      </c>
      <c r="K85" s="1">
        <v>45838</v>
      </c>
    </row>
    <row r="86" spans="1:11">
      <c r="A86" t="s">
        <v>556</v>
      </c>
      <c r="B86" s="2">
        <v>73</v>
      </c>
      <c r="C86" s="2">
        <v>73</v>
      </c>
      <c r="D86" s="2">
        <v>53</v>
      </c>
      <c r="E86" s="2">
        <v>84</v>
      </c>
      <c r="F86" s="2">
        <v>63</v>
      </c>
      <c r="G86" s="2">
        <v>63</v>
      </c>
      <c r="H86" t="s">
        <v>1730</v>
      </c>
      <c r="I86" s="2">
        <v>15</v>
      </c>
      <c r="J86" s="1">
        <v>45474</v>
      </c>
      <c r="K86" s="1">
        <v>45838</v>
      </c>
    </row>
    <row r="87" spans="1:11">
      <c r="A87" t="s">
        <v>563</v>
      </c>
      <c r="B87" s="2">
        <v>78</v>
      </c>
      <c r="C87" s="2">
        <v>81</v>
      </c>
      <c r="D87" s="2">
        <v>60</v>
      </c>
      <c r="E87" s="2">
        <v>88</v>
      </c>
      <c r="F87" s="2">
        <v>79</v>
      </c>
      <c r="G87" s="2">
        <v>82</v>
      </c>
      <c r="H87" t="s">
        <v>1731</v>
      </c>
      <c r="I87" s="2">
        <v>20</v>
      </c>
      <c r="J87" s="1">
        <v>45474</v>
      </c>
      <c r="K87" s="1">
        <v>45838</v>
      </c>
    </row>
    <row r="88" spans="1:11">
      <c r="A88" t="s">
        <v>567</v>
      </c>
      <c r="B88" s="2">
        <v>96</v>
      </c>
      <c r="C88" s="2">
        <v>98</v>
      </c>
      <c r="D88" s="2">
        <v>91</v>
      </c>
      <c r="E88" s="2">
        <v>90</v>
      </c>
      <c r="F88" s="2">
        <v>92</v>
      </c>
      <c r="G88" s="2">
        <v>92</v>
      </c>
      <c r="H88" t="s">
        <v>1732</v>
      </c>
      <c r="I88" s="2">
        <v>23</v>
      </c>
      <c r="J88" s="1">
        <v>45474</v>
      </c>
      <c r="K88" s="1">
        <v>45838</v>
      </c>
    </row>
    <row r="89" spans="1:11">
      <c r="A89" t="s">
        <v>573</v>
      </c>
      <c r="B89" s="2">
        <v>79</v>
      </c>
      <c r="C89" s="2">
        <v>77</v>
      </c>
      <c r="D89" s="2">
        <v>62</v>
      </c>
      <c r="E89" s="2">
        <v>83</v>
      </c>
      <c r="F89" s="2">
        <v>73</v>
      </c>
      <c r="G89" s="2">
        <v>73</v>
      </c>
      <c r="H89" t="s">
        <v>1733</v>
      </c>
      <c r="I89" s="2">
        <v>22</v>
      </c>
      <c r="J89" s="1">
        <v>45474</v>
      </c>
      <c r="K89" s="1">
        <v>45838</v>
      </c>
    </row>
    <row r="90" spans="1:11">
      <c r="A90" t="s">
        <v>580</v>
      </c>
      <c r="B90" s="2">
        <v>81</v>
      </c>
      <c r="C90" s="2">
        <v>79</v>
      </c>
      <c r="D90" s="2">
        <v>62</v>
      </c>
      <c r="E90" s="2">
        <v>88</v>
      </c>
      <c r="F90" s="2">
        <v>78</v>
      </c>
      <c r="G90" s="2">
        <v>78</v>
      </c>
      <c r="H90" t="s">
        <v>1734</v>
      </c>
      <c r="I90" s="2">
        <v>15</v>
      </c>
      <c r="J90" s="1">
        <v>45474</v>
      </c>
      <c r="K90" s="1">
        <v>45838</v>
      </c>
    </row>
    <row r="91" spans="1:11">
      <c r="A91" t="s">
        <v>587</v>
      </c>
      <c r="B91" s="2">
        <v>75</v>
      </c>
      <c r="C91" s="2">
        <v>71</v>
      </c>
      <c r="D91" s="2">
        <v>60</v>
      </c>
      <c r="E91" s="2">
        <v>81</v>
      </c>
      <c r="F91" s="2">
        <v>59</v>
      </c>
      <c r="G91" s="2">
        <v>62</v>
      </c>
      <c r="H91" t="s">
        <v>1735</v>
      </c>
      <c r="I91" s="2">
        <v>24</v>
      </c>
      <c r="J91" s="1">
        <v>45474</v>
      </c>
      <c r="K91" s="1">
        <v>45838</v>
      </c>
    </row>
    <row r="92" spans="1:11">
      <c r="A92" t="s">
        <v>592</v>
      </c>
      <c r="B92" s="2">
        <v>75</v>
      </c>
      <c r="C92" s="2">
        <v>74</v>
      </c>
      <c r="D92" s="2">
        <v>56</v>
      </c>
      <c r="E92" s="2">
        <v>83</v>
      </c>
      <c r="F92" s="2">
        <v>68</v>
      </c>
      <c r="G92" s="2">
        <v>67</v>
      </c>
      <c r="H92" t="s">
        <v>1736</v>
      </c>
      <c r="I92" s="2">
        <v>17</v>
      </c>
      <c r="J92" s="1">
        <v>45474</v>
      </c>
      <c r="K92" s="1">
        <v>45838</v>
      </c>
    </row>
    <row r="93" spans="1:11">
      <c r="A93" t="s">
        <v>596</v>
      </c>
      <c r="B93" s="2">
        <v>82</v>
      </c>
      <c r="C93" s="2">
        <v>83</v>
      </c>
      <c r="D93" s="2">
        <v>64</v>
      </c>
      <c r="E93" s="2">
        <v>87</v>
      </c>
      <c r="F93" s="2">
        <v>71</v>
      </c>
      <c r="G93" s="2">
        <v>70</v>
      </c>
      <c r="H93" t="s">
        <v>1737</v>
      </c>
      <c r="I93" s="2">
        <v>16</v>
      </c>
      <c r="J93" s="1">
        <v>45474</v>
      </c>
      <c r="K93" s="1">
        <v>45838</v>
      </c>
    </row>
    <row r="94" spans="1:11">
      <c r="A94" t="s">
        <v>603</v>
      </c>
      <c r="B94" s="2">
        <v>83</v>
      </c>
      <c r="C94" s="2">
        <v>81</v>
      </c>
      <c r="D94" s="2">
        <v>68</v>
      </c>
      <c r="E94" s="2">
        <v>81</v>
      </c>
      <c r="F94" s="2">
        <v>71</v>
      </c>
      <c r="G94" s="2">
        <v>61</v>
      </c>
      <c r="H94" t="s">
        <v>1738</v>
      </c>
      <c r="I94" s="2">
        <v>14</v>
      </c>
      <c r="J94" s="1">
        <v>45474</v>
      </c>
      <c r="K94" s="1">
        <v>45838</v>
      </c>
    </row>
    <row r="95" spans="1:11">
      <c r="A95" t="s">
        <v>610</v>
      </c>
      <c r="B95" s="2">
        <v>79</v>
      </c>
      <c r="C95" s="2">
        <v>74</v>
      </c>
      <c r="D95" s="2">
        <v>57</v>
      </c>
      <c r="E95" s="2">
        <v>86</v>
      </c>
      <c r="F95" s="2">
        <v>72</v>
      </c>
      <c r="G95" s="2">
        <v>68</v>
      </c>
      <c r="H95" t="s">
        <v>1739</v>
      </c>
      <c r="I95" s="2">
        <v>15</v>
      </c>
      <c r="J95" s="1">
        <v>45474</v>
      </c>
      <c r="K95" s="1">
        <v>45838</v>
      </c>
    </row>
    <row r="96" spans="1:11">
      <c r="A96" t="s">
        <v>617</v>
      </c>
      <c r="B96" s="2">
        <v>90</v>
      </c>
      <c r="C96" s="2">
        <v>94</v>
      </c>
      <c r="D96" s="2">
        <v>74</v>
      </c>
      <c r="E96" s="2">
        <v>90</v>
      </c>
      <c r="F96" s="2">
        <v>90</v>
      </c>
      <c r="G96" s="2">
        <v>88</v>
      </c>
      <c r="H96" t="s">
        <v>1740</v>
      </c>
      <c r="I96" s="2">
        <v>21</v>
      </c>
      <c r="J96" s="1">
        <v>45474</v>
      </c>
      <c r="K96" s="1">
        <v>45838</v>
      </c>
    </row>
    <row r="97" spans="1:11">
      <c r="A97" t="s">
        <v>624</v>
      </c>
      <c r="B97" s="2">
        <v>75</v>
      </c>
      <c r="C97" s="2">
        <v>75</v>
      </c>
      <c r="D97" s="2">
        <v>56</v>
      </c>
      <c r="E97" s="2">
        <v>83</v>
      </c>
      <c r="F97" s="2">
        <v>67</v>
      </c>
      <c r="G97" s="2">
        <v>68</v>
      </c>
      <c r="H97" t="s">
        <v>1741</v>
      </c>
      <c r="I97" s="2">
        <v>13</v>
      </c>
      <c r="J97" s="1">
        <v>45474</v>
      </c>
      <c r="K97" s="1">
        <v>45838</v>
      </c>
    </row>
    <row r="98" spans="1:11">
      <c r="A98" t="s">
        <v>631</v>
      </c>
      <c r="B98" s="2">
        <v>79</v>
      </c>
      <c r="C98" s="2">
        <v>79</v>
      </c>
      <c r="D98" s="2">
        <v>58</v>
      </c>
      <c r="E98" s="2">
        <v>86</v>
      </c>
      <c r="F98" s="2">
        <v>68</v>
      </c>
      <c r="G98" s="2">
        <v>65</v>
      </c>
      <c r="H98" t="s">
        <v>1742</v>
      </c>
      <c r="I98" s="2">
        <v>17</v>
      </c>
      <c r="J98" s="1">
        <v>45474</v>
      </c>
      <c r="K98" s="1">
        <v>45838</v>
      </c>
    </row>
    <row r="99" spans="1:11">
      <c r="A99" t="s">
        <v>637</v>
      </c>
      <c r="B99" s="2">
        <v>80</v>
      </c>
      <c r="C99" s="2">
        <v>87</v>
      </c>
      <c r="D99" s="2">
        <v>59</v>
      </c>
      <c r="E99" s="2">
        <v>90</v>
      </c>
      <c r="F99" s="2">
        <v>79</v>
      </c>
      <c r="G99" s="2">
        <v>80</v>
      </c>
      <c r="H99" t="s">
        <v>1743</v>
      </c>
      <c r="I99" s="2">
        <v>27</v>
      </c>
      <c r="J99" s="1">
        <v>45474</v>
      </c>
      <c r="K99" s="1">
        <v>45838</v>
      </c>
    </row>
    <row r="100" spans="1:11">
      <c r="A100" t="s">
        <v>642</v>
      </c>
      <c r="B100" s="2">
        <v>81</v>
      </c>
      <c r="C100" s="2">
        <v>78</v>
      </c>
      <c r="D100" s="2">
        <v>66</v>
      </c>
      <c r="E100" s="2">
        <v>89</v>
      </c>
      <c r="F100" s="2">
        <v>79</v>
      </c>
      <c r="G100" s="2">
        <v>78</v>
      </c>
      <c r="H100" t="s">
        <v>1744</v>
      </c>
      <c r="I100" s="2">
        <v>13</v>
      </c>
      <c r="J100" s="1">
        <v>45474</v>
      </c>
      <c r="K100" s="1">
        <v>45838</v>
      </c>
    </row>
    <row r="101" spans="1:11">
      <c r="A101" t="s">
        <v>648</v>
      </c>
      <c r="B101" s="2">
        <v>78</v>
      </c>
      <c r="C101" s="2">
        <v>78</v>
      </c>
      <c r="D101" s="2">
        <v>61</v>
      </c>
      <c r="E101" s="2">
        <v>84</v>
      </c>
      <c r="F101" s="2">
        <v>73</v>
      </c>
      <c r="G101" s="2">
        <v>75</v>
      </c>
      <c r="H101" t="s">
        <v>1745</v>
      </c>
      <c r="I101" s="2">
        <v>21</v>
      </c>
      <c r="J101" s="1">
        <v>45474</v>
      </c>
      <c r="K101" s="1">
        <v>45838</v>
      </c>
    </row>
    <row r="102" spans="1:11">
      <c r="A102" t="s">
        <v>652</v>
      </c>
      <c r="B102" s="2">
        <v>79</v>
      </c>
      <c r="C102" s="2">
        <v>80</v>
      </c>
      <c r="D102" s="2">
        <v>63</v>
      </c>
      <c r="E102" s="2">
        <v>84</v>
      </c>
      <c r="F102" s="2">
        <v>63</v>
      </c>
      <c r="G102" s="2">
        <v>56</v>
      </c>
      <c r="H102" t="s">
        <v>1746</v>
      </c>
      <c r="I102" s="2">
        <v>11</v>
      </c>
      <c r="J102" s="1">
        <v>45474</v>
      </c>
      <c r="K102" s="1">
        <v>45838</v>
      </c>
    </row>
    <row r="103" spans="1:11">
      <c r="A103" t="s">
        <v>659</v>
      </c>
      <c r="B103" s="2">
        <v>84</v>
      </c>
      <c r="C103" s="2">
        <v>94</v>
      </c>
      <c r="D103" s="2">
        <v>67</v>
      </c>
      <c r="E103" s="2">
        <v>91</v>
      </c>
      <c r="F103" s="2">
        <v>89</v>
      </c>
      <c r="G103" s="2">
        <v>91</v>
      </c>
      <c r="H103" t="s">
        <v>1747</v>
      </c>
      <c r="I103" s="2">
        <v>25</v>
      </c>
      <c r="J103" s="1">
        <v>45474</v>
      </c>
      <c r="K103" s="1">
        <v>45838</v>
      </c>
    </row>
    <row r="104" spans="1:11">
      <c r="A104" t="s">
        <v>666</v>
      </c>
      <c r="B104" s="2">
        <v>92</v>
      </c>
      <c r="C104" s="2">
        <v>83</v>
      </c>
      <c r="D104" s="2">
        <v>79</v>
      </c>
      <c r="E104" s="2">
        <v>90</v>
      </c>
      <c r="F104" s="2">
        <v>91</v>
      </c>
      <c r="G104" s="2">
        <v>83</v>
      </c>
      <c r="H104" t="s">
        <v>1748</v>
      </c>
      <c r="I104" s="2">
        <v>19</v>
      </c>
      <c r="J104" s="1">
        <v>45474</v>
      </c>
      <c r="K104" s="1">
        <v>45838</v>
      </c>
    </row>
    <row r="105" spans="1:11">
      <c r="A105" t="s">
        <v>672</v>
      </c>
      <c r="B105" s="2">
        <v>72</v>
      </c>
      <c r="C105" s="2">
        <v>76</v>
      </c>
      <c r="D105" s="2">
        <v>55</v>
      </c>
      <c r="E105" s="2">
        <v>84</v>
      </c>
      <c r="F105" s="2">
        <v>69</v>
      </c>
      <c r="G105" s="2">
        <v>71</v>
      </c>
      <c r="H105" t="s">
        <v>1749</v>
      </c>
      <c r="I105" s="2">
        <v>15</v>
      </c>
      <c r="J105" s="1">
        <v>45474</v>
      </c>
      <c r="K105" s="1">
        <v>45838</v>
      </c>
    </row>
    <row r="106" spans="1:11">
      <c r="A106" t="s">
        <v>677</v>
      </c>
      <c r="B106" s="2">
        <v>82</v>
      </c>
      <c r="C106" s="2">
        <v>81</v>
      </c>
      <c r="D106" s="2">
        <v>61</v>
      </c>
      <c r="E106" s="2">
        <v>82</v>
      </c>
      <c r="F106" s="2">
        <v>74</v>
      </c>
      <c r="G106" s="2">
        <v>63</v>
      </c>
      <c r="H106" t="s">
        <v>1750</v>
      </c>
      <c r="I106" s="2">
        <v>11</v>
      </c>
      <c r="J106" s="1">
        <v>45474</v>
      </c>
      <c r="K106" s="1">
        <v>45838</v>
      </c>
    </row>
    <row r="107" spans="1:11">
      <c r="A107" t="s">
        <v>684</v>
      </c>
      <c r="B107" s="2">
        <v>76</v>
      </c>
      <c r="C107" s="2">
        <v>75</v>
      </c>
      <c r="D107" s="2">
        <v>68</v>
      </c>
      <c r="E107" s="2">
        <v>83</v>
      </c>
      <c r="F107" s="2">
        <v>56</v>
      </c>
      <c r="G107" s="2">
        <v>61</v>
      </c>
      <c r="H107" t="s">
        <v>1751</v>
      </c>
      <c r="I107" s="2">
        <v>14</v>
      </c>
      <c r="J107" s="1">
        <v>45474</v>
      </c>
      <c r="K107" s="1">
        <v>45838</v>
      </c>
    </row>
    <row r="108" spans="1:11">
      <c r="A108" t="s">
        <v>690</v>
      </c>
      <c r="B108" s="2">
        <v>82</v>
      </c>
      <c r="C108" s="2">
        <v>83</v>
      </c>
      <c r="D108" s="2">
        <v>63</v>
      </c>
      <c r="E108" s="2">
        <v>87</v>
      </c>
      <c r="F108" s="2">
        <v>71</v>
      </c>
      <c r="G108" s="2">
        <v>68</v>
      </c>
      <c r="H108" t="s">
        <v>1708</v>
      </c>
      <c r="I108" s="2">
        <v>14</v>
      </c>
      <c r="J108" s="1">
        <v>45474</v>
      </c>
      <c r="K108" s="1">
        <v>45838</v>
      </c>
    </row>
    <row r="109" spans="1:11">
      <c r="A109" t="s">
        <v>696</v>
      </c>
      <c r="B109" s="2">
        <v>74</v>
      </c>
      <c r="C109" s="2">
        <v>72</v>
      </c>
      <c r="D109" s="2">
        <v>60</v>
      </c>
      <c r="E109" s="2">
        <v>82</v>
      </c>
      <c r="F109" s="2">
        <v>65</v>
      </c>
      <c r="G109" s="2">
        <v>68</v>
      </c>
      <c r="H109" t="s">
        <v>1752</v>
      </c>
      <c r="I109" s="2">
        <v>13</v>
      </c>
      <c r="J109" s="1">
        <v>45474</v>
      </c>
      <c r="K109" s="1">
        <v>45838</v>
      </c>
    </row>
    <row r="110" spans="1:11">
      <c r="A110" t="s">
        <v>701</v>
      </c>
      <c r="H110" t="s">
        <v>176</v>
      </c>
      <c r="J110" s="1">
        <v>45474</v>
      </c>
      <c r="K110" s="1">
        <v>45838</v>
      </c>
    </row>
    <row r="111" spans="1:11">
      <c r="A111" t="s">
        <v>708</v>
      </c>
      <c r="B111" s="2">
        <v>75</v>
      </c>
      <c r="C111" s="2">
        <v>72</v>
      </c>
      <c r="D111" s="2">
        <v>57</v>
      </c>
      <c r="E111" s="2">
        <v>81</v>
      </c>
      <c r="F111" s="2">
        <v>69</v>
      </c>
      <c r="G111" s="2">
        <v>74</v>
      </c>
      <c r="H111" t="s">
        <v>1753</v>
      </c>
      <c r="I111" s="2">
        <v>11</v>
      </c>
      <c r="J111" s="1">
        <v>45474</v>
      </c>
      <c r="K111" s="1">
        <v>45838</v>
      </c>
    </row>
    <row r="112" spans="1:11">
      <c r="A112" t="s">
        <v>714</v>
      </c>
      <c r="B112" s="2">
        <v>80</v>
      </c>
      <c r="C112" s="2">
        <v>77</v>
      </c>
      <c r="D112" s="2">
        <v>64</v>
      </c>
      <c r="E112" s="2">
        <v>82</v>
      </c>
      <c r="F112" s="2">
        <v>64</v>
      </c>
      <c r="G112" s="2">
        <v>55</v>
      </c>
      <c r="H112" t="s">
        <v>1754</v>
      </c>
      <c r="I112" s="2">
        <v>11</v>
      </c>
      <c r="J112" s="1">
        <v>45474</v>
      </c>
      <c r="K112" s="1">
        <v>45838</v>
      </c>
    </row>
    <row r="113" spans="1:11">
      <c r="A113" t="s">
        <v>720</v>
      </c>
      <c r="B113" s="2">
        <v>78</v>
      </c>
      <c r="C113" s="2">
        <v>79</v>
      </c>
      <c r="D113" s="2">
        <v>60</v>
      </c>
      <c r="E113" s="2">
        <v>87</v>
      </c>
      <c r="F113" s="2">
        <v>80</v>
      </c>
      <c r="G113" s="2">
        <v>79</v>
      </c>
      <c r="H113" t="s">
        <v>1755</v>
      </c>
      <c r="I113" s="2">
        <v>19</v>
      </c>
      <c r="J113" s="1">
        <v>45474</v>
      </c>
      <c r="K113" s="1">
        <v>45838</v>
      </c>
    </row>
    <row r="114" spans="1:11">
      <c r="A114" t="s">
        <v>726</v>
      </c>
      <c r="B114" s="2">
        <v>78</v>
      </c>
      <c r="C114" s="2">
        <v>82</v>
      </c>
      <c r="D114" s="2">
        <v>63</v>
      </c>
      <c r="E114" s="2">
        <v>83</v>
      </c>
      <c r="F114" s="2">
        <v>72</v>
      </c>
      <c r="G114" s="2">
        <v>71</v>
      </c>
      <c r="H114" t="s">
        <v>1679</v>
      </c>
      <c r="I114" s="2">
        <v>15</v>
      </c>
      <c r="J114" s="1">
        <v>45474</v>
      </c>
      <c r="K114" s="1">
        <v>45838</v>
      </c>
    </row>
    <row r="115" spans="1:11">
      <c r="A115" t="s">
        <v>733</v>
      </c>
      <c r="B115" s="2">
        <v>80</v>
      </c>
      <c r="C115" s="2">
        <v>78</v>
      </c>
      <c r="D115" s="2">
        <v>61</v>
      </c>
      <c r="E115" s="2">
        <v>87</v>
      </c>
      <c r="F115" s="2">
        <v>79</v>
      </c>
      <c r="G115" s="2">
        <v>79</v>
      </c>
      <c r="H115" t="s">
        <v>1756</v>
      </c>
      <c r="I115" s="2">
        <v>16</v>
      </c>
      <c r="J115" s="1">
        <v>45474</v>
      </c>
      <c r="K115" s="1">
        <v>45838</v>
      </c>
    </row>
    <row r="116" spans="1:11">
      <c r="A116" t="s">
        <v>739</v>
      </c>
      <c r="B116" s="2">
        <v>80</v>
      </c>
      <c r="C116" s="2">
        <v>75</v>
      </c>
      <c r="D116" s="2">
        <v>61</v>
      </c>
      <c r="E116" s="2">
        <v>89</v>
      </c>
      <c r="F116" s="2">
        <v>69</v>
      </c>
      <c r="G116" s="2">
        <v>64</v>
      </c>
      <c r="H116" t="s">
        <v>1757</v>
      </c>
      <c r="I116" s="2">
        <v>12</v>
      </c>
      <c r="J116" s="1">
        <v>45474</v>
      </c>
      <c r="K116" s="1">
        <v>45838</v>
      </c>
    </row>
    <row r="117" spans="1:11">
      <c r="A117" t="s">
        <v>746</v>
      </c>
      <c r="B117" s="2">
        <v>75</v>
      </c>
      <c r="C117" s="2">
        <v>78</v>
      </c>
      <c r="D117" s="2">
        <v>55</v>
      </c>
      <c r="E117" s="2">
        <v>84</v>
      </c>
      <c r="F117" s="2">
        <v>65</v>
      </c>
      <c r="G117" s="2">
        <v>65</v>
      </c>
      <c r="H117" t="s">
        <v>1758</v>
      </c>
      <c r="I117" s="2">
        <v>18</v>
      </c>
      <c r="J117" s="1">
        <v>45474</v>
      </c>
      <c r="K117" s="1">
        <v>45838</v>
      </c>
    </row>
    <row r="118" spans="1:11">
      <c r="A118" t="s">
        <v>753</v>
      </c>
      <c r="B118" s="2">
        <v>87</v>
      </c>
      <c r="C118" s="2">
        <v>82</v>
      </c>
      <c r="D118" s="2">
        <v>64</v>
      </c>
      <c r="E118" s="2">
        <v>86</v>
      </c>
      <c r="F118" s="2">
        <v>76</v>
      </c>
      <c r="G118" s="2">
        <v>77</v>
      </c>
      <c r="H118" t="s">
        <v>1759</v>
      </c>
      <c r="I118" s="2">
        <v>20</v>
      </c>
      <c r="J118" s="1">
        <v>45474</v>
      </c>
      <c r="K118" s="1">
        <v>45838</v>
      </c>
    </row>
    <row r="119" spans="1:11">
      <c r="A119" t="s">
        <v>759</v>
      </c>
      <c r="B119" s="2">
        <v>82</v>
      </c>
      <c r="C119" s="2">
        <v>88</v>
      </c>
      <c r="D119" s="2">
        <v>64</v>
      </c>
      <c r="E119" s="2">
        <v>97</v>
      </c>
      <c r="F119" s="2">
        <v>70</v>
      </c>
      <c r="G119" s="2">
        <v>67</v>
      </c>
      <c r="H119" t="s">
        <v>1760</v>
      </c>
      <c r="I119" s="2">
        <v>24</v>
      </c>
      <c r="J119" s="1">
        <v>45474</v>
      </c>
      <c r="K119" s="1">
        <v>45838</v>
      </c>
    </row>
    <row r="120" spans="1:11">
      <c r="A120" t="s">
        <v>766</v>
      </c>
      <c r="B120" s="2">
        <v>75</v>
      </c>
      <c r="C120" s="2">
        <v>73</v>
      </c>
      <c r="D120" s="2">
        <v>48</v>
      </c>
      <c r="E120" s="2">
        <v>87</v>
      </c>
      <c r="F120" s="2">
        <v>60</v>
      </c>
      <c r="G120" s="2">
        <v>55</v>
      </c>
      <c r="H120" t="s">
        <v>1761</v>
      </c>
      <c r="I120" s="2">
        <v>17</v>
      </c>
      <c r="J120" s="1">
        <v>45474</v>
      </c>
      <c r="K120" s="1">
        <v>45838</v>
      </c>
    </row>
    <row r="121" spans="1:11">
      <c r="A121" t="s">
        <v>773</v>
      </c>
      <c r="B121" s="2">
        <v>73</v>
      </c>
      <c r="C121" s="2">
        <v>72</v>
      </c>
      <c r="D121" s="2">
        <v>58</v>
      </c>
      <c r="E121" s="2">
        <v>81</v>
      </c>
      <c r="F121" s="2">
        <v>55</v>
      </c>
      <c r="G121" s="2">
        <v>51</v>
      </c>
      <c r="H121" t="s">
        <v>1762</v>
      </c>
      <c r="I121" s="2">
        <v>18</v>
      </c>
      <c r="J121" s="1">
        <v>45474</v>
      </c>
      <c r="K121" s="1">
        <v>45838</v>
      </c>
    </row>
    <row r="122" spans="1:11">
      <c r="A122" t="s">
        <v>780</v>
      </c>
      <c r="B122" s="2">
        <v>83</v>
      </c>
      <c r="C122" s="2">
        <v>84</v>
      </c>
      <c r="D122" s="2">
        <v>68</v>
      </c>
      <c r="E122" s="2">
        <v>90</v>
      </c>
      <c r="F122" s="2">
        <v>80</v>
      </c>
      <c r="G122" s="2">
        <v>68</v>
      </c>
      <c r="H122" t="s">
        <v>143</v>
      </c>
      <c r="I122" s="2">
        <v>8</v>
      </c>
      <c r="J122" s="1">
        <v>45474</v>
      </c>
      <c r="K122" s="1">
        <v>45838</v>
      </c>
    </row>
    <row r="123" spans="1:11">
      <c r="A123" t="s">
        <v>787</v>
      </c>
      <c r="B123" s="2">
        <v>82</v>
      </c>
      <c r="C123" s="2">
        <v>81</v>
      </c>
      <c r="D123" s="2">
        <v>62</v>
      </c>
      <c r="E123" s="2">
        <v>89</v>
      </c>
      <c r="F123" s="2">
        <v>74</v>
      </c>
      <c r="G123" s="2">
        <v>73</v>
      </c>
      <c r="H123" t="s">
        <v>1761</v>
      </c>
      <c r="I123" s="2">
        <v>27</v>
      </c>
      <c r="J123" s="1">
        <v>45474</v>
      </c>
      <c r="K123" s="1">
        <v>45838</v>
      </c>
    </row>
    <row r="124" spans="1:11">
      <c r="A124" t="s">
        <v>794</v>
      </c>
      <c r="B124" s="2">
        <v>72</v>
      </c>
      <c r="C124" s="2">
        <v>78</v>
      </c>
      <c r="D124" s="2">
        <v>54</v>
      </c>
      <c r="E124" s="2">
        <v>86</v>
      </c>
      <c r="F124" s="2">
        <v>68</v>
      </c>
      <c r="G124" s="2">
        <v>69</v>
      </c>
      <c r="H124" t="s">
        <v>1763</v>
      </c>
      <c r="I124" s="2">
        <v>15</v>
      </c>
      <c r="J124" s="1">
        <v>45474</v>
      </c>
      <c r="K124" s="1">
        <v>45838</v>
      </c>
    </row>
    <row r="125" spans="1:11">
      <c r="A125" t="s">
        <v>799</v>
      </c>
      <c r="B125" s="2">
        <v>72</v>
      </c>
      <c r="C125" s="2">
        <v>71</v>
      </c>
      <c r="D125" s="2">
        <v>52</v>
      </c>
      <c r="E125" s="2">
        <v>80</v>
      </c>
      <c r="F125" s="2">
        <v>64</v>
      </c>
      <c r="G125" s="2">
        <v>61</v>
      </c>
      <c r="H125" t="s">
        <v>1764</v>
      </c>
      <c r="I125" s="2">
        <v>12</v>
      </c>
      <c r="J125" s="1">
        <v>45474</v>
      </c>
      <c r="K125" s="1">
        <v>45838</v>
      </c>
    </row>
    <row r="126" spans="1:11">
      <c r="A126" t="s">
        <v>805</v>
      </c>
      <c r="B126" s="2">
        <v>76</v>
      </c>
      <c r="C126" s="2">
        <v>72</v>
      </c>
      <c r="D126" s="2">
        <v>58</v>
      </c>
      <c r="E126" s="2">
        <v>83</v>
      </c>
      <c r="F126" s="2">
        <v>65</v>
      </c>
      <c r="G126" s="2">
        <v>67</v>
      </c>
      <c r="H126" t="s">
        <v>1765</v>
      </c>
      <c r="I126" s="2">
        <v>18</v>
      </c>
      <c r="J126" s="1">
        <v>45474</v>
      </c>
      <c r="K126" s="1">
        <v>45838</v>
      </c>
    </row>
    <row r="127" spans="1:11">
      <c r="A127" t="s">
        <v>811</v>
      </c>
      <c r="B127" s="2">
        <v>72</v>
      </c>
      <c r="C127" s="2">
        <v>70</v>
      </c>
      <c r="D127" s="2">
        <v>54</v>
      </c>
      <c r="E127" s="2">
        <v>79</v>
      </c>
      <c r="F127" s="2">
        <v>60</v>
      </c>
      <c r="G127" s="2">
        <v>58</v>
      </c>
      <c r="H127" t="s">
        <v>1766</v>
      </c>
      <c r="I127" s="2">
        <v>8</v>
      </c>
      <c r="J127" s="1">
        <v>45474</v>
      </c>
      <c r="K127" s="1">
        <v>45838</v>
      </c>
    </row>
    <row r="128" spans="1:11">
      <c r="A128" t="s">
        <v>816</v>
      </c>
      <c r="B128" s="2">
        <v>75</v>
      </c>
      <c r="C128" s="2">
        <v>76</v>
      </c>
      <c r="D128" s="2">
        <v>58</v>
      </c>
      <c r="E128" s="2">
        <v>89</v>
      </c>
      <c r="F128" s="2">
        <v>72</v>
      </c>
      <c r="G128" s="2">
        <v>73</v>
      </c>
      <c r="H128" t="s">
        <v>1767</v>
      </c>
      <c r="I128" s="2">
        <v>17</v>
      </c>
      <c r="J128" s="1">
        <v>45474</v>
      </c>
      <c r="K128" s="1">
        <v>45838</v>
      </c>
    </row>
    <row r="129" spans="1:11">
      <c r="A129" t="s">
        <v>822</v>
      </c>
      <c r="B129" s="2">
        <v>91</v>
      </c>
      <c r="C129" s="2">
        <v>94</v>
      </c>
      <c r="D129" s="2">
        <v>80</v>
      </c>
      <c r="E129" s="2">
        <v>88</v>
      </c>
      <c r="F129" s="2">
        <v>83</v>
      </c>
      <c r="G129" s="2">
        <v>88</v>
      </c>
      <c r="H129" t="s">
        <v>1768</v>
      </c>
      <c r="I129" s="2">
        <v>19</v>
      </c>
      <c r="J129" s="1">
        <v>45474</v>
      </c>
      <c r="K129" s="1">
        <v>45838</v>
      </c>
    </row>
    <row r="130" spans="1:11">
      <c r="A130" t="s">
        <v>829</v>
      </c>
      <c r="B130" s="2">
        <v>79</v>
      </c>
      <c r="C130" s="2">
        <v>78</v>
      </c>
      <c r="D130" s="2">
        <v>63</v>
      </c>
      <c r="E130" s="2">
        <v>86</v>
      </c>
      <c r="F130" s="2">
        <v>68</v>
      </c>
      <c r="G130" s="2">
        <v>68</v>
      </c>
      <c r="H130" t="s">
        <v>1769</v>
      </c>
      <c r="I130" s="2">
        <v>6</v>
      </c>
      <c r="J130" s="1">
        <v>45474</v>
      </c>
      <c r="K130" s="1">
        <v>45838</v>
      </c>
    </row>
    <row r="131" spans="1:11">
      <c r="A131" t="s">
        <v>834</v>
      </c>
      <c r="B131" s="2">
        <v>70</v>
      </c>
      <c r="C131" s="2">
        <v>70</v>
      </c>
      <c r="D131" s="2">
        <v>47</v>
      </c>
      <c r="E131" s="2">
        <v>79</v>
      </c>
      <c r="F131" s="2">
        <v>59</v>
      </c>
      <c r="G131" s="2">
        <v>56</v>
      </c>
      <c r="H131" t="s">
        <v>1770</v>
      </c>
      <c r="I131" s="2">
        <v>9</v>
      </c>
      <c r="J131" s="1">
        <v>45474</v>
      </c>
      <c r="K131" s="1">
        <v>45838</v>
      </c>
    </row>
    <row r="132" spans="1:11">
      <c r="A132" t="s">
        <v>839</v>
      </c>
      <c r="B132" s="2">
        <v>71</v>
      </c>
      <c r="C132" s="2">
        <v>74</v>
      </c>
      <c r="D132" s="2">
        <v>55</v>
      </c>
      <c r="E132" s="2">
        <v>80</v>
      </c>
      <c r="F132" s="2">
        <v>66</v>
      </c>
      <c r="G132" s="2">
        <v>67</v>
      </c>
      <c r="H132" t="s">
        <v>1771</v>
      </c>
      <c r="I132" s="2">
        <v>17</v>
      </c>
      <c r="J132" s="1">
        <v>45474</v>
      </c>
      <c r="K132" s="1">
        <v>45838</v>
      </c>
    </row>
    <row r="133" spans="1:11">
      <c r="A133" t="s">
        <v>844</v>
      </c>
      <c r="B133" s="2">
        <v>73</v>
      </c>
      <c r="C133" s="2">
        <v>74</v>
      </c>
      <c r="D133" s="2">
        <v>56</v>
      </c>
      <c r="E133" s="2">
        <v>81</v>
      </c>
      <c r="F133" s="2">
        <v>66</v>
      </c>
      <c r="G133" s="2">
        <v>66</v>
      </c>
      <c r="H133" t="s">
        <v>1772</v>
      </c>
      <c r="I133" s="2">
        <v>16</v>
      </c>
      <c r="J133" s="1">
        <v>45474</v>
      </c>
      <c r="K133" s="1">
        <v>45838</v>
      </c>
    </row>
    <row r="134" spans="1:11">
      <c r="A134" t="s">
        <v>850</v>
      </c>
      <c r="B134" s="2">
        <v>84</v>
      </c>
      <c r="C134" s="2">
        <v>86</v>
      </c>
      <c r="D134" s="2">
        <v>72</v>
      </c>
      <c r="E134" s="2">
        <v>87</v>
      </c>
      <c r="F134" s="2">
        <v>56</v>
      </c>
      <c r="G134" s="2">
        <v>53</v>
      </c>
      <c r="H134" t="s">
        <v>1773</v>
      </c>
      <c r="I134" s="2">
        <v>10</v>
      </c>
      <c r="J134" s="1">
        <v>45474</v>
      </c>
      <c r="K134" s="1">
        <v>45838</v>
      </c>
    </row>
    <row r="135" spans="1:11">
      <c r="A135" t="s">
        <v>857</v>
      </c>
      <c r="B135" s="2">
        <v>85</v>
      </c>
      <c r="C135" s="2">
        <v>87</v>
      </c>
      <c r="D135" s="2">
        <v>67</v>
      </c>
      <c r="E135" s="2">
        <v>97</v>
      </c>
      <c r="F135" s="2">
        <v>63</v>
      </c>
      <c r="G135" s="2">
        <v>63</v>
      </c>
      <c r="H135" t="s">
        <v>1774</v>
      </c>
      <c r="I135" s="2">
        <v>7</v>
      </c>
      <c r="J135" s="1">
        <v>45474</v>
      </c>
      <c r="K135" s="1">
        <v>45838</v>
      </c>
    </row>
    <row r="136" spans="1:11">
      <c r="A136" t="s">
        <v>864</v>
      </c>
      <c r="B136" s="2">
        <v>84</v>
      </c>
      <c r="C136" s="2">
        <v>82</v>
      </c>
      <c r="D136" s="2">
        <v>62</v>
      </c>
      <c r="E136" s="2">
        <v>86</v>
      </c>
      <c r="F136" s="2">
        <v>73</v>
      </c>
      <c r="G136" s="2">
        <v>71</v>
      </c>
      <c r="H136" t="s">
        <v>1775</v>
      </c>
      <c r="I136" s="2">
        <v>13</v>
      </c>
      <c r="J136" s="1">
        <v>45474</v>
      </c>
      <c r="K136" s="1">
        <v>45838</v>
      </c>
    </row>
    <row r="137" spans="1:11">
      <c r="A137" t="s">
        <v>869</v>
      </c>
      <c r="H137" t="s">
        <v>176</v>
      </c>
      <c r="J137" s="1">
        <v>45474</v>
      </c>
      <c r="K137" s="1">
        <v>45838</v>
      </c>
    </row>
    <row r="138" spans="1:11">
      <c r="A138" t="s">
        <v>876</v>
      </c>
      <c r="B138" s="2">
        <v>74</v>
      </c>
      <c r="C138" s="2">
        <v>75</v>
      </c>
      <c r="D138" s="2">
        <v>55</v>
      </c>
      <c r="E138" s="2">
        <v>79</v>
      </c>
      <c r="F138" s="2">
        <v>68</v>
      </c>
      <c r="G138" s="2">
        <v>62</v>
      </c>
      <c r="H138" t="s">
        <v>1776</v>
      </c>
      <c r="I138" s="2">
        <v>15</v>
      </c>
      <c r="J138" s="1">
        <v>45474</v>
      </c>
      <c r="K138" s="1">
        <v>45838</v>
      </c>
    </row>
    <row r="139" spans="1:11">
      <c r="A139" t="s">
        <v>881</v>
      </c>
      <c r="B139" s="2">
        <v>72</v>
      </c>
      <c r="C139" s="2">
        <v>77</v>
      </c>
      <c r="D139" s="2">
        <v>59</v>
      </c>
      <c r="E139" s="2">
        <v>80</v>
      </c>
      <c r="F139" s="2">
        <v>61</v>
      </c>
      <c r="G139" s="2">
        <v>61</v>
      </c>
      <c r="H139" t="s">
        <v>1754</v>
      </c>
      <c r="I139" s="2">
        <v>8</v>
      </c>
      <c r="J139" s="1">
        <v>45474</v>
      </c>
      <c r="K139" s="1">
        <v>45838</v>
      </c>
    </row>
    <row r="140" spans="1:11">
      <c r="A140" t="s">
        <v>885</v>
      </c>
      <c r="B140" s="2">
        <v>74</v>
      </c>
      <c r="C140" s="2">
        <v>72</v>
      </c>
      <c r="D140" s="2">
        <v>59</v>
      </c>
      <c r="E140" s="2">
        <v>80</v>
      </c>
      <c r="F140" s="2">
        <v>63</v>
      </c>
      <c r="G140" s="2">
        <v>66</v>
      </c>
      <c r="H140" t="s">
        <v>1777</v>
      </c>
      <c r="I140" s="2">
        <v>10</v>
      </c>
      <c r="J140" s="1">
        <v>45474</v>
      </c>
      <c r="K140" s="1">
        <v>45838</v>
      </c>
    </row>
    <row r="141" spans="1:11">
      <c r="A141" t="s">
        <v>890</v>
      </c>
      <c r="B141" s="2">
        <v>74</v>
      </c>
      <c r="C141" s="2">
        <v>77</v>
      </c>
      <c r="D141" s="2">
        <v>59</v>
      </c>
      <c r="E141" s="2">
        <v>81</v>
      </c>
      <c r="F141" s="2">
        <v>64</v>
      </c>
      <c r="G141" s="2">
        <v>64</v>
      </c>
      <c r="H141" t="s">
        <v>1778</v>
      </c>
      <c r="I141" s="2">
        <v>19</v>
      </c>
      <c r="J141" s="1">
        <v>45474</v>
      </c>
      <c r="K141" s="1">
        <v>45838</v>
      </c>
    </row>
    <row r="142" spans="1:11">
      <c r="A142" t="s">
        <v>894</v>
      </c>
      <c r="B142" s="2">
        <v>78</v>
      </c>
      <c r="C142" s="2">
        <v>76</v>
      </c>
      <c r="D142" s="2">
        <v>60</v>
      </c>
      <c r="E142" s="2">
        <v>85</v>
      </c>
      <c r="F142" s="2">
        <v>69</v>
      </c>
      <c r="G142" s="2">
        <v>70</v>
      </c>
      <c r="H142" t="s">
        <v>1779</v>
      </c>
      <c r="I142" s="2">
        <v>13</v>
      </c>
      <c r="J142" s="1">
        <v>45474</v>
      </c>
      <c r="K142" s="1">
        <v>45838</v>
      </c>
    </row>
    <row r="143" spans="1:11">
      <c r="A143" t="s">
        <v>900</v>
      </c>
      <c r="B143" s="2">
        <v>76</v>
      </c>
      <c r="C143" s="2">
        <v>72</v>
      </c>
      <c r="D143" s="2">
        <v>54</v>
      </c>
      <c r="E143" s="2">
        <v>82</v>
      </c>
      <c r="F143" s="2">
        <v>66</v>
      </c>
      <c r="G143" s="2">
        <v>61</v>
      </c>
      <c r="H143" t="s">
        <v>1780</v>
      </c>
      <c r="I143" s="2">
        <v>15</v>
      </c>
      <c r="J143" s="1">
        <v>45474</v>
      </c>
      <c r="K143" s="1">
        <v>45838</v>
      </c>
    </row>
    <row r="144" spans="1:11">
      <c r="A144" t="s">
        <v>906</v>
      </c>
      <c r="B144" s="2">
        <v>73</v>
      </c>
      <c r="C144" s="2">
        <v>75</v>
      </c>
      <c r="D144" s="2">
        <v>53</v>
      </c>
      <c r="E144" s="2">
        <v>83</v>
      </c>
      <c r="F144" s="2">
        <v>67</v>
      </c>
      <c r="G144" s="2">
        <v>66</v>
      </c>
      <c r="H144" t="s">
        <v>1781</v>
      </c>
      <c r="I144" s="2">
        <v>18</v>
      </c>
      <c r="J144" s="1">
        <v>45474</v>
      </c>
      <c r="K144" s="1">
        <v>45838</v>
      </c>
    </row>
    <row r="145" spans="1:11">
      <c r="A145" t="s">
        <v>910</v>
      </c>
      <c r="B145" s="2">
        <v>72</v>
      </c>
      <c r="C145" s="2">
        <v>76</v>
      </c>
      <c r="D145" s="2">
        <v>54</v>
      </c>
      <c r="E145" s="2">
        <v>80</v>
      </c>
      <c r="F145" s="2">
        <v>67</v>
      </c>
      <c r="G145" s="2">
        <v>68</v>
      </c>
      <c r="H145" t="s">
        <v>1782</v>
      </c>
      <c r="I145" s="2">
        <v>10</v>
      </c>
      <c r="J145" s="1">
        <v>45474</v>
      </c>
      <c r="K145" s="1">
        <v>45838</v>
      </c>
    </row>
    <row r="146" spans="1:11">
      <c r="A146" t="s">
        <v>915</v>
      </c>
      <c r="B146" s="2">
        <v>71</v>
      </c>
      <c r="C146" s="2">
        <v>71</v>
      </c>
      <c r="D146" s="2">
        <v>51</v>
      </c>
      <c r="E146" s="2">
        <v>80</v>
      </c>
      <c r="F146" s="2">
        <v>60</v>
      </c>
      <c r="G146" s="2">
        <v>58</v>
      </c>
      <c r="H146" t="s">
        <v>1783</v>
      </c>
      <c r="I146" s="2">
        <v>10</v>
      </c>
      <c r="J146" s="1">
        <v>45474</v>
      </c>
      <c r="K146" s="1">
        <v>45838</v>
      </c>
    </row>
    <row r="147" spans="1:11">
      <c r="A147" t="s">
        <v>920</v>
      </c>
      <c r="B147" s="2">
        <v>77</v>
      </c>
      <c r="C147" s="2">
        <v>75</v>
      </c>
      <c r="D147" s="2">
        <v>58</v>
      </c>
      <c r="E147" s="2">
        <v>87</v>
      </c>
      <c r="F147" s="2">
        <v>73</v>
      </c>
      <c r="G147" s="2">
        <v>71</v>
      </c>
      <c r="H147" t="s">
        <v>1784</v>
      </c>
      <c r="I147" s="2">
        <v>13</v>
      </c>
      <c r="J147" s="1">
        <v>45474</v>
      </c>
      <c r="K147" s="1">
        <v>45838</v>
      </c>
    </row>
    <row r="148" spans="1:11">
      <c r="A148" t="s">
        <v>925</v>
      </c>
      <c r="H148" t="s">
        <v>176</v>
      </c>
      <c r="J148" s="1">
        <v>45474</v>
      </c>
      <c r="K148" s="1">
        <v>45838</v>
      </c>
    </row>
    <row r="149" spans="1:11">
      <c r="A149" t="s">
        <v>930</v>
      </c>
      <c r="B149" s="2">
        <v>76</v>
      </c>
      <c r="C149" s="2">
        <v>77</v>
      </c>
      <c r="D149" s="2">
        <v>60</v>
      </c>
      <c r="E149" s="2">
        <v>83</v>
      </c>
      <c r="F149" s="2">
        <v>71</v>
      </c>
      <c r="G149" s="2">
        <v>70</v>
      </c>
      <c r="H149" t="s">
        <v>1785</v>
      </c>
      <c r="I149" s="2">
        <v>11</v>
      </c>
      <c r="J149" s="1">
        <v>45474</v>
      </c>
      <c r="K149" s="1">
        <v>45838</v>
      </c>
    </row>
    <row r="150" spans="1:11">
      <c r="A150" t="s">
        <v>936</v>
      </c>
      <c r="B150" s="2">
        <v>79</v>
      </c>
      <c r="C150" s="2">
        <v>78</v>
      </c>
      <c r="D150" s="2">
        <v>64</v>
      </c>
      <c r="E150" s="2">
        <v>86</v>
      </c>
      <c r="F150" s="2">
        <v>76</v>
      </c>
      <c r="G150" s="2">
        <v>79</v>
      </c>
      <c r="H150" t="s">
        <v>1786</v>
      </c>
      <c r="I150" s="2">
        <v>13</v>
      </c>
      <c r="J150" s="1">
        <v>45474</v>
      </c>
      <c r="K150" s="1">
        <v>45838</v>
      </c>
    </row>
    <row r="151" spans="1:11">
      <c r="A151" t="s">
        <v>941</v>
      </c>
      <c r="B151" s="2">
        <v>70</v>
      </c>
      <c r="C151" s="2">
        <v>75</v>
      </c>
      <c r="D151" s="2">
        <v>57</v>
      </c>
      <c r="E151" s="2">
        <v>77</v>
      </c>
      <c r="F151" s="2">
        <v>62</v>
      </c>
      <c r="G151" s="2">
        <v>59</v>
      </c>
      <c r="H151" t="s">
        <v>1787</v>
      </c>
      <c r="I151" s="2">
        <v>21</v>
      </c>
      <c r="J151" s="1">
        <v>45474</v>
      </c>
      <c r="K151" s="1">
        <v>45838</v>
      </c>
    </row>
    <row r="152" spans="1:11">
      <c r="A152" t="s">
        <v>947</v>
      </c>
      <c r="B152" s="2">
        <v>84</v>
      </c>
      <c r="C152" s="2">
        <v>88</v>
      </c>
      <c r="D152" s="2">
        <v>68</v>
      </c>
      <c r="E152" s="2">
        <v>96</v>
      </c>
      <c r="F152" s="2">
        <v>81</v>
      </c>
      <c r="G152" s="2">
        <v>82</v>
      </c>
      <c r="H152" t="s">
        <v>1788</v>
      </c>
      <c r="I152" s="2">
        <v>15</v>
      </c>
      <c r="J152" s="1">
        <v>45474</v>
      </c>
      <c r="K152" s="1">
        <v>45838</v>
      </c>
    </row>
    <row r="153" spans="1:11">
      <c r="A153" t="s">
        <v>952</v>
      </c>
      <c r="B153" s="2">
        <v>73</v>
      </c>
      <c r="C153" s="2">
        <v>80</v>
      </c>
      <c r="D153" s="2">
        <v>58</v>
      </c>
      <c r="E153" s="2">
        <v>84</v>
      </c>
      <c r="F153" s="2">
        <v>54</v>
      </c>
      <c r="G153" s="2">
        <v>56</v>
      </c>
      <c r="H153" t="s">
        <v>1789</v>
      </c>
      <c r="I153" s="2">
        <v>24</v>
      </c>
      <c r="J153" s="1">
        <v>45474</v>
      </c>
      <c r="K153" s="1">
        <v>45838</v>
      </c>
    </row>
    <row r="154" spans="1:11">
      <c r="A154" t="s">
        <v>959</v>
      </c>
      <c r="B154" s="2">
        <v>81</v>
      </c>
      <c r="C154" s="2">
        <v>91</v>
      </c>
      <c r="D154" s="2">
        <v>71</v>
      </c>
      <c r="E154" s="2">
        <v>80</v>
      </c>
      <c r="F154" s="2">
        <v>72</v>
      </c>
      <c r="G154" s="2">
        <v>68</v>
      </c>
      <c r="H154" t="s">
        <v>1790</v>
      </c>
      <c r="I154" s="2">
        <v>16</v>
      </c>
      <c r="J154" s="1">
        <v>45474</v>
      </c>
      <c r="K154" s="1">
        <v>45838</v>
      </c>
    </row>
    <row r="155" spans="1:11">
      <c r="A155" t="s">
        <v>966</v>
      </c>
      <c r="B155" s="2">
        <v>76</v>
      </c>
      <c r="C155" s="2">
        <v>76</v>
      </c>
      <c r="D155" s="2">
        <v>58</v>
      </c>
      <c r="E155" s="2">
        <v>85</v>
      </c>
      <c r="F155" s="2">
        <v>71</v>
      </c>
      <c r="G155" s="2">
        <v>73</v>
      </c>
      <c r="H155" t="s">
        <v>1791</v>
      </c>
      <c r="I155" s="2">
        <v>16</v>
      </c>
      <c r="J155" s="1">
        <v>45474</v>
      </c>
      <c r="K155" s="1">
        <v>45838</v>
      </c>
    </row>
    <row r="156" spans="1:11">
      <c r="A156" t="s">
        <v>971</v>
      </c>
      <c r="B156" s="2">
        <v>84</v>
      </c>
      <c r="C156" s="2">
        <v>79</v>
      </c>
      <c r="D156" s="2">
        <v>65</v>
      </c>
      <c r="E156" s="2">
        <v>91</v>
      </c>
      <c r="F156" s="2">
        <v>82</v>
      </c>
      <c r="G156" s="2">
        <v>85</v>
      </c>
      <c r="H156" t="s">
        <v>1792</v>
      </c>
      <c r="I156" s="2">
        <v>22</v>
      </c>
      <c r="J156" s="1">
        <v>45474</v>
      </c>
      <c r="K156" s="1">
        <v>45838</v>
      </c>
    </row>
    <row r="157" spans="1:11">
      <c r="A157" t="s">
        <v>977</v>
      </c>
      <c r="B157" s="2">
        <v>75</v>
      </c>
      <c r="C157" s="2">
        <v>74</v>
      </c>
      <c r="D157" s="2">
        <v>56</v>
      </c>
      <c r="E157" s="2">
        <v>83</v>
      </c>
      <c r="F157" s="2">
        <v>67</v>
      </c>
      <c r="G157" s="2">
        <v>66</v>
      </c>
      <c r="H157" t="s">
        <v>1793</v>
      </c>
      <c r="I157" s="2">
        <v>10</v>
      </c>
      <c r="J157" s="1">
        <v>45474</v>
      </c>
      <c r="K157" s="1">
        <v>45838</v>
      </c>
    </row>
    <row r="158" spans="1:11">
      <c r="A158" t="s">
        <v>983</v>
      </c>
      <c r="B158" s="2">
        <v>75</v>
      </c>
      <c r="C158" s="2">
        <v>76</v>
      </c>
      <c r="D158" s="2">
        <v>56</v>
      </c>
      <c r="E158" s="2">
        <v>84</v>
      </c>
      <c r="F158" s="2">
        <v>65</v>
      </c>
      <c r="G158" s="2">
        <v>68</v>
      </c>
      <c r="H158" t="s">
        <v>1794</v>
      </c>
      <c r="I158" s="2">
        <v>15</v>
      </c>
      <c r="J158" s="1">
        <v>45474</v>
      </c>
      <c r="K158" s="1">
        <v>45838</v>
      </c>
    </row>
    <row r="159" spans="1:11">
      <c r="A159" t="s">
        <v>988</v>
      </c>
      <c r="B159" s="2">
        <v>75</v>
      </c>
      <c r="C159" s="2">
        <v>72</v>
      </c>
      <c r="D159" s="2">
        <v>53</v>
      </c>
      <c r="E159" s="2">
        <v>85</v>
      </c>
      <c r="F159" s="2">
        <v>70</v>
      </c>
      <c r="G159" s="2">
        <v>70</v>
      </c>
      <c r="H159" t="s">
        <v>1674</v>
      </c>
      <c r="I159" s="2">
        <v>18</v>
      </c>
      <c r="J159" s="1">
        <v>45474</v>
      </c>
      <c r="K159" s="1">
        <v>45838</v>
      </c>
    </row>
    <row r="160" spans="1:11">
      <c r="A160" t="s">
        <v>995</v>
      </c>
      <c r="B160" s="2">
        <v>80</v>
      </c>
      <c r="C160" s="2">
        <v>80</v>
      </c>
      <c r="D160" s="2">
        <v>62</v>
      </c>
      <c r="E160" s="2">
        <v>88</v>
      </c>
      <c r="F160" s="2">
        <v>72</v>
      </c>
      <c r="G160" s="2">
        <v>67</v>
      </c>
      <c r="H160" t="s">
        <v>1795</v>
      </c>
      <c r="I160" s="2">
        <v>12</v>
      </c>
      <c r="J160" s="1">
        <v>45474</v>
      </c>
      <c r="K160" s="1">
        <v>45838</v>
      </c>
    </row>
    <row r="161" spans="1:11">
      <c r="A161" t="s">
        <v>1000</v>
      </c>
      <c r="B161" s="2">
        <v>72</v>
      </c>
      <c r="C161" s="2">
        <v>70</v>
      </c>
      <c r="D161" s="2">
        <v>52</v>
      </c>
      <c r="E161" s="2">
        <v>77</v>
      </c>
      <c r="F161" s="2">
        <v>65</v>
      </c>
      <c r="G161" s="2">
        <v>58</v>
      </c>
      <c r="H161" t="s">
        <v>1796</v>
      </c>
      <c r="I161" s="2">
        <v>12</v>
      </c>
      <c r="J161" s="1">
        <v>45474</v>
      </c>
      <c r="K161" s="1">
        <v>45838</v>
      </c>
    </row>
    <row r="162" spans="1:11">
      <c r="A162" t="s">
        <v>1006</v>
      </c>
      <c r="B162" s="2">
        <v>76</v>
      </c>
      <c r="C162" s="2">
        <v>76</v>
      </c>
      <c r="D162" s="2">
        <v>57</v>
      </c>
      <c r="E162" s="2">
        <v>85</v>
      </c>
      <c r="F162" s="2">
        <v>70</v>
      </c>
      <c r="G162" s="2">
        <v>67</v>
      </c>
      <c r="H162" t="s">
        <v>1713</v>
      </c>
      <c r="I162" s="2">
        <v>12</v>
      </c>
      <c r="J162" s="1">
        <v>45474</v>
      </c>
      <c r="K162" s="1">
        <v>45838</v>
      </c>
    </row>
    <row r="163" spans="1:11">
      <c r="A163" t="s">
        <v>1012</v>
      </c>
      <c r="B163" s="2">
        <v>79</v>
      </c>
      <c r="C163" s="2">
        <v>77</v>
      </c>
      <c r="D163" s="2">
        <v>61</v>
      </c>
      <c r="E163" s="2">
        <v>87</v>
      </c>
      <c r="F163" s="2">
        <v>77</v>
      </c>
      <c r="G163" s="2">
        <v>79</v>
      </c>
      <c r="H163" t="s">
        <v>1797</v>
      </c>
      <c r="I163" s="2">
        <v>17</v>
      </c>
      <c r="J163" s="1">
        <v>45474</v>
      </c>
      <c r="K163" s="1">
        <v>45838</v>
      </c>
    </row>
    <row r="164" spans="1:11">
      <c r="A164" t="s">
        <v>1017</v>
      </c>
      <c r="B164" s="2">
        <v>79</v>
      </c>
      <c r="C164" s="2">
        <v>82</v>
      </c>
      <c r="D164" s="2">
        <v>62</v>
      </c>
      <c r="E164" s="2">
        <v>84</v>
      </c>
      <c r="F164" s="2">
        <v>63</v>
      </c>
      <c r="G164" s="2">
        <v>59</v>
      </c>
      <c r="H164" t="s">
        <v>1798</v>
      </c>
      <c r="I164" s="2">
        <v>11</v>
      </c>
      <c r="J164" s="1">
        <v>45474</v>
      </c>
      <c r="K164" s="1">
        <v>45838</v>
      </c>
    </row>
    <row r="165" spans="1:11">
      <c r="A165" t="s">
        <v>1024</v>
      </c>
      <c r="B165" s="2">
        <v>88</v>
      </c>
      <c r="C165" s="2">
        <v>91</v>
      </c>
      <c r="D165" s="2">
        <v>77</v>
      </c>
      <c r="E165" s="2">
        <v>77</v>
      </c>
      <c r="F165" s="2">
        <v>81</v>
      </c>
      <c r="G165" s="2">
        <v>77</v>
      </c>
      <c r="H165" t="s">
        <v>1718</v>
      </c>
      <c r="I165" s="2">
        <v>16</v>
      </c>
      <c r="J165" s="1">
        <v>45474</v>
      </c>
      <c r="K165" s="1">
        <v>45838</v>
      </c>
    </row>
    <row r="166" spans="1:11">
      <c r="A166" t="s">
        <v>1031</v>
      </c>
      <c r="B166" s="2">
        <v>73</v>
      </c>
      <c r="C166" s="2">
        <v>76</v>
      </c>
      <c r="D166" s="2">
        <v>52</v>
      </c>
      <c r="E166" s="2">
        <v>84</v>
      </c>
      <c r="F166" s="2">
        <v>71</v>
      </c>
      <c r="G166" s="2">
        <v>72</v>
      </c>
      <c r="H166" t="s">
        <v>1799</v>
      </c>
      <c r="I166" s="2">
        <v>17</v>
      </c>
      <c r="J166" s="1">
        <v>45474</v>
      </c>
      <c r="K166" s="1">
        <v>45838</v>
      </c>
    </row>
    <row r="167" spans="1:11">
      <c r="A167" t="s">
        <v>1036</v>
      </c>
      <c r="B167" s="2">
        <v>85</v>
      </c>
      <c r="C167" s="2">
        <v>81</v>
      </c>
      <c r="D167" s="2">
        <v>70</v>
      </c>
      <c r="E167" s="2">
        <v>91</v>
      </c>
      <c r="F167" s="2">
        <v>81</v>
      </c>
      <c r="G167" s="2">
        <v>84</v>
      </c>
      <c r="H167" t="s">
        <v>1750</v>
      </c>
      <c r="I167" s="2">
        <v>31</v>
      </c>
      <c r="J167" s="1">
        <v>45474</v>
      </c>
      <c r="K167" s="1">
        <v>45838</v>
      </c>
    </row>
    <row r="168" spans="1:11">
      <c r="A168" t="s">
        <v>1040</v>
      </c>
      <c r="B168" s="2">
        <v>69</v>
      </c>
      <c r="C168" s="2">
        <v>70</v>
      </c>
      <c r="D168" s="2">
        <v>50</v>
      </c>
      <c r="E168" s="2">
        <v>78</v>
      </c>
      <c r="F168" s="2">
        <v>57</v>
      </c>
      <c r="G168" s="2">
        <v>53</v>
      </c>
      <c r="H168" t="s">
        <v>1800</v>
      </c>
      <c r="I168" s="2">
        <v>12</v>
      </c>
      <c r="J168" s="1">
        <v>45474</v>
      </c>
      <c r="K168" s="1">
        <v>45838</v>
      </c>
    </row>
    <row r="169" spans="1:11">
      <c r="A169" t="s">
        <v>1046</v>
      </c>
      <c r="B169" s="2">
        <v>81</v>
      </c>
      <c r="C169" s="2">
        <v>78</v>
      </c>
      <c r="D169" s="2">
        <v>61</v>
      </c>
      <c r="E169" s="2">
        <v>87</v>
      </c>
      <c r="F169" s="2">
        <v>77</v>
      </c>
      <c r="G169" s="2">
        <v>79</v>
      </c>
      <c r="H169" t="s">
        <v>1801</v>
      </c>
      <c r="I169" s="2">
        <v>18</v>
      </c>
      <c r="J169" s="1">
        <v>45474</v>
      </c>
      <c r="K169" s="1">
        <v>45838</v>
      </c>
    </row>
    <row r="170" spans="1:11">
      <c r="A170" t="s">
        <v>1051</v>
      </c>
      <c r="B170" s="2">
        <v>76</v>
      </c>
      <c r="C170" s="2">
        <v>75</v>
      </c>
      <c r="D170" s="2">
        <v>59</v>
      </c>
      <c r="E170" s="2">
        <v>83</v>
      </c>
      <c r="F170" s="2">
        <v>65</v>
      </c>
      <c r="G170" s="2">
        <v>66</v>
      </c>
      <c r="H170" t="s">
        <v>1802</v>
      </c>
      <c r="I170" s="2">
        <v>13</v>
      </c>
      <c r="J170" s="1">
        <v>45474</v>
      </c>
      <c r="K170" s="1">
        <v>45838</v>
      </c>
    </row>
    <row r="171" spans="1:11">
      <c r="A171" t="s">
        <v>1056</v>
      </c>
      <c r="B171" s="2">
        <v>81</v>
      </c>
      <c r="C171" s="2">
        <v>82</v>
      </c>
      <c r="D171" s="2">
        <v>63</v>
      </c>
      <c r="E171" s="2">
        <v>85</v>
      </c>
      <c r="F171" s="2">
        <v>71</v>
      </c>
      <c r="G171" s="2">
        <v>69</v>
      </c>
      <c r="H171" t="s">
        <v>1803</v>
      </c>
      <c r="I171" s="2">
        <v>18</v>
      </c>
      <c r="J171" s="1">
        <v>45474</v>
      </c>
      <c r="K171" s="1">
        <v>45838</v>
      </c>
    </row>
    <row r="172" spans="1:11">
      <c r="A172" t="s">
        <v>1061</v>
      </c>
      <c r="B172" s="2">
        <v>84</v>
      </c>
      <c r="C172" s="2">
        <v>86</v>
      </c>
      <c r="D172" s="2">
        <v>65</v>
      </c>
      <c r="E172" s="2">
        <v>88</v>
      </c>
      <c r="F172" s="2">
        <v>83</v>
      </c>
      <c r="G172" s="2">
        <v>83</v>
      </c>
      <c r="H172" t="s">
        <v>1804</v>
      </c>
      <c r="I172" s="2">
        <v>37</v>
      </c>
      <c r="J172" s="1">
        <v>45474</v>
      </c>
      <c r="K172" s="1">
        <v>45838</v>
      </c>
    </row>
    <row r="173" spans="1:11">
      <c r="A173" t="s">
        <v>1065</v>
      </c>
      <c r="B173" s="2">
        <v>86</v>
      </c>
      <c r="C173" s="2">
        <v>85</v>
      </c>
      <c r="D173" s="2">
        <v>79</v>
      </c>
      <c r="E173" s="2">
        <v>93</v>
      </c>
      <c r="F173" s="2">
        <v>82</v>
      </c>
      <c r="G173" s="2">
        <v>78</v>
      </c>
      <c r="H173" t="s">
        <v>1805</v>
      </c>
      <c r="I173" s="2">
        <v>25</v>
      </c>
      <c r="J173" s="1">
        <v>45474</v>
      </c>
      <c r="K173" s="1">
        <v>45838</v>
      </c>
    </row>
    <row r="174" spans="1:11">
      <c r="A174" t="s">
        <v>1070</v>
      </c>
      <c r="B174" s="2">
        <v>72</v>
      </c>
      <c r="C174" s="2">
        <v>75</v>
      </c>
      <c r="D174" s="2">
        <v>53</v>
      </c>
      <c r="E174" s="2">
        <v>81</v>
      </c>
      <c r="F174" s="2">
        <v>67</v>
      </c>
      <c r="G174" s="2">
        <v>70</v>
      </c>
      <c r="H174" t="s">
        <v>1806</v>
      </c>
      <c r="I174" s="2">
        <v>13</v>
      </c>
      <c r="J174" s="1">
        <v>45474</v>
      </c>
      <c r="K174" s="1">
        <v>45838</v>
      </c>
    </row>
    <row r="175" spans="1:11">
      <c r="A175" t="s">
        <v>1075</v>
      </c>
      <c r="B175" s="2">
        <v>77</v>
      </c>
      <c r="C175" s="2">
        <v>77</v>
      </c>
      <c r="D175" s="2">
        <v>60</v>
      </c>
      <c r="E175" s="2">
        <v>87</v>
      </c>
      <c r="F175" s="2">
        <v>79</v>
      </c>
      <c r="G175" s="2">
        <v>80</v>
      </c>
      <c r="H175" t="s">
        <v>1807</v>
      </c>
      <c r="I175" s="2">
        <v>18</v>
      </c>
      <c r="J175" s="1">
        <v>45474</v>
      </c>
      <c r="K175" s="1">
        <v>45838</v>
      </c>
    </row>
    <row r="176" spans="1:11">
      <c r="A176" t="s">
        <v>1081</v>
      </c>
      <c r="B176" s="2">
        <v>75</v>
      </c>
      <c r="C176" s="2">
        <v>72</v>
      </c>
      <c r="D176" s="2">
        <v>51</v>
      </c>
      <c r="E176" s="2">
        <v>80</v>
      </c>
      <c r="F176" s="2">
        <v>68</v>
      </c>
      <c r="G176" s="2">
        <v>67</v>
      </c>
      <c r="H176" t="s">
        <v>1676</v>
      </c>
      <c r="I176" s="2">
        <v>11</v>
      </c>
      <c r="J176" s="1">
        <v>45474</v>
      </c>
      <c r="K176" s="1">
        <v>45838</v>
      </c>
    </row>
    <row r="177" spans="1:11">
      <c r="A177" t="s">
        <v>1086</v>
      </c>
      <c r="B177" s="2">
        <v>86</v>
      </c>
      <c r="C177" s="2">
        <v>82</v>
      </c>
      <c r="D177" s="2">
        <v>41</v>
      </c>
      <c r="E177" s="2">
        <v>84</v>
      </c>
      <c r="F177" s="2">
        <v>74</v>
      </c>
      <c r="G177" s="2">
        <v>74</v>
      </c>
      <c r="H177" t="s">
        <v>1808</v>
      </c>
      <c r="I177" s="2">
        <v>24</v>
      </c>
      <c r="J177" s="1">
        <v>45474</v>
      </c>
      <c r="K177" s="1">
        <v>45838</v>
      </c>
    </row>
    <row r="178" spans="1:11">
      <c r="A178" t="s">
        <v>1090</v>
      </c>
      <c r="B178" s="2">
        <v>78</v>
      </c>
      <c r="C178" s="2">
        <v>83</v>
      </c>
      <c r="D178" s="2">
        <v>53</v>
      </c>
      <c r="E178" s="2">
        <v>88</v>
      </c>
      <c r="F178" s="2">
        <v>71</v>
      </c>
      <c r="G178" s="2">
        <v>73</v>
      </c>
      <c r="H178" t="s">
        <v>1732</v>
      </c>
      <c r="I178" s="2">
        <v>25</v>
      </c>
      <c r="J178" s="1">
        <v>45474</v>
      </c>
      <c r="K178" s="1">
        <v>45838</v>
      </c>
    </row>
    <row r="179" spans="1:11">
      <c r="A179" t="s">
        <v>1095</v>
      </c>
      <c r="B179" s="2">
        <v>85</v>
      </c>
      <c r="C179" s="2">
        <v>84</v>
      </c>
      <c r="D179" s="2">
        <v>67</v>
      </c>
      <c r="E179" s="2">
        <v>84</v>
      </c>
      <c r="F179" s="2">
        <v>75</v>
      </c>
      <c r="G179" s="2">
        <v>64</v>
      </c>
      <c r="H179" t="s">
        <v>1809</v>
      </c>
      <c r="I179" s="2">
        <v>11</v>
      </c>
      <c r="J179" s="1">
        <v>45474</v>
      </c>
      <c r="K179" s="1">
        <v>45838</v>
      </c>
    </row>
    <row r="180" spans="1:11">
      <c r="A180" t="s">
        <v>1102</v>
      </c>
      <c r="H180" t="s">
        <v>176</v>
      </c>
      <c r="J180" s="1">
        <v>45474</v>
      </c>
      <c r="K180" s="1">
        <v>45838</v>
      </c>
    </row>
    <row r="181" spans="1:11">
      <c r="A181" t="s">
        <v>1106</v>
      </c>
      <c r="B181" s="2">
        <v>86</v>
      </c>
      <c r="C181" s="2">
        <v>80</v>
      </c>
      <c r="D181" s="2">
        <v>70</v>
      </c>
      <c r="E181" s="2">
        <v>83</v>
      </c>
      <c r="F181" s="2">
        <v>79</v>
      </c>
      <c r="G181" s="2">
        <v>81</v>
      </c>
      <c r="H181" t="s">
        <v>1810</v>
      </c>
      <c r="I181" s="2">
        <v>15</v>
      </c>
      <c r="J181" s="1">
        <v>45474</v>
      </c>
      <c r="K181" s="1">
        <v>45838</v>
      </c>
    </row>
    <row r="182" spans="1:11">
      <c r="A182" t="s">
        <v>1112</v>
      </c>
      <c r="B182" s="2">
        <v>87</v>
      </c>
      <c r="C182" s="2">
        <v>84</v>
      </c>
      <c r="D182" s="2">
        <v>74</v>
      </c>
      <c r="E182" s="2">
        <v>91</v>
      </c>
      <c r="F182" s="2">
        <v>84</v>
      </c>
      <c r="G182" s="2">
        <v>86</v>
      </c>
      <c r="H182" t="s">
        <v>1811</v>
      </c>
      <c r="I182" s="2">
        <v>44</v>
      </c>
      <c r="J182" s="1">
        <v>45474</v>
      </c>
      <c r="K182" s="1">
        <v>45838</v>
      </c>
    </row>
    <row r="183" spans="1:11">
      <c r="A183" t="s">
        <v>1116</v>
      </c>
      <c r="B183" s="2">
        <v>81</v>
      </c>
      <c r="C183" s="2">
        <v>80</v>
      </c>
      <c r="D183" s="2">
        <v>61</v>
      </c>
      <c r="E183" s="2">
        <v>88</v>
      </c>
      <c r="F183" s="2">
        <v>76</v>
      </c>
      <c r="G183" s="2">
        <v>77</v>
      </c>
      <c r="H183" t="s">
        <v>1812</v>
      </c>
      <c r="I183" s="2">
        <v>19</v>
      </c>
      <c r="J183" s="1">
        <v>45474</v>
      </c>
      <c r="K183" s="1">
        <v>45838</v>
      </c>
    </row>
    <row r="184" spans="1:11">
      <c r="A184" t="s">
        <v>1122</v>
      </c>
      <c r="B184" s="2">
        <v>81</v>
      </c>
      <c r="C184" s="2">
        <v>78</v>
      </c>
      <c r="D184" s="2">
        <v>64</v>
      </c>
      <c r="E184" s="2">
        <v>90</v>
      </c>
      <c r="F184" s="2">
        <v>78</v>
      </c>
      <c r="G184" s="2">
        <v>78</v>
      </c>
      <c r="H184" t="s">
        <v>1813</v>
      </c>
      <c r="I184" s="2">
        <v>15</v>
      </c>
      <c r="J184" s="1">
        <v>45474</v>
      </c>
      <c r="K184" s="1">
        <v>45838</v>
      </c>
    </row>
    <row r="185" spans="1:11">
      <c r="A185" t="s">
        <v>1127</v>
      </c>
      <c r="B185" s="2">
        <v>76</v>
      </c>
      <c r="C185" s="2">
        <v>75</v>
      </c>
      <c r="D185" s="2">
        <v>54</v>
      </c>
      <c r="E185" s="2">
        <v>86</v>
      </c>
      <c r="F185" s="2">
        <v>69</v>
      </c>
      <c r="G185" s="2">
        <v>70</v>
      </c>
      <c r="H185" t="s">
        <v>1814</v>
      </c>
      <c r="I185" s="2">
        <v>13</v>
      </c>
      <c r="J185" s="1">
        <v>45474</v>
      </c>
      <c r="K185" s="1">
        <v>45838</v>
      </c>
    </row>
    <row r="186" spans="1:11">
      <c r="A186" t="s">
        <v>1133</v>
      </c>
      <c r="B186" s="2">
        <v>73</v>
      </c>
      <c r="C186" s="2">
        <v>77</v>
      </c>
      <c r="D186" s="2">
        <v>56</v>
      </c>
      <c r="E186" s="2">
        <v>86</v>
      </c>
      <c r="F186" s="2">
        <v>71</v>
      </c>
      <c r="G186" s="2">
        <v>69</v>
      </c>
      <c r="H186" t="s">
        <v>1815</v>
      </c>
      <c r="I186" s="2">
        <v>13</v>
      </c>
      <c r="J186" s="1">
        <v>45474</v>
      </c>
      <c r="K186" s="1">
        <v>45838</v>
      </c>
    </row>
    <row r="187" spans="1:11">
      <c r="A187" t="s">
        <v>1137</v>
      </c>
      <c r="B187" s="2">
        <v>88</v>
      </c>
      <c r="C187" s="2">
        <v>86</v>
      </c>
      <c r="D187" s="2">
        <v>73</v>
      </c>
      <c r="E187" s="2">
        <v>90</v>
      </c>
      <c r="F187" s="2">
        <v>87</v>
      </c>
      <c r="G187" s="2">
        <v>88</v>
      </c>
      <c r="H187" t="s">
        <v>1816</v>
      </c>
      <c r="I187" s="2">
        <v>24</v>
      </c>
      <c r="J187" s="1">
        <v>45474</v>
      </c>
      <c r="K187" s="1">
        <v>45838</v>
      </c>
    </row>
    <row r="188" spans="1:11">
      <c r="A188" t="s">
        <v>1142</v>
      </c>
      <c r="B188" s="2">
        <v>81</v>
      </c>
      <c r="C188" s="2">
        <v>84</v>
      </c>
      <c r="D188" s="2">
        <v>62</v>
      </c>
      <c r="E188" s="2">
        <v>87</v>
      </c>
      <c r="F188" s="2">
        <v>82</v>
      </c>
      <c r="G188" s="2">
        <v>79</v>
      </c>
      <c r="H188" t="s">
        <v>1817</v>
      </c>
      <c r="I188" s="2">
        <v>11</v>
      </c>
      <c r="J188" s="1">
        <v>45474</v>
      </c>
      <c r="K188" s="1">
        <v>45838</v>
      </c>
    </row>
    <row r="189" spans="1:11">
      <c r="A189" t="s">
        <v>1148</v>
      </c>
      <c r="B189" s="2">
        <v>78</v>
      </c>
      <c r="C189" s="2">
        <v>71</v>
      </c>
      <c r="D189" s="2">
        <v>57</v>
      </c>
      <c r="E189" s="2">
        <v>79</v>
      </c>
      <c r="F189" s="2">
        <v>72</v>
      </c>
      <c r="G189" s="2">
        <v>76</v>
      </c>
      <c r="H189" t="s">
        <v>1818</v>
      </c>
      <c r="I189" s="2">
        <v>41</v>
      </c>
      <c r="J189" s="1">
        <v>45474</v>
      </c>
      <c r="K189" s="1">
        <v>45838</v>
      </c>
    </row>
    <row r="190" spans="1:11">
      <c r="A190" t="s">
        <v>1152</v>
      </c>
      <c r="B190" s="2">
        <v>88</v>
      </c>
      <c r="C190" s="2">
        <v>86</v>
      </c>
      <c r="D190" s="2">
        <v>71</v>
      </c>
      <c r="E190" s="2">
        <v>89</v>
      </c>
      <c r="F190" s="2">
        <v>85</v>
      </c>
      <c r="G190" s="2">
        <v>85</v>
      </c>
      <c r="H190" t="s">
        <v>1819</v>
      </c>
      <c r="I190" s="2">
        <v>42</v>
      </c>
      <c r="J190" s="1">
        <v>45474</v>
      </c>
      <c r="K190" s="1">
        <v>45838</v>
      </c>
    </row>
    <row r="191" spans="1:11">
      <c r="A191" t="s">
        <v>1157</v>
      </c>
      <c r="B191" s="2">
        <v>88</v>
      </c>
      <c r="C191" s="2">
        <v>90</v>
      </c>
      <c r="D191" s="2">
        <v>71</v>
      </c>
      <c r="E191" s="2">
        <v>89</v>
      </c>
      <c r="F191" s="2">
        <v>88</v>
      </c>
      <c r="G191" s="2">
        <v>88</v>
      </c>
      <c r="H191" t="s">
        <v>1820</v>
      </c>
      <c r="I191" s="2">
        <v>23</v>
      </c>
      <c r="J191" s="1">
        <v>45474</v>
      </c>
      <c r="K191" s="1">
        <v>45838</v>
      </c>
    </row>
    <row r="192" spans="1:11">
      <c r="A192" t="s">
        <v>1161</v>
      </c>
      <c r="B192" s="2">
        <v>83</v>
      </c>
      <c r="C192" s="2">
        <v>79</v>
      </c>
      <c r="D192" s="2">
        <v>62</v>
      </c>
      <c r="E192" s="2">
        <v>86</v>
      </c>
      <c r="F192" s="2">
        <v>78</v>
      </c>
      <c r="G192" s="2">
        <v>78</v>
      </c>
      <c r="H192" t="s">
        <v>1821</v>
      </c>
      <c r="I192" s="2">
        <v>13</v>
      </c>
      <c r="J192" s="1">
        <v>45474</v>
      </c>
      <c r="K192" s="1">
        <v>45838</v>
      </c>
    </row>
    <row r="193" spans="1:11">
      <c r="A193" t="s">
        <v>1167</v>
      </c>
      <c r="B193" s="2">
        <v>87</v>
      </c>
      <c r="C193" s="2">
        <v>87</v>
      </c>
      <c r="D193" s="2">
        <v>65</v>
      </c>
      <c r="E193" s="2">
        <v>90</v>
      </c>
      <c r="F193" s="2">
        <v>83</v>
      </c>
      <c r="G193" s="2">
        <v>87</v>
      </c>
      <c r="H193" t="s">
        <v>1822</v>
      </c>
      <c r="I193" s="2">
        <v>43</v>
      </c>
      <c r="J193" s="1">
        <v>45474</v>
      </c>
      <c r="K193" s="1">
        <v>45838</v>
      </c>
    </row>
    <row r="194" spans="1:11">
      <c r="A194" t="s">
        <v>1171</v>
      </c>
      <c r="B194" s="2">
        <v>91</v>
      </c>
      <c r="C194" s="2">
        <v>87</v>
      </c>
      <c r="D194" s="2">
        <v>77</v>
      </c>
      <c r="E194" s="2">
        <v>91</v>
      </c>
      <c r="F194" s="2">
        <v>86</v>
      </c>
      <c r="G194" s="2">
        <v>87</v>
      </c>
      <c r="H194" t="s">
        <v>1739</v>
      </c>
      <c r="I194" s="2">
        <v>22</v>
      </c>
      <c r="J194" s="1">
        <v>45474</v>
      </c>
      <c r="K194" s="1">
        <v>45838</v>
      </c>
    </row>
    <row r="195" spans="1:11">
      <c r="A195" t="s">
        <v>1176</v>
      </c>
      <c r="B195" s="2">
        <v>77</v>
      </c>
      <c r="C195" s="2">
        <v>76</v>
      </c>
      <c r="D195" s="2">
        <v>56</v>
      </c>
      <c r="E195" s="2">
        <v>83</v>
      </c>
      <c r="F195" s="2">
        <v>71</v>
      </c>
      <c r="G195" s="2">
        <v>70</v>
      </c>
      <c r="H195" t="s">
        <v>1823</v>
      </c>
      <c r="I195" s="2">
        <v>14</v>
      </c>
      <c r="J195" s="1">
        <v>45474</v>
      </c>
      <c r="K195" s="1">
        <v>45838</v>
      </c>
    </row>
    <row r="196" spans="1:11">
      <c r="A196" t="s">
        <v>1181</v>
      </c>
      <c r="B196" s="2">
        <v>74</v>
      </c>
      <c r="C196" s="2">
        <v>78</v>
      </c>
      <c r="D196" s="2">
        <v>56</v>
      </c>
      <c r="E196" s="2">
        <v>85</v>
      </c>
      <c r="F196" s="2">
        <v>70</v>
      </c>
      <c r="G196" s="2">
        <v>71</v>
      </c>
      <c r="H196" t="s">
        <v>1824</v>
      </c>
      <c r="I196" s="2">
        <v>20</v>
      </c>
      <c r="J196" s="1">
        <v>45474</v>
      </c>
      <c r="K196" s="1">
        <v>45838</v>
      </c>
    </row>
    <row r="197" spans="1:11">
      <c r="A197" t="s">
        <v>1185</v>
      </c>
      <c r="B197" s="2">
        <v>75</v>
      </c>
      <c r="C197" s="2">
        <v>81</v>
      </c>
      <c r="D197" s="2">
        <v>60</v>
      </c>
      <c r="E197" s="2">
        <v>79</v>
      </c>
      <c r="F197" s="2">
        <v>67</v>
      </c>
      <c r="G197" s="2">
        <v>66</v>
      </c>
      <c r="H197" t="s">
        <v>1825</v>
      </c>
      <c r="I197" s="2">
        <v>25</v>
      </c>
      <c r="J197" s="1">
        <v>45474</v>
      </c>
      <c r="K197" s="1">
        <v>45838</v>
      </c>
    </row>
    <row r="198" spans="1:11">
      <c r="A198" t="s">
        <v>1190</v>
      </c>
      <c r="B198" s="2">
        <v>78</v>
      </c>
      <c r="C198" s="2">
        <v>82</v>
      </c>
      <c r="D198" s="2">
        <v>55</v>
      </c>
      <c r="E198" s="2">
        <v>88</v>
      </c>
      <c r="F198" s="2">
        <v>73</v>
      </c>
      <c r="G198" s="2">
        <v>76</v>
      </c>
      <c r="H198" t="s">
        <v>1826</v>
      </c>
      <c r="I198" s="2">
        <v>31</v>
      </c>
      <c r="J198" s="1">
        <v>45474</v>
      </c>
      <c r="K198" s="1">
        <v>45838</v>
      </c>
    </row>
    <row r="199" spans="1:11">
      <c r="A199" t="s">
        <v>1195</v>
      </c>
      <c r="B199" s="2">
        <v>88</v>
      </c>
      <c r="C199" s="2">
        <v>85</v>
      </c>
      <c r="D199" s="2">
        <v>74</v>
      </c>
      <c r="E199" s="2">
        <v>91</v>
      </c>
      <c r="F199" s="2">
        <v>90</v>
      </c>
      <c r="G199" s="2">
        <v>90</v>
      </c>
      <c r="H199" t="s">
        <v>1827</v>
      </c>
      <c r="I199" s="2">
        <v>44</v>
      </c>
      <c r="J199" s="1">
        <v>45474</v>
      </c>
      <c r="K199" s="1">
        <v>45838</v>
      </c>
    </row>
    <row r="200" spans="1:11">
      <c r="A200" t="s">
        <v>1200</v>
      </c>
      <c r="B200" s="2">
        <v>81</v>
      </c>
      <c r="C200" s="2">
        <v>82</v>
      </c>
      <c r="D200" s="2">
        <v>62</v>
      </c>
      <c r="E200" s="2">
        <v>84</v>
      </c>
      <c r="F200" s="2">
        <v>82</v>
      </c>
      <c r="G200" s="2">
        <v>83</v>
      </c>
      <c r="H200" t="s">
        <v>1828</v>
      </c>
      <c r="I200" s="2">
        <v>33</v>
      </c>
      <c r="J200" s="1">
        <v>45474</v>
      </c>
      <c r="K200" s="1">
        <v>45838</v>
      </c>
    </row>
    <row r="201" spans="1:11">
      <c r="A201" t="s">
        <v>1205</v>
      </c>
      <c r="B201" s="2">
        <v>78</v>
      </c>
      <c r="C201" s="2">
        <v>85</v>
      </c>
      <c r="D201" s="2">
        <v>62</v>
      </c>
      <c r="E201" s="2">
        <v>88</v>
      </c>
      <c r="F201" s="2">
        <v>77</v>
      </c>
      <c r="G201" s="2">
        <v>76</v>
      </c>
      <c r="H201" t="s">
        <v>1829</v>
      </c>
      <c r="I201" s="2">
        <v>33</v>
      </c>
      <c r="J201" s="1">
        <v>45474</v>
      </c>
      <c r="K201" s="1">
        <v>45838</v>
      </c>
    </row>
    <row r="202" spans="1:11">
      <c r="A202" t="s">
        <v>1210</v>
      </c>
      <c r="B202" s="2">
        <v>76</v>
      </c>
      <c r="C202" s="2">
        <v>82</v>
      </c>
      <c r="D202" s="2">
        <v>55</v>
      </c>
      <c r="E202" s="2">
        <v>87</v>
      </c>
      <c r="F202" s="2">
        <v>72</v>
      </c>
      <c r="G202" s="2">
        <v>73</v>
      </c>
      <c r="H202" t="s">
        <v>1830</v>
      </c>
      <c r="I202" s="2">
        <v>22</v>
      </c>
      <c r="J202" s="1">
        <v>45474</v>
      </c>
      <c r="K202" s="1">
        <v>45838</v>
      </c>
    </row>
    <row r="203" spans="1:11">
      <c r="A203" t="s">
        <v>1216</v>
      </c>
      <c r="B203" s="2">
        <v>79</v>
      </c>
      <c r="C203" s="2">
        <v>79</v>
      </c>
      <c r="D203" s="2">
        <v>66</v>
      </c>
      <c r="E203" s="2">
        <v>88</v>
      </c>
      <c r="F203" s="2">
        <v>75</v>
      </c>
      <c r="G203" s="2">
        <v>75</v>
      </c>
      <c r="H203" t="s">
        <v>1831</v>
      </c>
      <c r="I203" s="2">
        <v>12</v>
      </c>
      <c r="J203" s="1">
        <v>45474</v>
      </c>
      <c r="K203" s="1">
        <v>45838</v>
      </c>
    </row>
    <row r="204" spans="1:11">
      <c r="A204" t="s">
        <v>1221</v>
      </c>
      <c r="B204" s="2">
        <v>88</v>
      </c>
      <c r="C204" s="2">
        <v>85</v>
      </c>
      <c r="D204" s="2">
        <v>73</v>
      </c>
      <c r="E204" s="2">
        <v>90</v>
      </c>
      <c r="F204" s="2">
        <v>88</v>
      </c>
      <c r="G204" s="2">
        <v>90</v>
      </c>
      <c r="H204" t="s">
        <v>1832</v>
      </c>
      <c r="I204" s="2">
        <v>40</v>
      </c>
      <c r="J204" s="1">
        <v>45474</v>
      </c>
      <c r="K204" s="1">
        <v>45838</v>
      </c>
    </row>
    <row r="205" spans="1:11">
      <c r="A205" t="s">
        <v>1227</v>
      </c>
      <c r="B205" s="2">
        <v>91</v>
      </c>
      <c r="C205" s="2">
        <v>87</v>
      </c>
      <c r="D205" s="2">
        <v>68</v>
      </c>
      <c r="E205" s="2">
        <v>91</v>
      </c>
      <c r="F205" s="2">
        <v>87</v>
      </c>
      <c r="G205" s="2">
        <v>89</v>
      </c>
      <c r="H205" t="s">
        <v>1757</v>
      </c>
      <c r="I205" s="2">
        <v>43</v>
      </c>
      <c r="J205" s="1">
        <v>45474</v>
      </c>
      <c r="K205" s="1">
        <v>45838</v>
      </c>
    </row>
    <row r="206" spans="1:11">
      <c r="A206" t="s">
        <v>1231</v>
      </c>
      <c r="B206" s="2">
        <v>81</v>
      </c>
      <c r="C206" s="2">
        <v>82</v>
      </c>
      <c r="D206" s="2">
        <v>64</v>
      </c>
      <c r="E206" s="2">
        <v>88</v>
      </c>
      <c r="F206" s="2">
        <v>81</v>
      </c>
      <c r="G206" s="2">
        <v>83</v>
      </c>
      <c r="H206" t="s">
        <v>1833</v>
      </c>
      <c r="I206" s="2">
        <v>21</v>
      </c>
      <c r="J206" s="1">
        <v>45474</v>
      </c>
      <c r="K206" s="1">
        <v>45838</v>
      </c>
    </row>
    <row r="207" spans="1:11">
      <c r="A207" t="s">
        <v>1235</v>
      </c>
      <c r="B207" s="2">
        <v>90</v>
      </c>
      <c r="C207" s="2">
        <v>86</v>
      </c>
      <c r="D207" s="2">
        <v>77</v>
      </c>
      <c r="E207" s="2">
        <v>86</v>
      </c>
      <c r="F207" s="2">
        <v>89</v>
      </c>
      <c r="G207" s="2">
        <v>88</v>
      </c>
      <c r="H207" t="s">
        <v>1834</v>
      </c>
      <c r="I207" s="2">
        <v>31</v>
      </c>
      <c r="J207" s="1">
        <v>45474</v>
      </c>
      <c r="K207" s="1">
        <v>45838</v>
      </c>
    </row>
    <row r="208" spans="1:11">
      <c r="A208" t="s">
        <v>1239</v>
      </c>
      <c r="B208" s="2">
        <v>86</v>
      </c>
      <c r="C208" s="2">
        <v>84</v>
      </c>
      <c r="D208" s="2">
        <v>66</v>
      </c>
      <c r="E208" s="2">
        <v>92</v>
      </c>
      <c r="F208" s="2">
        <v>88</v>
      </c>
      <c r="G208" s="2">
        <v>86</v>
      </c>
      <c r="H208" t="s">
        <v>1728</v>
      </c>
      <c r="I208" s="2">
        <v>35</v>
      </c>
      <c r="J208" s="1">
        <v>45474</v>
      </c>
      <c r="K208" s="1">
        <v>45838</v>
      </c>
    </row>
    <row r="209" spans="1:11">
      <c r="A209" t="s">
        <v>1244</v>
      </c>
      <c r="H209" t="s">
        <v>176</v>
      </c>
      <c r="J209" s="1">
        <v>45474</v>
      </c>
      <c r="K209" s="1">
        <v>45838</v>
      </c>
    </row>
    <row r="210" spans="1:11">
      <c r="A210" t="s">
        <v>1248</v>
      </c>
      <c r="B210" s="2">
        <v>84</v>
      </c>
      <c r="C210" s="2">
        <v>85</v>
      </c>
      <c r="D210" s="2">
        <v>48</v>
      </c>
      <c r="E210" s="2">
        <v>88</v>
      </c>
      <c r="F210" s="2">
        <v>76</v>
      </c>
      <c r="G210" s="2">
        <v>79</v>
      </c>
      <c r="H210" t="s">
        <v>1835</v>
      </c>
      <c r="I210" s="2">
        <v>23</v>
      </c>
      <c r="J210" s="1">
        <v>45474</v>
      </c>
      <c r="K210" s="1">
        <v>45838</v>
      </c>
    </row>
    <row r="211" spans="1:11">
      <c r="A211" t="s">
        <v>1253</v>
      </c>
      <c r="B211" s="2">
        <v>76</v>
      </c>
      <c r="C211" s="2">
        <v>78</v>
      </c>
      <c r="D211" s="2">
        <v>66</v>
      </c>
      <c r="E211" s="2">
        <v>83</v>
      </c>
      <c r="F211" s="2">
        <v>64</v>
      </c>
      <c r="G211" s="2">
        <v>68</v>
      </c>
      <c r="H211" t="s">
        <v>1733</v>
      </c>
      <c r="I211" s="2">
        <v>32</v>
      </c>
      <c r="J211" s="1">
        <v>45474</v>
      </c>
      <c r="K211" s="1">
        <v>45838</v>
      </c>
    </row>
    <row r="212" spans="1:11">
      <c r="A212" t="s">
        <v>1258</v>
      </c>
      <c r="B212" s="2">
        <v>88</v>
      </c>
      <c r="C212" s="2">
        <v>84</v>
      </c>
      <c r="D212" s="2">
        <v>76</v>
      </c>
      <c r="E212" s="2">
        <v>87</v>
      </c>
      <c r="F212" s="2">
        <v>86</v>
      </c>
      <c r="G212" s="2">
        <v>88</v>
      </c>
      <c r="H212" t="s">
        <v>1811</v>
      </c>
      <c r="I212" s="2">
        <v>36</v>
      </c>
      <c r="J212" s="1">
        <v>45474</v>
      </c>
      <c r="K212" s="1">
        <v>45838</v>
      </c>
    </row>
    <row r="213" spans="1:11">
      <c r="A213" t="s">
        <v>1262</v>
      </c>
      <c r="H213" t="s">
        <v>176</v>
      </c>
      <c r="J213" s="1">
        <v>45474</v>
      </c>
      <c r="K213" s="1">
        <v>45838</v>
      </c>
    </row>
    <row r="214" spans="1:11">
      <c r="A214" t="s">
        <v>1266</v>
      </c>
      <c r="B214" s="2">
        <v>82</v>
      </c>
      <c r="C214" s="2">
        <v>80</v>
      </c>
      <c r="D214" s="2">
        <v>63</v>
      </c>
      <c r="E214" s="2">
        <v>89</v>
      </c>
      <c r="F214" s="2">
        <v>81</v>
      </c>
      <c r="G214" s="2">
        <v>83</v>
      </c>
      <c r="H214" t="s">
        <v>1836</v>
      </c>
      <c r="I214" s="2">
        <v>18</v>
      </c>
      <c r="J214" s="1">
        <v>45474</v>
      </c>
      <c r="K214" s="1">
        <v>45838</v>
      </c>
    </row>
    <row r="215" spans="1:11">
      <c r="A215" t="s">
        <v>1272</v>
      </c>
      <c r="B215" s="2">
        <v>85</v>
      </c>
      <c r="C215" s="2">
        <v>84</v>
      </c>
      <c r="D215" s="2">
        <v>68</v>
      </c>
      <c r="E215" s="2">
        <v>90</v>
      </c>
      <c r="F215" s="2">
        <v>88</v>
      </c>
      <c r="G215" s="2">
        <v>89</v>
      </c>
      <c r="H215" t="s">
        <v>1837</v>
      </c>
      <c r="I215" s="2">
        <v>31</v>
      </c>
      <c r="J215" s="1">
        <v>45474</v>
      </c>
      <c r="K215" s="1">
        <v>45838</v>
      </c>
    </row>
    <row r="216" spans="1:11">
      <c r="A216" t="s">
        <v>1276</v>
      </c>
      <c r="B216" s="2">
        <v>75</v>
      </c>
      <c r="C216" s="2">
        <v>72</v>
      </c>
      <c r="D216" s="2">
        <v>57</v>
      </c>
      <c r="E216" s="2">
        <v>81</v>
      </c>
      <c r="F216" s="2">
        <v>68</v>
      </c>
      <c r="G216" s="2">
        <v>65</v>
      </c>
      <c r="H216" t="s">
        <v>1838</v>
      </c>
      <c r="I216" s="2">
        <v>17</v>
      </c>
      <c r="J216" s="1">
        <v>45474</v>
      </c>
      <c r="K216" s="1">
        <v>45838</v>
      </c>
    </row>
    <row r="217" spans="1:11">
      <c r="A217" t="s">
        <v>1281</v>
      </c>
      <c r="B217" s="2">
        <v>81</v>
      </c>
      <c r="C217" s="2">
        <v>80</v>
      </c>
      <c r="D217" s="2">
        <v>62</v>
      </c>
      <c r="E217" s="2">
        <v>89</v>
      </c>
      <c r="F217" s="2">
        <v>77</v>
      </c>
      <c r="G217" s="2">
        <v>78</v>
      </c>
      <c r="H217" t="s">
        <v>1839</v>
      </c>
      <c r="I217" s="2">
        <v>20</v>
      </c>
      <c r="J217" s="1">
        <v>45474</v>
      </c>
      <c r="K217" s="1">
        <v>45838</v>
      </c>
    </row>
    <row r="218" spans="1:11">
      <c r="A218" t="s">
        <v>1286</v>
      </c>
      <c r="B218" s="2">
        <v>75</v>
      </c>
      <c r="C218" s="2">
        <v>77</v>
      </c>
      <c r="D218" s="2">
        <v>61</v>
      </c>
      <c r="E218" s="2">
        <v>85</v>
      </c>
      <c r="F218" s="2">
        <v>71</v>
      </c>
      <c r="G218" s="2">
        <v>72</v>
      </c>
      <c r="H218" t="s">
        <v>1691</v>
      </c>
      <c r="I218" s="2">
        <v>15</v>
      </c>
      <c r="J218" s="1">
        <v>45474</v>
      </c>
      <c r="K218" s="1">
        <v>45838</v>
      </c>
    </row>
    <row r="219" spans="1:11">
      <c r="A219" t="s">
        <v>1290</v>
      </c>
      <c r="B219" s="2">
        <v>73</v>
      </c>
      <c r="C219" s="2">
        <v>77</v>
      </c>
      <c r="D219" s="2">
        <v>57</v>
      </c>
      <c r="E219" s="2">
        <v>81</v>
      </c>
      <c r="F219" s="2">
        <v>65</v>
      </c>
      <c r="G219" s="2">
        <v>62</v>
      </c>
      <c r="H219" t="s">
        <v>1840</v>
      </c>
      <c r="I219" s="2">
        <v>12</v>
      </c>
      <c r="J219" s="1">
        <v>45474</v>
      </c>
      <c r="K219" s="1">
        <v>45838</v>
      </c>
    </row>
    <row r="220" spans="1:11">
      <c r="A220" t="s">
        <v>1296</v>
      </c>
      <c r="B220" s="2">
        <v>80</v>
      </c>
      <c r="C220" s="2">
        <v>78</v>
      </c>
      <c r="D220" s="2">
        <v>63</v>
      </c>
      <c r="E220" s="2">
        <v>88</v>
      </c>
      <c r="F220" s="2">
        <v>78</v>
      </c>
      <c r="G220" s="2">
        <v>80</v>
      </c>
      <c r="H220" t="s">
        <v>1694</v>
      </c>
      <c r="I220" s="2">
        <v>19</v>
      </c>
      <c r="J220" s="1">
        <v>45474</v>
      </c>
      <c r="K220" s="1">
        <v>45838</v>
      </c>
    </row>
    <row r="221" spans="1:11">
      <c r="A221" t="s">
        <v>1302</v>
      </c>
      <c r="B221" s="2">
        <v>69</v>
      </c>
      <c r="C221" s="2">
        <v>68</v>
      </c>
      <c r="D221" s="2">
        <v>51</v>
      </c>
      <c r="E221" s="2">
        <v>77</v>
      </c>
      <c r="F221" s="2">
        <v>58</v>
      </c>
      <c r="G221" s="2">
        <v>57</v>
      </c>
      <c r="H221" t="s">
        <v>1841</v>
      </c>
      <c r="I221" s="2">
        <v>12</v>
      </c>
      <c r="J221" s="1">
        <v>45474</v>
      </c>
      <c r="K221" s="1">
        <v>45838</v>
      </c>
    </row>
    <row r="222" spans="1:11">
      <c r="A222" t="s">
        <v>1307</v>
      </c>
      <c r="B222" s="2">
        <v>78</v>
      </c>
      <c r="C222" s="2">
        <v>85</v>
      </c>
      <c r="D222" s="2">
        <v>65</v>
      </c>
      <c r="E222" s="2">
        <v>91</v>
      </c>
      <c r="F222" s="2">
        <v>78</v>
      </c>
      <c r="G222" s="2">
        <v>80</v>
      </c>
      <c r="H222" t="s">
        <v>1842</v>
      </c>
      <c r="I222" s="2">
        <v>41</v>
      </c>
      <c r="J222" s="1">
        <v>45474</v>
      </c>
      <c r="K222" s="1">
        <v>45838</v>
      </c>
    </row>
    <row r="223" spans="1:11">
      <c r="A223" t="s">
        <v>1311</v>
      </c>
      <c r="B223" s="2">
        <v>71</v>
      </c>
      <c r="C223" s="2">
        <v>77</v>
      </c>
      <c r="D223" s="2">
        <v>57</v>
      </c>
      <c r="E223" s="2">
        <v>86</v>
      </c>
      <c r="F223" s="2">
        <v>64</v>
      </c>
      <c r="G223" s="2">
        <v>61</v>
      </c>
      <c r="H223" t="s">
        <v>1843</v>
      </c>
      <c r="I223" s="2">
        <v>9</v>
      </c>
      <c r="J223" s="1">
        <v>45474</v>
      </c>
      <c r="K223" s="1">
        <v>45838</v>
      </c>
    </row>
    <row r="224" spans="1:11">
      <c r="A224" t="s">
        <v>1316</v>
      </c>
      <c r="B224" s="2">
        <v>87</v>
      </c>
      <c r="C224" s="2">
        <v>87</v>
      </c>
      <c r="D224" s="2">
        <v>79</v>
      </c>
      <c r="E224" s="2">
        <v>88</v>
      </c>
      <c r="F224" s="2">
        <v>86</v>
      </c>
      <c r="G224" s="2">
        <v>84</v>
      </c>
      <c r="H224" t="s">
        <v>1844</v>
      </c>
      <c r="I224" s="2">
        <v>20</v>
      </c>
      <c r="J224" s="1">
        <v>45474</v>
      </c>
      <c r="K224" s="1">
        <v>45838</v>
      </c>
    </row>
    <row r="225" spans="1:11">
      <c r="A225" t="s">
        <v>1321</v>
      </c>
      <c r="B225" s="2">
        <v>75</v>
      </c>
      <c r="C225" s="2">
        <v>76</v>
      </c>
      <c r="D225" s="2">
        <v>58</v>
      </c>
      <c r="E225" s="2">
        <v>82</v>
      </c>
      <c r="F225" s="2">
        <v>69</v>
      </c>
      <c r="G225" s="2">
        <v>71</v>
      </c>
      <c r="H225" t="s">
        <v>1845</v>
      </c>
      <c r="I225" s="2">
        <v>22</v>
      </c>
      <c r="J225" s="1">
        <v>45474</v>
      </c>
      <c r="K225" s="1">
        <v>45838</v>
      </c>
    </row>
    <row r="226" spans="1:11">
      <c r="A226" t="s">
        <v>1325</v>
      </c>
      <c r="B226" s="2">
        <v>74</v>
      </c>
      <c r="C226" s="2">
        <v>76</v>
      </c>
      <c r="D226" s="2">
        <v>59</v>
      </c>
      <c r="E226" s="2">
        <v>85</v>
      </c>
      <c r="F226" s="2">
        <v>66</v>
      </c>
      <c r="G226" s="2">
        <v>65</v>
      </c>
      <c r="H226" t="s">
        <v>1846</v>
      </c>
      <c r="I226" s="2">
        <v>14</v>
      </c>
      <c r="J226" s="1">
        <v>45474</v>
      </c>
      <c r="K226" s="1">
        <v>45838</v>
      </c>
    </row>
    <row r="227" spans="1:11">
      <c r="A227" t="s">
        <v>1331</v>
      </c>
      <c r="B227" s="2">
        <v>78</v>
      </c>
      <c r="C227" s="2">
        <v>80</v>
      </c>
      <c r="D227" s="2">
        <v>60</v>
      </c>
      <c r="E227" s="2">
        <v>86</v>
      </c>
      <c r="F227" s="2">
        <v>80</v>
      </c>
      <c r="G227" s="2">
        <v>77</v>
      </c>
      <c r="H227" t="s">
        <v>1683</v>
      </c>
      <c r="I227" s="2">
        <v>30</v>
      </c>
      <c r="J227" s="1">
        <v>45474</v>
      </c>
      <c r="K227" s="1">
        <v>45838</v>
      </c>
    </row>
    <row r="228" spans="1:11">
      <c r="A228" t="s">
        <v>1335</v>
      </c>
      <c r="B228" s="2">
        <v>63</v>
      </c>
      <c r="C228" s="2">
        <v>70</v>
      </c>
      <c r="D228" s="2">
        <v>46</v>
      </c>
      <c r="E228" s="2">
        <v>78</v>
      </c>
      <c r="F228" s="2">
        <v>54</v>
      </c>
      <c r="G228" s="2">
        <v>50</v>
      </c>
      <c r="H228" t="s">
        <v>1847</v>
      </c>
      <c r="I228" s="2">
        <v>12</v>
      </c>
      <c r="J228" s="1">
        <v>45474</v>
      </c>
      <c r="K228" s="1">
        <v>45838</v>
      </c>
    </row>
    <row r="229" spans="1:11">
      <c r="A229" t="s">
        <v>1341</v>
      </c>
      <c r="B229" s="2">
        <v>90</v>
      </c>
      <c r="C229" s="2">
        <v>84</v>
      </c>
      <c r="D229" s="2">
        <v>67</v>
      </c>
      <c r="E229" s="2">
        <v>87</v>
      </c>
      <c r="F229" s="2">
        <v>72</v>
      </c>
      <c r="G229" s="2">
        <v>70</v>
      </c>
      <c r="H229" t="s">
        <v>1848</v>
      </c>
      <c r="I229" s="2">
        <v>20</v>
      </c>
      <c r="J229" s="1">
        <v>45474</v>
      </c>
      <c r="K229" s="1">
        <v>45838</v>
      </c>
    </row>
    <row r="230" spans="1:11">
      <c r="A230" t="s">
        <v>1347</v>
      </c>
      <c r="B230" s="2">
        <v>84</v>
      </c>
      <c r="C230" s="2">
        <v>85</v>
      </c>
      <c r="D230" s="2">
        <v>67</v>
      </c>
      <c r="E230" s="2">
        <v>91</v>
      </c>
      <c r="F230" s="2">
        <v>81</v>
      </c>
      <c r="G230" s="2">
        <v>82</v>
      </c>
      <c r="H230" t="s">
        <v>1849</v>
      </c>
      <c r="I230" s="2">
        <v>34</v>
      </c>
      <c r="J230" s="1">
        <v>45474</v>
      </c>
      <c r="K230" s="1">
        <v>45838</v>
      </c>
    </row>
    <row r="231" spans="1:11">
      <c r="A231" t="s">
        <v>1351</v>
      </c>
      <c r="B231" s="2">
        <v>77</v>
      </c>
      <c r="C231" s="2">
        <v>80</v>
      </c>
      <c r="D231" s="2">
        <v>61</v>
      </c>
      <c r="E231" s="2">
        <v>89</v>
      </c>
      <c r="F231" s="2">
        <v>78</v>
      </c>
      <c r="G231" s="2">
        <v>79</v>
      </c>
      <c r="H231" t="s">
        <v>1850</v>
      </c>
      <c r="I231" s="2">
        <v>21</v>
      </c>
      <c r="J231" s="1">
        <v>45474</v>
      </c>
      <c r="K231" s="1">
        <v>45838</v>
      </c>
    </row>
    <row r="232" spans="1:11">
      <c r="A232" t="s">
        <v>1357</v>
      </c>
      <c r="B232" s="2">
        <v>88</v>
      </c>
      <c r="C232" s="2">
        <v>86</v>
      </c>
      <c r="D232" s="2">
        <v>71</v>
      </c>
      <c r="E232" s="2">
        <v>91</v>
      </c>
      <c r="F232" s="2">
        <v>85</v>
      </c>
      <c r="G232" s="2">
        <v>88</v>
      </c>
      <c r="H232" t="s">
        <v>1851</v>
      </c>
      <c r="I232" s="2">
        <v>28</v>
      </c>
      <c r="J232" s="1">
        <v>45474</v>
      </c>
      <c r="K232" s="1">
        <v>45838</v>
      </c>
    </row>
    <row r="233" spans="1:11">
      <c r="A233" t="s">
        <v>1362</v>
      </c>
      <c r="B233" s="2">
        <v>84</v>
      </c>
      <c r="C233" s="2">
        <v>83</v>
      </c>
      <c r="D233" s="2">
        <v>65</v>
      </c>
      <c r="E233" s="2">
        <v>89</v>
      </c>
      <c r="F233" s="2">
        <v>84</v>
      </c>
      <c r="G233" s="2">
        <v>86</v>
      </c>
      <c r="H233" t="s">
        <v>1852</v>
      </c>
      <c r="I233" s="2">
        <v>31</v>
      </c>
      <c r="J233" s="1">
        <v>45474</v>
      </c>
      <c r="K233" s="1">
        <v>45838</v>
      </c>
    </row>
    <row r="234" spans="1:11">
      <c r="A234" t="s">
        <v>1366</v>
      </c>
      <c r="B234" s="2">
        <v>82</v>
      </c>
      <c r="C234" s="2">
        <v>83</v>
      </c>
      <c r="D234" s="2">
        <v>66</v>
      </c>
      <c r="E234" s="2">
        <v>89</v>
      </c>
      <c r="F234" s="2">
        <v>82</v>
      </c>
      <c r="G234" s="2">
        <v>83</v>
      </c>
      <c r="H234" t="s">
        <v>1853</v>
      </c>
      <c r="I234" s="2">
        <v>26</v>
      </c>
      <c r="J234" s="1">
        <v>45474</v>
      </c>
      <c r="K234" s="1">
        <v>45838</v>
      </c>
    </row>
    <row r="235" spans="1:11">
      <c r="A235" t="s">
        <v>1372</v>
      </c>
      <c r="B235" s="2">
        <v>80</v>
      </c>
      <c r="C235" s="2">
        <v>75</v>
      </c>
      <c r="D235" s="2">
        <v>63</v>
      </c>
      <c r="E235" s="2">
        <v>83</v>
      </c>
      <c r="F235" s="2">
        <v>78</v>
      </c>
      <c r="G235" s="2">
        <v>78</v>
      </c>
      <c r="H235" t="s">
        <v>1659</v>
      </c>
      <c r="I235" s="2">
        <v>11</v>
      </c>
      <c r="J235" s="1">
        <v>45474</v>
      </c>
      <c r="K235" s="1">
        <v>45838</v>
      </c>
    </row>
    <row r="236" spans="1:11">
      <c r="A236" t="s">
        <v>1376</v>
      </c>
      <c r="B236" s="2">
        <v>90</v>
      </c>
      <c r="C236" s="2">
        <v>89</v>
      </c>
      <c r="D236" s="2">
        <v>76</v>
      </c>
      <c r="E236" s="2">
        <v>89</v>
      </c>
      <c r="F236" s="2">
        <v>83</v>
      </c>
      <c r="G236" s="2">
        <v>86</v>
      </c>
      <c r="H236" t="s">
        <v>1759</v>
      </c>
      <c r="I236" s="2">
        <v>31</v>
      </c>
      <c r="J236" s="1">
        <v>45474</v>
      </c>
      <c r="K236" s="1">
        <v>45838</v>
      </c>
    </row>
    <row r="237" spans="1:11">
      <c r="A237" t="s">
        <v>1381</v>
      </c>
      <c r="B237" s="2">
        <v>79</v>
      </c>
      <c r="C237" s="2">
        <v>76</v>
      </c>
      <c r="D237" s="2">
        <v>62</v>
      </c>
      <c r="E237" s="2">
        <v>89</v>
      </c>
      <c r="F237" s="2">
        <v>81</v>
      </c>
      <c r="G237" s="2">
        <v>83</v>
      </c>
      <c r="H237" t="s">
        <v>1854</v>
      </c>
      <c r="I237" s="2">
        <v>16</v>
      </c>
      <c r="J237" s="1">
        <v>45474</v>
      </c>
      <c r="K237" s="1">
        <v>45838</v>
      </c>
    </row>
    <row r="238" spans="1:11">
      <c r="A238" t="s">
        <v>1386</v>
      </c>
      <c r="B238" s="2">
        <v>85</v>
      </c>
      <c r="C238" s="2">
        <v>83</v>
      </c>
      <c r="D238" s="2">
        <v>71</v>
      </c>
      <c r="E238" s="2">
        <v>87</v>
      </c>
      <c r="F238" s="2">
        <v>83</v>
      </c>
      <c r="G238" s="2">
        <v>81</v>
      </c>
      <c r="H238" t="s">
        <v>1855</v>
      </c>
      <c r="I238" s="2">
        <v>17</v>
      </c>
      <c r="J238" s="1">
        <v>45474</v>
      </c>
      <c r="K238" s="1">
        <v>45838</v>
      </c>
    </row>
    <row r="239" spans="1:11">
      <c r="A239" t="s">
        <v>1391</v>
      </c>
      <c r="B239" s="2">
        <v>81</v>
      </c>
      <c r="C239" s="2">
        <v>81</v>
      </c>
      <c r="D239" s="2">
        <v>68</v>
      </c>
      <c r="E239" s="2">
        <v>87</v>
      </c>
      <c r="F239" s="2">
        <v>74</v>
      </c>
      <c r="G239" s="2">
        <v>73</v>
      </c>
      <c r="H239" t="s">
        <v>1856</v>
      </c>
      <c r="I239" s="2">
        <v>16</v>
      </c>
      <c r="J239" s="1">
        <v>45474</v>
      </c>
      <c r="K239" s="1">
        <v>45838</v>
      </c>
    </row>
    <row r="240" spans="1:11">
      <c r="A240" t="s">
        <v>1397</v>
      </c>
      <c r="B240" s="2">
        <v>79</v>
      </c>
      <c r="C240" s="2">
        <v>79</v>
      </c>
      <c r="D240" s="2">
        <v>59</v>
      </c>
      <c r="E240" s="2">
        <v>87</v>
      </c>
      <c r="F240" s="2">
        <v>79</v>
      </c>
      <c r="G240" s="2">
        <v>78</v>
      </c>
      <c r="H240" t="s">
        <v>1857</v>
      </c>
      <c r="I240" s="2">
        <v>14</v>
      </c>
      <c r="J240" s="1">
        <v>45474</v>
      </c>
      <c r="K240" s="1">
        <v>45838</v>
      </c>
    </row>
    <row r="241" spans="1:11">
      <c r="A241" t="s">
        <v>1403</v>
      </c>
      <c r="B241" s="2">
        <v>78</v>
      </c>
      <c r="C241" s="2">
        <v>77</v>
      </c>
      <c r="D241" s="2">
        <v>59</v>
      </c>
      <c r="E241" s="2">
        <v>89</v>
      </c>
      <c r="F241" s="2">
        <v>73</v>
      </c>
      <c r="G241" s="2">
        <v>73</v>
      </c>
      <c r="H241" t="s">
        <v>1725</v>
      </c>
      <c r="I241" s="2">
        <v>16</v>
      </c>
      <c r="J241" s="1">
        <v>45474</v>
      </c>
      <c r="K241" s="1">
        <v>45838</v>
      </c>
    </row>
    <row r="242" spans="1:11">
      <c r="A242" t="s">
        <v>1408</v>
      </c>
      <c r="B242" s="2">
        <v>82</v>
      </c>
      <c r="C242" s="2">
        <v>84</v>
      </c>
      <c r="D242" s="2">
        <v>67</v>
      </c>
      <c r="E242" s="2">
        <v>88</v>
      </c>
      <c r="F242" s="2">
        <v>81</v>
      </c>
      <c r="G242" s="2">
        <v>82</v>
      </c>
      <c r="H242" t="s">
        <v>1858</v>
      </c>
      <c r="I242" s="2">
        <v>19</v>
      </c>
      <c r="J242" s="1">
        <v>45474</v>
      </c>
      <c r="K242" s="1">
        <v>45838</v>
      </c>
    </row>
    <row r="243" spans="1:11">
      <c r="A243" t="s">
        <v>1414</v>
      </c>
      <c r="B243" s="2">
        <v>71</v>
      </c>
      <c r="C243" s="2">
        <v>78</v>
      </c>
      <c r="D243" s="2">
        <v>61</v>
      </c>
      <c r="E243" s="2">
        <v>79</v>
      </c>
      <c r="F243" s="2">
        <v>61</v>
      </c>
      <c r="G243" s="2">
        <v>49</v>
      </c>
      <c r="H243" t="s">
        <v>1859</v>
      </c>
      <c r="I243" s="2">
        <v>8</v>
      </c>
      <c r="J243" s="1">
        <v>45474</v>
      </c>
      <c r="K243" s="1">
        <v>45838</v>
      </c>
    </row>
    <row r="244" spans="1:11">
      <c r="A244" t="s">
        <v>1420</v>
      </c>
      <c r="H244" t="s">
        <v>176</v>
      </c>
      <c r="J244" s="1">
        <v>45474</v>
      </c>
      <c r="K244" s="1">
        <v>45838</v>
      </c>
    </row>
    <row r="245" spans="1:11">
      <c r="A245" t="s">
        <v>1424</v>
      </c>
      <c r="B245" s="2">
        <v>79</v>
      </c>
      <c r="C245" s="2">
        <v>76</v>
      </c>
      <c r="D245" s="2">
        <v>62</v>
      </c>
      <c r="E245" s="2">
        <v>84</v>
      </c>
      <c r="F245" s="2">
        <v>75</v>
      </c>
      <c r="G245" s="2">
        <v>75</v>
      </c>
      <c r="H245" t="s">
        <v>1860</v>
      </c>
      <c r="I245" s="2">
        <v>15</v>
      </c>
      <c r="J245" s="1">
        <v>45474</v>
      </c>
      <c r="K245" s="1">
        <v>45838</v>
      </c>
    </row>
    <row r="246" spans="1:11">
      <c r="A246" t="s">
        <v>1431</v>
      </c>
      <c r="B246" s="2">
        <v>71</v>
      </c>
      <c r="C246" s="2">
        <v>76</v>
      </c>
      <c r="D246" s="2">
        <v>45</v>
      </c>
      <c r="E246" s="2">
        <v>70</v>
      </c>
      <c r="F246" s="2">
        <v>56</v>
      </c>
      <c r="G246" s="2">
        <v>58</v>
      </c>
      <c r="H246" t="s">
        <v>1861</v>
      </c>
      <c r="I246" s="2">
        <v>5</v>
      </c>
      <c r="J246" s="1">
        <v>45474</v>
      </c>
      <c r="K246" s="1">
        <v>45838</v>
      </c>
    </row>
    <row r="247" spans="1:11">
      <c r="A247" t="s">
        <v>1436</v>
      </c>
      <c r="B247" s="2">
        <v>76</v>
      </c>
      <c r="C247" s="2">
        <v>73</v>
      </c>
      <c r="D247" s="2">
        <v>61</v>
      </c>
      <c r="E247" s="2">
        <v>84</v>
      </c>
      <c r="F247" s="2">
        <v>72</v>
      </c>
      <c r="G247" s="2">
        <v>70</v>
      </c>
      <c r="H247" t="s">
        <v>1862</v>
      </c>
      <c r="I247" s="2">
        <v>13</v>
      </c>
      <c r="J247" s="1">
        <v>45474</v>
      </c>
      <c r="K247" s="1">
        <v>45838</v>
      </c>
    </row>
    <row r="248" spans="1:11">
      <c r="A248" t="s">
        <v>1441</v>
      </c>
      <c r="B248" s="2">
        <v>73</v>
      </c>
      <c r="C248" s="2">
        <v>73</v>
      </c>
      <c r="D248" s="2">
        <v>52</v>
      </c>
      <c r="E248" s="2">
        <v>81</v>
      </c>
      <c r="F248" s="2">
        <v>64</v>
      </c>
      <c r="G248" s="2">
        <v>60</v>
      </c>
      <c r="H248" t="s">
        <v>1863</v>
      </c>
      <c r="I248" s="2">
        <v>9</v>
      </c>
      <c r="J248" s="1">
        <v>45474</v>
      </c>
      <c r="K248" s="1">
        <v>45838</v>
      </c>
    </row>
    <row r="249" spans="1:11">
      <c r="A249" t="s">
        <v>1447</v>
      </c>
      <c r="B249" s="2">
        <v>80</v>
      </c>
      <c r="C249" s="2">
        <v>72</v>
      </c>
      <c r="D249" s="2">
        <v>66</v>
      </c>
      <c r="E249" s="2">
        <v>83</v>
      </c>
      <c r="F249" s="2">
        <v>69</v>
      </c>
      <c r="G249" s="2">
        <v>71</v>
      </c>
      <c r="H249" t="s">
        <v>1864</v>
      </c>
      <c r="I249" s="2">
        <v>15</v>
      </c>
      <c r="J249" s="1">
        <v>45474</v>
      </c>
      <c r="K249" s="1">
        <v>45838</v>
      </c>
    </row>
    <row r="250" spans="1:11">
      <c r="A250" t="s">
        <v>1453</v>
      </c>
      <c r="B250" s="2">
        <v>83</v>
      </c>
      <c r="C250" s="2">
        <v>80</v>
      </c>
      <c r="D250" s="2">
        <v>69</v>
      </c>
      <c r="E250" s="2">
        <v>91</v>
      </c>
      <c r="F250" s="2">
        <v>77</v>
      </c>
      <c r="G250" s="2">
        <v>79</v>
      </c>
      <c r="H250" t="s">
        <v>1865</v>
      </c>
      <c r="I250" s="2">
        <v>20</v>
      </c>
      <c r="J250" s="1">
        <v>45474</v>
      </c>
      <c r="K250" s="1">
        <v>45838</v>
      </c>
    </row>
    <row r="251" spans="1:11">
      <c r="A251" t="s">
        <v>1460</v>
      </c>
      <c r="H251" t="s">
        <v>176</v>
      </c>
      <c r="J251" s="1">
        <v>45474</v>
      </c>
      <c r="K251" s="1">
        <v>45838</v>
      </c>
    </row>
    <row r="252" spans="1:11">
      <c r="A252" t="s">
        <v>1464</v>
      </c>
      <c r="B252" s="2">
        <v>87</v>
      </c>
      <c r="C252" s="2">
        <v>81</v>
      </c>
      <c r="D252" s="2">
        <v>78</v>
      </c>
      <c r="E252" s="2">
        <v>89</v>
      </c>
      <c r="F252" s="2">
        <v>85</v>
      </c>
      <c r="G252" s="2">
        <v>84</v>
      </c>
      <c r="H252" t="s">
        <v>1733</v>
      </c>
      <c r="I252" s="2">
        <v>28</v>
      </c>
      <c r="J252" s="1">
        <v>45474</v>
      </c>
      <c r="K252" s="1">
        <v>45838</v>
      </c>
    </row>
    <row r="253" spans="1:11">
      <c r="A253" t="s">
        <v>1469</v>
      </c>
      <c r="H253" t="s">
        <v>176</v>
      </c>
      <c r="J253" s="1">
        <v>45474</v>
      </c>
      <c r="K253" s="1">
        <v>45838</v>
      </c>
    </row>
    <row r="254" spans="1:11">
      <c r="A254" t="s">
        <v>1473</v>
      </c>
      <c r="B254" s="2">
        <v>74</v>
      </c>
      <c r="C254" s="2">
        <v>74</v>
      </c>
      <c r="D254" s="2">
        <v>55</v>
      </c>
      <c r="E254" s="2">
        <v>80</v>
      </c>
      <c r="F254" s="2">
        <v>67</v>
      </c>
      <c r="G254" s="2">
        <v>64</v>
      </c>
      <c r="H254" t="s">
        <v>1866</v>
      </c>
      <c r="I254" s="2">
        <v>14</v>
      </c>
      <c r="J254" s="1">
        <v>45474</v>
      </c>
      <c r="K254" s="1">
        <v>45838</v>
      </c>
    </row>
    <row r="255" spans="1:11">
      <c r="A255" t="s">
        <v>1478</v>
      </c>
      <c r="H255" t="s">
        <v>176</v>
      </c>
      <c r="J255" s="1">
        <v>45474</v>
      </c>
      <c r="K255" s="1">
        <v>45838</v>
      </c>
    </row>
    <row r="256" spans="1:11">
      <c r="A256" t="s">
        <v>1484</v>
      </c>
      <c r="B256" s="2">
        <v>80</v>
      </c>
      <c r="C256" s="2">
        <v>77</v>
      </c>
      <c r="D256" s="2">
        <v>62</v>
      </c>
      <c r="E256" s="2">
        <v>89</v>
      </c>
      <c r="F256" s="2">
        <v>83</v>
      </c>
      <c r="G256" s="2">
        <v>84</v>
      </c>
      <c r="H256" t="s">
        <v>1867</v>
      </c>
      <c r="I256" s="2">
        <v>20</v>
      </c>
      <c r="J256" s="1">
        <v>45474</v>
      </c>
      <c r="K256" s="1">
        <v>45838</v>
      </c>
    </row>
    <row r="257" spans="1:11">
      <c r="A257" t="s">
        <v>1489</v>
      </c>
      <c r="B257" s="2">
        <v>88</v>
      </c>
      <c r="C257" s="2">
        <v>84</v>
      </c>
      <c r="D257" s="2">
        <v>75</v>
      </c>
      <c r="E257" s="2">
        <v>89</v>
      </c>
      <c r="F257" s="2">
        <v>77</v>
      </c>
      <c r="G257" s="2">
        <v>85</v>
      </c>
      <c r="H257" t="s">
        <v>1868</v>
      </c>
      <c r="I257" s="2">
        <v>18</v>
      </c>
      <c r="J257" s="1">
        <v>45474</v>
      </c>
      <c r="K257" s="1">
        <v>45838</v>
      </c>
    </row>
    <row r="258" spans="1:11">
      <c r="A258" t="s">
        <v>1495</v>
      </c>
      <c r="H258" t="s">
        <v>176</v>
      </c>
      <c r="J258" s="1">
        <v>45474</v>
      </c>
      <c r="K258" s="1">
        <v>45838</v>
      </c>
    </row>
    <row r="259" spans="1:11">
      <c r="A259" t="s">
        <v>1501</v>
      </c>
      <c r="B259" s="2">
        <v>85</v>
      </c>
      <c r="C259" s="2">
        <v>81</v>
      </c>
      <c r="D259" s="2">
        <v>64</v>
      </c>
      <c r="E259" s="2">
        <v>91</v>
      </c>
      <c r="F259" s="2">
        <v>79</v>
      </c>
      <c r="G259" s="2">
        <v>77</v>
      </c>
      <c r="H259" t="s">
        <v>1683</v>
      </c>
      <c r="I259" s="2">
        <v>14</v>
      </c>
      <c r="J259" s="1">
        <v>45474</v>
      </c>
      <c r="K259" s="1">
        <v>45838</v>
      </c>
    </row>
    <row r="260" spans="1:11">
      <c r="A260" t="s">
        <v>1507</v>
      </c>
      <c r="B260" s="2">
        <v>83</v>
      </c>
      <c r="C260" s="2">
        <v>80</v>
      </c>
      <c r="D260" s="2">
        <v>63</v>
      </c>
      <c r="E260" s="2">
        <v>86</v>
      </c>
      <c r="F260" s="2">
        <v>88</v>
      </c>
      <c r="G260" s="2">
        <v>87</v>
      </c>
      <c r="H260" t="s">
        <v>1790</v>
      </c>
      <c r="I260" s="2">
        <v>14</v>
      </c>
      <c r="J260" s="1">
        <v>45474</v>
      </c>
      <c r="K260" s="1">
        <v>45838</v>
      </c>
    </row>
    <row r="261" spans="1:11">
      <c r="A261" t="s">
        <v>1513</v>
      </c>
      <c r="B261" s="2">
        <v>88</v>
      </c>
      <c r="C261" s="2">
        <v>86</v>
      </c>
      <c r="D261" s="2">
        <v>69</v>
      </c>
      <c r="E261" s="2">
        <v>92</v>
      </c>
      <c r="F261" s="2">
        <v>91</v>
      </c>
      <c r="G261" s="2">
        <v>90</v>
      </c>
      <c r="H261" t="s">
        <v>1869</v>
      </c>
      <c r="I261" s="2">
        <v>24</v>
      </c>
      <c r="J261" s="1">
        <v>45474</v>
      </c>
      <c r="K261" s="1">
        <v>45838</v>
      </c>
    </row>
    <row r="262" spans="1:11">
      <c r="A262" t="s">
        <v>1517</v>
      </c>
      <c r="B262" s="2">
        <v>93</v>
      </c>
      <c r="C262" s="2">
        <v>93</v>
      </c>
      <c r="D262" s="2">
        <v>76</v>
      </c>
      <c r="E262" s="2">
        <v>85</v>
      </c>
      <c r="F262" s="2">
        <v>93</v>
      </c>
      <c r="G262" s="2">
        <v>93</v>
      </c>
      <c r="H262" t="s">
        <v>1870</v>
      </c>
      <c r="I262" s="2">
        <v>25</v>
      </c>
      <c r="J262" s="1">
        <v>45474</v>
      </c>
      <c r="K262" s="1">
        <v>45838</v>
      </c>
    </row>
    <row r="263" spans="1:11">
      <c r="A263" t="s">
        <v>1524</v>
      </c>
      <c r="H263" t="s">
        <v>176</v>
      </c>
      <c r="J263" s="1">
        <v>45474</v>
      </c>
      <c r="K263" s="1">
        <v>45838</v>
      </c>
    </row>
    <row r="264" spans="1:11">
      <c r="A264" t="s">
        <v>1529</v>
      </c>
      <c r="B264" s="2">
        <v>85</v>
      </c>
      <c r="C264" s="2">
        <v>85</v>
      </c>
      <c r="D264" s="2">
        <v>67</v>
      </c>
      <c r="E264" s="2">
        <v>88</v>
      </c>
      <c r="F264" s="2">
        <v>83</v>
      </c>
      <c r="G264" s="2">
        <v>85</v>
      </c>
      <c r="H264" t="s">
        <v>1861</v>
      </c>
      <c r="I264" s="2">
        <v>15</v>
      </c>
      <c r="J264" s="1">
        <v>45474</v>
      </c>
      <c r="K264" s="1">
        <v>45838</v>
      </c>
    </row>
    <row r="265" spans="1:11">
      <c r="A265" t="s">
        <v>1534</v>
      </c>
      <c r="B265" s="2">
        <v>77</v>
      </c>
      <c r="C265" s="2">
        <v>78</v>
      </c>
      <c r="D265" s="2">
        <v>57</v>
      </c>
      <c r="E265" s="2">
        <v>87</v>
      </c>
      <c r="F265" s="2">
        <v>78</v>
      </c>
      <c r="G265" s="2">
        <v>80</v>
      </c>
      <c r="H265" t="s">
        <v>1871</v>
      </c>
      <c r="I265" s="2">
        <v>15</v>
      </c>
      <c r="J265" s="1">
        <v>45474</v>
      </c>
      <c r="K265" s="1">
        <v>45838</v>
      </c>
    </row>
    <row r="266" spans="1:11">
      <c r="A266" t="s">
        <v>1539</v>
      </c>
      <c r="B266" s="2">
        <v>80</v>
      </c>
      <c r="C266" s="2">
        <v>75</v>
      </c>
      <c r="D266" s="2">
        <v>61</v>
      </c>
      <c r="E266" s="2">
        <v>85</v>
      </c>
      <c r="F266" s="2">
        <v>69</v>
      </c>
      <c r="G266" s="2">
        <v>75</v>
      </c>
      <c r="H266" t="s">
        <v>1872</v>
      </c>
      <c r="I266" s="2">
        <v>22</v>
      </c>
      <c r="J266" s="1">
        <v>45474</v>
      </c>
      <c r="K266" s="1">
        <v>45838</v>
      </c>
    </row>
    <row r="267" spans="1:11">
      <c r="A267" t="s">
        <v>1543</v>
      </c>
      <c r="B267" s="2">
        <v>75</v>
      </c>
      <c r="C267" s="2">
        <v>77</v>
      </c>
      <c r="D267" s="2">
        <v>55</v>
      </c>
      <c r="E267" s="2">
        <v>83</v>
      </c>
      <c r="F267" s="2">
        <v>69</v>
      </c>
      <c r="G267" s="2">
        <v>67</v>
      </c>
      <c r="H267" t="s">
        <v>1790</v>
      </c>
      <c r="I267" s="2">
        <v>10</v>
      </c>
      <c r="J267" s="1">
        <v>45474</v>
      </c>
      <c r="K267" s="1">
        <v>45838</v>
      </c>
    </row>
    <row r="268" spans="1:11">
      <c r="A268" t="s">
        <v>1547</v>
      </c>
      <c r="B268" s="2">
        <v>82</v>
      </c>
      <c r="C268" s="2">
        <v>86</v>
      </c>
      <c r="D268" s="2">
        <v>55</v>
      </c>
      <c r="E268" s="2">
        <v>88</v>
      </c>
      <c r="F268" s="2">
        <v>67</v>
      </c>
      <c r="G268" s="2">
        <v>59</v>
      </c>
      <c r="H268" t="s">
        <v>1873</v>
      </c>
      <c r="I268" s="2">
        <v>18</v>
      </c>
      <c r="J268" s="1">
        <v>45474</v>
      </c>
      <c r="K268" s="1">
        <v>45838</v>
      </c>
    </row>
    <row r="269" spans="1:11">
      <c r="A269" t="s">
        <v>1553</v>
      </c>
      <c r="H269" t="s">
        <v>176</v>
      </c>
      <c r="J269" s="1">
        <v>45474</v>
      </c>
      <c r="K269" s="1">
        <v>45838</v>
      </c>
    </row>
    <row r="270" spans="1:11">
      <c r="A270" t="s">
        <v>1557</v>
      </c>
      <c r="B270" s="2">
        <v>80</v>
      </c>
      <c r="C270" s="2">
        <v>79</v>
      </c>
      <c r="D270" s="2">
        <v>67</v>
      </c>
      <c r="E270" s="2">
        <v>86</v>
      </c>
      <c r="F270" s="2">
        <v>83</v>
      </c>
      <c r="G270" s="2">
        <v>82</v>
      </c>
      <c r="H270" t="s">
        <v>1874</v>
      </c>
      <c r="I270" s="2">
        <v>20</v>
      </c>
      <c r="J270" s="1">
        <v>45474</v>
      </c>
      <c r="K270" s="1">
        <v>45838</v>
      </c>
    </row>
    <row r="271" spans="1:11">
      <c r="A271" t="s">
        <v>1563</v>
      </c>
      <c r="B271" s="2">
        <v>78</v>
      </c>
      <c r="C271" s="2">
        <v>75</v>
      </c>
      <c r="D271" s="2">
        <v>57</v>
      </c>
      <c r="E271" s="2">
        <v>87</v>
      </c>
      <c r="F271" s="2">
        <v>79</v>
      </c>
      <c r="G271" s="2">
        <v>80</v>
      </c>
      <c r="H271" t="s">
        <v>1875</v>
      </c>
      <c r="I271" s="2">
        <v>11</v>
      </c>
      <c r="J271" s="1">
        <v>45474</v>
      </c>
      <c r="K271" s="1">
        <v>45838</v>
      </c>
    </row>
    <row r="272" spans="1:11">
      <c r="A272" t="s">
        <v>1567</v>
      </c>
      <c r="H272" t="s">
        <v>176</v>
      </c>
      <c r="J272" s="1">
        <v>45474</v>
      </c>
      <c r="K272" s="1">
        <v>45838</v>
      </c>
    </row>
    <row r="273" spans="1:11">
      <c r="A273" t="s">
        <v>1571</v>
      </c>
      <c r="H273" t="s">
        <v>176</v>
      </c>
      <c r="J273" s="1">
        <v>45474</v>
      </c>
      <c r="K273" s="1">
        <v>45838</v>
      </c>
    </row>
    <row r="274" spans="1:11">
      <c r="A274" t="s">
        <v>1576</v>
      </c>
      <c r="H274" t="s">
        <v>176</v>
      </c>
      <c r="J274" s="1">
        <v>45474</v>
      </c>
      <c r="K274" s="1">
        <v>45838</v>
      </c>
    </row>
    <row r="275" spans="1:11">
      <c r="A275" t="s">
        <v>1580</v>
      </c>
      <c r="B275" s="2">
        <v>88</v>
      </c>
      <c r="C275" s="2">
        <v>78</v>
      </c>
      <c r="D275" s="2">
        <v>68</v>
      </c>
      <c r="E275" s="2">
        <v>90</v>
      </c>
      <c r="F275" s="2">
        <v>77</v>
      </c>
      <c r="G275" s="2">
        <v>77</v>
      </c>
      <c r="H275" t="s">
        <v>1820</v>
      </c>
      <c r="I275" s="2">
        <v>26</v>
      </c>
      <c r="J275" s="1">
        <v>45474</v>
      </c>
      <c r="K275" s="1">
        <v>45838</v>
      </c>
    </row>
    <row r="276" spans="1:11">
      <c r="A276" t="s">
        <v>1584</v>
      </c>
      <c r="H276" t="s">
        <v>176</v>
      </c>
      <c r="J276" s="1">
        <v>45474</v>
      </c>
      <c r="K276" s="1">
        <v>45838</v>
      </c>
    </row>
    <row r="277" spans="1:11">
      <c r="A277" t="s">
        <v>1588</v>
      </c>
      <c r="H277" t="s">
        <v>176</v>
      </c>
      <c r="J277" s="1">
        <v>45474</v>
      </c>
      <c r="K277" s="1">
        <v>45838</v>
      </c>
    </row>
    <row r="278" spans="1:11">
      <c r="A278" t="s">
        <v>1593</v>
      </c>
      <c r="H278" t="s">
        <v>176</v>
      </c>
      <c r="J278" s="1">
        <v>45474</v>
      </c>
      <c r="K278" s="1">
        <v>45838</v>
      </c>
    </row>
    <row r="279" spans="1:11">
      <c r="A279" t="s">
        <v>1599</v>
      </c>
      <c r="H279" t="s">
        <v>176</v>
      </c>
      <c r="J279" s="1">
        <v>45474</v>
      </c>
      <c r="K279" s="1">
        <v>45838</v>
      </c>
    </row>
    <row r="280" spans="1:11">
      <c r="A280" t="s">
        <v>1603</v>
      </c>
      <c r="H280" t="s">
        <v>176</v>
      </c>
      <c r="J280" s="1">
        <v>45474</v>
      </c>
      <c r="K280" s="1">
        <v>45838</v>
      </c>
    </row>
    <row r="281" spans="1:11">
      <c r="A281" t="s">
        <v>1607</v>
      </c>
      <c r="H281" t="s">
        <v>176</v>
      </c>
      <c r="J281" s="1">
        <v>45474</v>
      </c>
      <c r="K281" s="1">
        <v>45838</v>
      </c>
    </row>
    <row r="282" spans="1:11">
      <c r="A282" t="s">
        <v>1612</v>
      </c>
      <c r="H282" t="s">
        <v>176</v>
      </c>
      <c r="J282" s="1">
        <v>45474</v>
      </c>
      <c r="K282" s="1">
        <v>45838</v>
      </c>
    </row>
    <row r="283" spans="1:11">
      <c r="A283" t="s">
        <v>1618</v>
      </c>
      <c r="H283" t="s">
        <v>176</v>
      </c>
      <c r="J283" s="1">
        <v>45474</v>
      </c>
      <c r="K283" s="1">
        <v>45838</v>
      </c>
    </row>
    <row r="284" spans="1:11">
      <c r="A284" t="s">
        <v>1624</v>
      </c>
      <c r="H284" t="s">
        <v>176</v>
      </c>
      <c r="J284" s="1">
        <v>45474</v>
      </c>
      <c r="K284" s="1">
        <v>45838</v>
      </c>
    </row>
    <row r="285" spans="1:11">
      <c r="A285" t="s">
        <v>1631</v>
      </c>
      <c r="H285" t="s">
        <v>176</v>
      </c>
      <c r="J285" s="1">
        <v>45474</v>
      </c>
      <c r="K285" s="1">
        <v>45838</v>
      </c>
    </row>
    <row r="286" spans="1:11">
      <c r="A286" t="s">
        <v>1635</v>
      </c>
      <c r="H286" t="s">
        <v>176</v>
      </c>
      <c r="J286" s="1">
        <v>45474</v>
      </c>
      <c r="K286" s="1">
        <v>45838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C0C6C-6787-405D-AE01-B098AD115178}">
  <dimension ref="A1:I286"/>
  <sheetViews>
    <sheetView tabSelected="1" workbookViewId="0">
      <selection activeCell="F10" sqref="F10"/>
    </sheetView>
  </sheetViews>
  <sheetFormatPr defaultRowHeight="14.5"/>
  <cols>
    <col min="1" max="1" width="11.90625" bestFit="1" customWidth="1"/>
    <col min="2" max="2" width="22.36328125" style="2" bestFit="1" customWidth="1"/>
    <col min="3" max="3" width="25.26953125" bestFit="1" customWidth="1"/>
    <col min="4" max="4" width="26" bestFit="1" customWidth="1"/>
    <col min="5" max="5" width="28.26953125" style="2" bestFit="1" customWidth="1"/>
    <col min="6" max="6" width="28.81640625" style="2" bestFit="1" customWidth="1"/>
    <col min="7" max="7" width="22.36328125" bestFit="1" customWidth="1"/>
    <col min="8" max="8" width="23.81640625" bestFit="1" customWidth="1"/>
    <col min="9" max="9" width="22.90625" bestFit="1" customWidth="1"/>
  </cols>
  <sheetData>
    <row r="1" spans="1:9">
      <c r="A1" t="s">
        <v>0</v>
      </c>
      <c r="B1" s="2" t="s">
        <v>1876</v>
      </c>
      <c r="C1" t="s">
        <v>1877</v>
      </c>
      <c r="D1" t="s">
        <v>1878</v>
      </c>
      <c r="E1" s="2" t="s">
        <v>1879</v>
      </c>
      <c r="F1" s="2" t="s">
        <v>1880</v>
      </c>
      <c r="G1" t="s">
        <v>1881</v>
      </c>
      <c r="H1" t="s">
        <v>1882</v>
      </c>
      <c r="I1" t="s">
        <v>1883</v>
      </c>
    </row>
    <row r="2" spans="1:9">
      <c r="A2" t="s">
        <v>14</v>
      </c>
      <c r="B2" s="2">
        <v>15.3</v>
      </c>
      <c r="C2" t="s">
        <v>1884</v>
      </c>
      <c r="D2">
        <v>628</v>
      </c>
      <c r="E2" s="2">
        <v>13.9</v>
      </c>
      <c r="F2" s="2">
        <v>17</v>
      </c>
      <c r="G2" t="s">
        <v>25</v>
      </c>
      <c r="H2" s="1">
        <v>45108</v>
      </c>
      <c r="I2" s="1">
        <v>45473</v>
      </c>
    </row>
    <row r="3" spans="1:9">
      <c r="A3" t="s">
        <v>26</v>
      </c>
      <c r="B3" s="2">
        <v>15</v>
      </c>
      <c r="C3" t="s">
        <v>1884</v>
      </c>
      <c r="D3">
        <v>1340</v>
      </c>
      <c r="E3" s="2">
        <v>13.7</v>
      </c>
      <c r="F3" s="2">
        <v>16.399999999999999</v>
      </c>
      <c r="G3" t="s">
        <v>25</v>
      </c>
      <c r="H3" s="1">
        <v>45108</v>
      </c>
      <c r="I3" s="1">
        <v>45473</v>
      </c>
    </row>
    <row r="4" spans="1:9">
      <c r="A4" t="s">
        <v>35</v>
      </c>
      <c r="B4" s="2">
        <v>15.6</v>
      </c>
      <c r="C4" t="s">
        <v>1884</v>
      </c>
      <c r="D4">
        <v>3943</v>
      </c>
      <c r="E4" s="2">
        <v>14.7</v>
      </c>
      <c r="F4" s="2">
        <v>16.399999999999999</v>
      </c>
      <c r="G4" t="s">
        <v>25</v>
      </c>
      <c r="H4" s="1">
        <v>45108</v>
      </c>
      <c r="I4" s="1">
        <v>45473</v>
      </c>
    </row>
    <row r="5" spans="1:9">
      <c r="A5" t="s">
        <v>43</v>
      </c>
      <c r="B5" s="2">
        <v>14.9</v>
      </c>
      <c r="C5" t="s">
        <v>1884</v>
      </c>
      <c r="D5">
        <v>2792</v>
      </c>
      <c r="E5" s="2">
        <v>13.9</v>
      </c>
      <c r="F5" s="2">
        <v>15.9</v>
      </c>
      <c r="G5" t="s">
        <v>25</v>
      </c>
      <c r="H5" s="1">
        <v>45108</v>
      </c>
      <c r="I5" s="1">
        <v>45473</v>
      </c>
    </row>
    <row r="6" spans="1:9">
      <c r="A6" t="s">
        <v>50</v>
      </c>
      <c r="B6" s="2">
        <v>14.7</v>
      </c>
      <c r="C6" t="s">
        <v>1884</v>
      </c>
      <c r="D6">
        <v>893</v>
      </c>
      <c r="E6" s="2">
        <v>13.5</v>
      </c>
      <c r="F6" s="2">
        <v>16.100000000000001</v>
      </c>
      <c r="G6" t="s">
        <v>25</v>
      </c>
      <c r="H6" s="1">
        <v>45108</v>
      </c>
      <c r="I6" s="1">
        <v>45473</v>
      </c>
    </row>
    <row r="7" spans="1:9">
      <c r="A7" t="s">
        <v>57</v>
      </c>
      <c r="B7" s="2">
        <v>16</v>
      </c>
      <c r="C7" t="s">
        <v>1884</v>
      </c>
      <c r="D7">
        <v>3474</v>
      </c>
      <c r="E7" s="2">
        <v>15</v>
      </c>
      <c r="F7" s="2">
        <v>16.899999999999999</v>
      </c>
      <c r="G7" t="s">
        <v>25</v>
      </c>
      <c r="H7" s="1">
        <v>45108</v>
      </c>
      <c r="I7" s="1">
        <v>45473</v>
      </c>
    </row>
    <row r="8" spans="1:9">
      <c r="A8" t="s">
        <v>64</v>
      </c>
      <c r="B8" s="2">
        <v>13.9</v>
      </c>
      <c r="C8" t="s">
        <v>1885</v>
      </c>
      <c r="D8">
        <v>4591</v>
      </c>
      <c r="E8" s="2">
        <v>13.1</v>
      </c>
      <c r="F8" s="2">
        <v>14.7</v>
      </c>
      <c r="G8" t="s">
        <v>25</v>
      </c>
      <c r="H8" s="1">
        <v>45108</v>
      </c>
      <c r="I8" s="1">
        <v>45473</v>
      </c>
    </row>
    <row r="9" spans="1:9">
      <c r="A9" t="s">
        <v>69</v>
      </c>
      <c r="B9" s="2">
        <v>14.7</v>
      </c>
      <c r="C9" t="s">
        <v>1884</v>
      </c>
      <c r="D9">
        <v>1380</v>
      </c>
      <c r="E9" s="2">
        <v>13.5</v>
      </c>
      <c r="F9" s="2">
        <v>16.100000000000001</v>
      </c>
      <c r="G9" t="s">
        <v>25</v>
      </c>
      <c r="H9" s="1">
        <v>45108</v>
      </c>
      <c r="I9" s="1">
        <v>45473</v>
      </c>
    </row>
    <row r="10" spans="1:9">
      <c r="A10" t="s">
        <v>76</v>
      </c>
      <c r="B10" s="2">
        <v>15.4</v>
      </c>
      <c r="C10" t="s">
        <v>1884</v>
      </c>
      <c r="D10">
        <v>906</v>
      </c>
      <c r="E10" s="2">
        <v>14.1</v>
      </c>
      <c r="F10" s="2">
        <v>16.8</v>
      </c>
      <c r="G10" t="s">
        <v>25</v>
      </c>
      <c r="H10" s="1">
        <v>45108</v>
      </c>
      <c r="I10" s="1">
        <v>45473</v>
      </c>
    </row>
    <row r="11" spans="1:9">
      <c r="A11" t="s">
        <v>82</v>
      </c>
      <c r="B11" s="2">
        <v>15.4</v>
      </c>
      <c r="C11" t="s">
        <v>1884</v>
      </c>
      <c r="D11">
        <v>710</v>
      </c>
      <c r="E11" s="2">
        <v>14</v>
      </c>
      <c r="F11" s="2">
        <v>16.899999999999999</v>
      </c>
      <c r="G11" t="s">
        <v>25</v>
      </c>
      <c r="H11" s="1">
        <v>45108</v>
      </c>
      <c r="I11" s="1">
        <v>45473</v>
      </c>
    </row>
    <row r="12" spans="1:9">
      <c r="A12" t="s">
        <v>89</v>
      </c>
      <c r="B12" s="2">
        <v>15.1</v>
      </c>
      <c r="C12" t="s">
        <v>1884</v>
      </c>
      <c r="D12">
        <v>1371</v>
      </c>
      <c r="E12" s="2">
        <v>13.9</v>
      </c>
      <c r="F12" s="2">
        <v>16.2</v>
      </c>
      <c r="G12" t="s">
        <v>25</v>
      </c>
      <c r="H12" s="1">
        <v>45108</v>
      </c>
      <c r="I12" s="1">
        <v>45473</v>
      </c>
    </row>
    <row r="13" spans="1:9">
      <c r="A13" t="s">
        <v>96</v>
      </c>
      <c r="B13" s="2">
        <v>16.399999999999999</v>
      </c>
      <c r="C13" t="s">
        <v>1886</v>
      </c>
      <c r="D13">
        <v>2659</v>
      </c>
      <c r="E13" s="2">
        <v>15.4</v>
      </c>
      <c r="F13" s="2">
        <v>17.399999999999999</v>
      </c>
      <c r="G13" t="s">
        <v>25</v>
      </c>
      <c r="H13" s="1">
        <v>45108</v>
      </c>
      <c r="I13" s="1">
        <v>45473</v>
      </c>
    </row>
    <row r="14" spans="1:9">
      <c r="A14" t="s">
        <v>103</v>
      </c>
      <c r="B14" s="2">
        <v>14.6</v>
      </c>
      <c r="C14" t="s">
        <v>1884</v>
      </c>
      <c r="D14">
        <v>1371</v>
      </c>
      <c r="E14" s="2">
        <v>13.5</v>
      </c>
      <c r="F14" s="2">
        <v>15.9</v>
      </c>
      <c r="G14" t="s">
        <v>25</v>
      </c>
      <c r="H14" s="1">
        <v>45108</v>
      </c>
      <c r="I14" s="1">
        <v>45473</v>
      </c>
    </row>
    <row r="15" spans="1:9">
      <c r="A15" t="s">
        <v>109</v>
      </c>
      <c r="B15" s="2">
        <v>15.1</v>
      </c>
      <c r="C15" t="s">
        <v>1884</v>
      </c>
      <c r="D15">
        <v>2272</v>
      </c>
      <c r="E15" s="2">
        <v>14.1</v>
      </c>
      <c r="F15" s="2">
        <v>16.2</v>
      </c>
      <c r="G15" t="s">
        <v>25</v>
      </c>
      <c r="H15" s="1">
        <v>45108</v>
      </c>
      <c r="I15" s="1">
        <v>45473</v>
      </c>
    </row>
    <row r="16" spans="1:9">
      <c r="A16" t="s">
        <v>116</v>
      </c>
      <c r="B16" s="2">
        <v>15.2</v>
      </c>
      <c r="C16" t="s">
        <v>1884</v>
      </c>
      <c r="D16">
        <v>112</v>
      </c>
      <c r="E16" s="2">
        <v>13.7</v>
      </c>
      <c r="F16" s="2">
        <v>17</v>
      </c>
      <c r="G16" t="s">
        <v>25</v>
      </c>
      <c r="H16" s="1">
        <v>45108</v>
      </c>
      <c r="I16" s="1">
        <v>45473</v>
      </c>
    </row>
    <row r="17" spans="1:9">
      <c r="A17" t="s">
        <v>123</v>
      </c>
      <c r="B17" s="2">
        <v>14.3</v>
      </c>
      <c r="C17" t="s">
        <v>1884</v>
      </c>
      <c r="D17">
        <v>702</v>
      </c>
      <c r="E17" s="2">
        <v>13</v>
      </c>
      <c r="F17" s="2">
        <v>15.7</v>
      </c>
      <c r="G17" t="s">
        <v>25</v>
      </c>
      <c r="H17" s="1">
        <v>45108</v>
      </c>
      <c r="I17" s="1">
        <v>45473</v>
      </c>
    </row>
    <row r="18" spans="1:9">
      <c r="A18" t="s">
        <v>130</v>
      </c>
      <c r="B18" s="2">
        <v>13.5</v>
      </c>
      <c r="C18" t="s">
        <v>1885</v>
      </c>
      <c r="D18">
        <v>3522</v>
      </c>
      <c r="E18" s="2">
        <v>12.7</v>
      </c>
      <c r="F18" s="2">
        <v>14.5</v>
      </c>
      <c r="G18" t="s">
        <v>25</v>
      </c>
      <c r="H18" s="1">
        <v>45108</v>
      </c>
      <c r="I18" s="1">
        <v>45473</v>
      </c>
    </row>
    <row r="19" spans="1:9">
      <c r="A19" t="s">
        <v>136</v>
      </c>
      <c r="B19" s="2">
        <v>14.2</v>
      </c>
      <c r="C19" t="s">
        <v>1884</v>
      </c>
      <c r="D19">
        <v>1091</v>
      </c>
      <c r="E19" s="2">
        <v>13</v>
      </c>
      <c r="F19" s="2">
        <v>15.1</v>
      </c>
      <c r="G19" t="s">
        <v>143</v>
      </c>
      <c r="H19" s="1">
        <v>45108</v>
      </c>
      <c r="I19" s="1">
        <v>45473</v>
      </c>
    </row>
    <row r="20" spans="1:9">
      <c r="A20" t="s">
        <v>144</v>
      </c>
      <c r="B20" s="2">
        <v>15.9</v>
      </c>
      <c r="C20" t="s">
        <v>1886</v>
      </c>
      <c r="D20">
        <v>5428</v>
      </c>
      <c r="E20" s="2">
        <v>15.1</v>
      </c>
      <c r="F20" s="2">
        <v>16.7</v>
      </c>
      <c r="G20" t="s">
        <v>25</v>
      </c>
      <c r="H20" s="1">
        <v>45108</v>
      </c>
      <c r="I20" s="1">
        <v>45473</v>
      </c>
    </row>
    <row r="21" spans="1:9">
      <c r="A21" t="s">
        <v>149</v>
      </c>
      <c r="B21" s="2">
        <v>14.4</v>
      </c>
      <c r="C21" t="s">
        <v>1884</v>
      </c>
      <c r="D21">
        <v>2388</v>
      </c>
      <c r="E21" s="2">
        <v>13.5</v>
      </c>
      <c r="F21" s="2">
        <v>15.5</v>
      </c>
      <c r="G21" t="s">
        <v>25</v>
      </c>
      <c r="H21" s="1">
        <v>45108</v>
      </c>
      <c r="I21" s="1">
        <v>45473</v>
      </c>
    </row>
    <row r="22" spans="1:9">
      <c r="A22" t="s">
        <v>156</v>
      </c>
      <c r="B22" s="2">
        <v>14.1</v>
      </c>
      <c r="C22" t="s">
        <v>1884</v>
      </c>
      <c r="D22">
        <v>1227</v>
      </c>
      <c r="E22" s="2">
        <v>13</v>
      </c>
      <c r="F22" s="2">
        <v>15.3</v>
      </c>
      <c r="G22" t="s">
        <v>25</v>
      </c>
      <c r="H22" s="1">
        <v>45108</v>
      </c>
      <c r="I22" s="1">
        <v>45473</v>
      </c>
    </row>
    <row r="23" spans="1:9">
      <c r="A23" t="s">
        <v>161</v>
      </c>
      <c r="B23" s="2">
        <v>14.9</v>
      </c>
      <c r="C23" t="s">
        <v>1884</v>
      </c>
      <c r="D23">
        <v>4120</v>
      </c>
      <c r="E23" s="2">
        <v>14.2</v>
      </c>
      <c r="F23" s="2">
        <v>15.9</v>
      </c>
      <c r="G23" t="s">
        <v>25</v>
      </c>
      <c r="H23" s="1">
        <v>45108</v>
      </c>
      <c r="I23" s="1">
        <v>45473</v>
      </c>
    </row>
    <row r="24" spans="1:9">
      <c r="A24" t="s">
        <v>169</v>
      </c>
      <c r="B24" s="2">
        <v>15.2</v>
      </c>
      <c r="C24" t="s">
        <v>1884</v>
      </c>
      <c r="D24">
        <v>132</v>
      </c>
      <c r="E24" s="2">
        <v>13.5</v>
      </c>
      <c r="F24" s="2">
        <v>17</v>
      </c>
      <c r="G24" t="s">
        <v>25</v>
      </c>
      <c r="H24" s="1">
        <v>45108</v>
      </c>
      <c r="I24" s="1">
        <v>45473</v>
      </c>
    </row>
    <row r="25" spans="1:9">
      <c r="A25" t="s">
        <v>178</v>
      </c>
      <c r="B25" s="2">
        <v>14.3</v>
      </c>
      <c r="C25" t="s">
        <v>1884</v>
      </c>
      <c r="D25">
        <v>1134</v>
      </c>
      <c r="E25" s="2">
        <v>13</v>
      </c>
      <c r="F25" s="2">
        <v>15.1</v>
      </c>
      <c r="G25" t="s">
        <v>143</v>
      </c>
      <c r="H25" s="1">
        <v>45108</v>
      </c>
      <c r="I25" s="1">
        <v>45473</v>
      </c>
    </row>
    <row r="26" spans="1:9">
      <c r="A26" t="s">
        <v>185</v>
      </c>
      <c r="B26" s="2">
        <v>14.3</v>
      </c>
      <c r="C26" t="s">
        <v>1884</v>
      </c>
      <c r="D26">
        <v>5603</v>
      </c>
      <c r="E26" s="2">
        <v>13.5</v>
      </c>
      <c r="F26" s="2">
        <v>15.1</v>
      </c>
      <c r="G26" t="s">
        <v>25</v>
      </c>
      <c r="H26" s="1">
        <v>45108</v>
      </c>
      <c r="I26" s="1">
        <v>45473</v>
      </c>
    </row>
    <row r="27" spans="1:9">
      <c r="A27" t="s">
        <v>192</v>
      </c>
      <c r="B27" s="2">
        <v>15.3</v>
      </c>
      <c r="C27" t="s">
        <v>1884</v>
      </c>
      <c r="D27">
        <v>1431</v>
      </c>
      <c r="E27" s="2">
        <v>14.1</v>
      </c>
      <c r="F27" s="2">
        <v>16.600000000000001</v>
      </c>
      <c r="G27" t="s">
        <v>25</v>
      </c>
      <c r="H27" s="1">
        <v>45108</v>
      </c>
      <c r="I27" s="1">
        <v>45473</v>
      </c>
    </row>
    <row r="28" spans="1:9">
      <c r="A28" t="s">
        <v>198</v>
      </c>
      <c r="B28" s="2">
        <v>14.6</v>
      </c>
      <c r="C28" t="s">
        <v>1884</v>
      </c>
      <c r="D28">
        <v>3979</v>
      </c>
      <c r="E28" s="2">
        <v>13.7</v>
      </c>
      <c r="F28" s="2">
        <v>15.5</v>
      </c>
      <c r="G28" t="s">
        <v>25</v>
      </c>
      <c r="H28" s="1">
        <v>45108</v>
      </c>
      <c r="I28" s="1">
        <v>45473</v>
      </c>
    </row>
    <row r="29" spans="1:9">
      <c r="A29" t="s">
        <v>203</v>
      </c>
      <c r="B29" s="2">
        <v>15.1</v>
      </c>
      <c r="C29" t="s">
        <v>1884</v>
      </c>
      <c r="D29">
        <v>532</v>
      </c>
      <c r="E29" s="2">
        <v>13.5</v>
      </c>
      <c r="F29" s="2">
        <v>16.8</v>
      </c>
      <c r="G29" t="s">
        <v>25</v>
      </c>
      <c r="H29" s="1">
        <v>45108</v>
      </c>
      <c r="I29" s="1">
        <v>45473</v>
      </c>
    </row>
    <row r="30" spans="1:9">
      <c r="A30" t="s">
        <v>210</v>
      </c>
      <c r="B30" s="2">
        <v>14.8</v>
      </c>
      <c r="C30" t="s">
        <v>1884</v>
      </c>
      <c r="D30">
        <v>1424</v>
      </c>
      <c r="E30" s="2">
        <v>13.6</v>
      </c>
      <c r="F30" s="2">
        <v>16</v>
      </c>
      <c r="G30" t="s">
        <v>25</v>
      </c>
      <c r="H30" s="1">
        <v>45108</v>
      </c>
      <c r="I30" s="1">
        <v>45473</v>
      </c>
    </row>
    <row r="31" spans="1:9">
      <c r="A31" t="s">
        <v>216</v>
      </c>
      <c r="B31" s="2">
        <v>15.2</v>
      </c>
      <c r="C31" t="s">
        <v>1884</v>
      </c>
      <c r="D31">
        <v>515</v>
      </c>
      <c r="E31" s="2">
        <v>13.9</v>
      </c>
      <c r="F31" s="2">
        <v>16.7</v>
      </c>
      <c r="G31" t="s">
        <v>25</v>
      </c>
      <c r="H31" s="1">
        <v>45108</v>
      </c>
      <c r="I31" s="1">
        <v>45473</v>
      </c>
    </row>
    <row r="32" spans="1:9">
      <c r="A32" t="s">
        <v>223</v>
      </c>
      <c r="B32" s="2">
        <v>15.4</v>
      </c>
      <c r="C32" t="s">
        <v>1884</v>
      </c>
      <c r="D32">
        <v>152</v>
      </c>
      <c r="E32" s="2">
        <v>13.7</v>
      </c>
      <c r="F32" s="2">
        <v>17.3</v>
      </c>
      <c r="G32" t="s">
        <v>25</v>
      </c>
      <c r="H32" s="1">
        <v>45108</v>
      </c>
      <c r="I32" s="1">
        <v>45473</v>
      </c>
    </row>
    <row r="33" spans="1:9">
      <c r="A33" t="s">
        <v>230</v>
      </c>
      <c r="B33" s="2">
        <v>15.4</v>
      </c>
      <c r="C33" t="s">
        <v>1884</v>
      </c>
      <c r="D33">
        <v>4047</v>
      </c>
      <c r="E33" s="2">
        <v>14.5</v>
      </c>
      <c r="F33" s="2">
        <v>16.3</v>
      </c>
      <c r="G33" t="s">
        <v>25</v>
      </c>
      <c r="H33" s="1">
        <v>45108</v>
      </c>
      <c r="I33" s="1">
        <v>45473</v>
      </c>
    </row>
    <row r="34" spans="1:9">
      <c r="A34" t="s">
        <v>237</v>
      </c>
      <c r="B34" s="2">
        <v>15.3</v>
      </c>
      <c r="C34" t="s">
        <v>1884</v>
      </c>
      <c r="D34">
        <v>1041</v>
      </c>
      <c r="E34" s="2">
        <v>14.1</v>
      </c>
      <c r="F34" s="2">
        <v>16.8</v>
      </c>
      <c r="G34" t="s">
        <v>25</v>
      </c>
      <c r="H34" s="1">
        <v>45108</v>
      </c>
      <c r="I34" s="1">
        <v>45473</v>
      </c>
    </row>
    <row r="35" spans="1:9">
      <c r="A35" t="s">
        <v>243</v>
      </c>
      <c r="B35" s="2">
        <v>14.9</v>
      </c>
      <c r="C35" t="s">
        <v>1884</v>
      </c>
      <c r="D35">
        <v>412</v>
      </c>
      <c r="E35" s="2">
        <v>13.3</v>
      </c>
      <c r="F35" s="2">
        <v>16.5</v>
      </c>
      <c r="G35" t="s">
        <v>25</v>
      </c>
      <c r="H35" s="1">
        <v>45108</v>
      </c>
      <c r="I35" s="1">
        <v>45473</v>
      </c>
    </row>
    <row r="36" spans="1:9">
      <c r="A36" t="s">
        <v>250</v>
      </c>
      <c r="B36" s="2">
        <v>15</v>
      </c>
      <c r="C36" t="s">
        <v>1884</v>
      </c>
      <c r="D36">
        <v>229</v>
      </c>
      <c r="E36" s="2">
        <v>13.4</v>
      </c>
      <c r="F36" s="2">
        <v>17</v>
      </c>
      <c r="G36" t="s">
        <v>25</v>
      </c>
      <c r="H36" s="1">
        <v>45108</v>
      </c>
      <c r="I36" s="1">
        <v>45473</v>
      </c>
    </row>
    <row r="37" spans="1:9">
      <c r="A37" t="s">
        <v>257</v>
      </c>
      <c r="B37" s="2">
        <v>15.6</v>
      </c>
      <c r="C37" t="s">
        <v>1884</v>
      </c>
      <c r="D37">
        <v>775</v>
      </c>
      <c r="E37" s="2">
        <v>14.3</v>
      </c>
      <c r="F37" s="2">
        <v>17.100000000000001</v>
      </c>
      <c r="G37" t="s">
        <v>25</v>
      </c>
      <c r="H37" s="1">
        <v>45108</v>
      </c>
      <c r="I37" s="1">
        <v>45473</v>
      </c>
    </row>
    <row r="38" spans="1:9">
      <c r="A38" t="s">
        <v>263</v>
      </c>
      <c r="B38" s="2">
        <v>14.7</v>
      </c>
      <c r="C38" t="s">
        <v>1884</v>
      </c>
      <c r="D38">
        <v>2080</v>
      </c>
      <c r="E38" s="2">
        <v>13.8</v>
      </c>
      <c r="F38" s="2">
        <v>16</v>
      </c>
      <c r="G38" t="s">
        <v>25</v>
      </c>
      <c r="H38" s="1">
        <v>45108</v>
      </c>
      <c r="I38" s="1">
        <v>45473</v>
      </c>
    </row>
    <row r="39" spans="1:9">
      <c r="A39" t="s">
        <v>267</v>
      </c>
      <c r="B39" s="2">
        <v>13.6</v>
      </c>
      <c r="C39" t="s">
        <v>1885</v>
      </c>
      <c r="D39">
        <v>5245</v>
      </c>
      <c r="E39" s="2">
        <v>12.8</v>
      </c>
      <c r="F39" s="2">
        <v>14.4</v>
      </c>
      <c r="G39" t="s">
        <v>25</v>
      </c>
      <c r="H39" s="1">
        <v>45108</v>
      </c>
      <c r="I39" s="1">
        <v>45473</v>
      </c>
    </row>
    <row r="40" spans="1:9">
      <c r="A40" t="s">
        <v>271</v>
      </c>
      <c r="B40" s="2">
        <v>16</v>
      </c>
      <c r="C40" t="s">
        <v>1884</v>
      </c>
      <c r="D40">
        <v>870</v>
      </c>
      <c r="E40" s="2">
        <v>14.6</v>
      </c>
      <c r="F40" s="2">
        <v>17.600000000000001</v>
      </c>
      <c r="G40" t="s">
        <v>25</v>
      </c>
      <c r="H40" s="1">
        <v>45108</v>
      </c>
      <c r="I40" s="1">
        <v>45473</v>
      </c>
    </row>
    <row r="41" spans="1:9">
      <c r="A41" t="s">
        <v>279</v>
      </c>
      <c r="B41" s="2">
        <v>15.5</v>
      </c>
      <c r="C41" t="s">
        <v>1884</v>
      </c>
      <c r="D41">
        <v>1844</v>
      </c>
      <c r="E41" s="2">
        <v>14.4</v>
      </c>
      <c r="F41" s="2">
        <v>16.7</v>
      </c>
      <c r="G41" t="s">
        <v>25</v>
      </c>
      <c r="H41" s="1">
        <v>45108</v>
      </c>
      <c r="I41" s="1">
        <v>45473</v>
      </c>
    </row>
    <row r="42" spans="1:9">
      <c r="A42" t="s">
        <v>283</v>
      </c>
      <c r="B42" s="2">
        <v>15.3</v>
      </c>
      <c r="C42" t="s">
        <v>1884</v>
      </c>
      <c r="D42">
        <v>102</v>
      </c>
      <c r="E42" s="2">
        <v>13.5</v>
      </c>
      <c r="F42" s="2">
        <v>17.3</v>
      </c>
      <c r="G42" t="s">
        <v>25</v>
      </c>
      <c r="H42" s="1">
        <v>45108</v>
      </c>
      <c r="I42" s="1">
        <v>45473</v>
      </c>
    </row>
    <row r="43" spans="1:9">
      <c r="A43" t="s">
        <v>290</v>
      </c>
      <c r="B43" s="2">
        <v>15.9</v>
      </c>
      <c r="C43" t="s">
        <v>1884</v>
      </c>
      <c r="D43">
        <v>1524</v>
      </c>
      <c r="E43" s="2">
        <v>14.8</v>
      </c>
      <c r="F43" s="2">
        <v>17.2</v>
      </c>
      <c r="G43" t="s">
        <v>25</v>
      </c>
      <c r="H43" s="1">
        <v>45108</v>
      </c>
      <c r="I43" s="1">
        <v>45473</v>
      </c>
    </row>
    <row r="44" spans="1:9">
      <c r="A44" t="s">
        <v>297</v>
      </c>
      <c r="B44" s="2">
        <v>14.9</v>
      </c>
      <c r="C44" t="s">
        <v>1884</v>
      </c>
      <c r="D44">
        <v>464</v>
      </c>
      <c r="E44" s="2">
        <v>13.5</v>
      </c>
      <c r="F44" s="2">
        <v>16.3</v>
      </c>
      <c r="G44" t="s">
        <v>143</v>
      </c>
      <c r="H44" s="1">
        <v>45108</v>
      </c>
      <c r="I44" s="1">
        <v>45473</v>
      </c>
    </row>
    <row r="45" spans="1:9">
      <c r="A45" t="s">
        <v>303</v>
      </c>
      <c r="B45" s="2">
        <v>14.4</v>
      </c>
      <c r="C45" t="s">
        <v>1884</v>
      </c>
      <c r="D45">
        <v>468</v>
      </c>
      <c r="E45" s="2">
        <v>12.9</v>
      </c>
      <c r="F45" s="2">
        <v>15.9</v>
      </c>
      <c r="G45" t="s">
        <v>25</v>
      </c>
      <c r="H45" s="1">
        <v>45108</v>
      </c>
      <c r="I45" s="1">
        <v>45473</v>
      </c>
    </row>
    <row r="46" spans="1:9">
      <c r="A46" t="s">
        <v>309</v>
      </c>
      <c r="B46" s="2">
        <v>15</v>
      </c>
      <c r="C46" t="s">
        <v>1884</v>
      </c>
      <c r="D46">
        <v>1808</v>
      </c>
      <c r="E46" s="2">
        <v>13.9</v>
      </c>
      <c r="F46" s="2">
        <v>16.100000000000001</v>
      </c>
      <c r="G46" t="s">
        <v>25</v>
      </c>
      <c r="H46" s="1">
        <v>45108</v>
      </c>
      <c r="I46" s="1">
        <v>45473</v>
      </c>
    </row>
    <row r="47" spans="1:9">
      <c r="A47" t="s">
        <v>316</v>
      </c>
      <c r="B47" s="2">
        <v>14.9</v>
      </c>
      <c r="C47" t="s">
        <v>1884</v>
      </c>
      <c r="D47">
        <v>1564</v>
      </c>
      <c r="E47" s="2">
        <v>13.7</v>
      </c>
      <c r="F47" s="2">
        <v>16</v>
      </c>
      <c r="G47" t="s">
        <v>25</v>
      </c>
      <c r="H47" s="1">
        <v>45108</v>
      </c>
      <c r="I47" s="1">
        <v>45473</v>
      </c>
    </row>
    <row r="48" spans="1:9">
      <c r="A48" t="s">
        <v>323</v>
      </c>
      <c r="B48" s="2">
        <v>14.4</v>
      </c>
      <c r="C48" t="s">
        <v>1884</v>
      </c>
      <c r="D48">
        <v>5590</v>
      </c>
      <c r="E48" s="2">
        <v>13.7</v>
      </c>
      <c r="F48" s="2">
        <v>15.2</v>
      </c>
      <c r="G48" t="s">
        <v>25</v>
      </c>
      <c r="H48" s="1">
        <v>45108</v>
      </c>
      <c r="I48" s="1">
        <v>45473</v>
      </c>
    </row>
    <row r="49" spans="1:9">
      <c r="A49" t="s">
        <v>327</v>
      </c>
      <c r="B49" s="2">
        <v>15.8</v>
      </c>
      <c r="C49" t="s">
        <v>1884</v>
      </c>
      <c r="D49">
        <v>2563</v>
      </c>
      <c r="E49" s="2">
        <v>14.9</v>
      </c>
      <c r="F49" s="2">
        <v>16.8</v>
      </c>
      <c r="G49" t="s">
        <v>25</v>
      </c>
      <c r="H49" s="1">
        <v>45108</v>
      </c>
      <c r="I49" s="1">
        <v>45473</v>
      </c>
    </row>
    <row r="50" spans="1:9">
      <c r="A50" t="s">
        <v>331</v>
      </c>
      <c r="B50" s="2">
        <v>15</v>
      </c>
      <c r="C50" t="s">
        <v>1884</v>
      </c>
      <c r="D50">
        <v>32</v>
      </c>
      <c r="E50" s="2">
        <v>13.2</v>
      </c>
      <c r="F50" s="2">
        <v>17.100000000000001</v>
      </c>
      <c r="G50" t="s">
        <v>25</v>
      </c>
      <c r="H50" s="1">
        <v>45108</v>
      </c>
      <c r="I50" s="1">
        <v>45473</v>
      </c>
    </row>
    <row r="51" spans="1:9">
      <c r="A51" t="s">
        <v>337</v>
      </c>
      <c r="B51" s="2">
        <v>14.5</v>
      </c>
      <c r="C51" t="s">
        <v>1884</v>
      </c>
      <c r="D51">
        <v>1178</v>
      </c>
      <c r="E51" s="2">
        <v>13.3</v>
      </c>
      <c r="F51" s="2">
        <v>15.8</v>
      </c>
      <c r="G51" t="s">
        <v>25</v>
      </c>
      <c r="H51" s="1">
        <v>45108</v>
      </c>
      <c r="I51" s="1">
        <v>45473</v>
      </c>
    </row>
    <row r="52" spans="1:9">
      <c r="A52" t="s">
        <v>341</v>
      </c>
      <c r="B52" s="2">
        <v>14.5</v>
      </c>
      <c r="C52" t="s">
        <v>1884</v>
      </c>
      <c r="D52">
        <v>361</v>
      </c>
      <c r="E52" s="2">
        <v>12.9</v>
      </c>
      <c r="F52" s="2">
        <v>16.2</v>
      </c>
      <c r="G52" t="s">
        <v>25</v>
      </c>
      <c r="H52" s="1">
        <v>45108</v>
      </c>
      <c r="I52" s="1">
        <v>45473</v>
      </c>
    </row>
    <row r="53" spans="1:9">
      <c r="A53" t="s">
        <v>348</v>
      </c>
      <c r="B53" s="2">
        <v>15.9</v>
      </c>
      <c r="C53" t="s">
        <v>1884</v>
      </c>
      <c r="D53">
        <v>970</v>
      </c>
      <c r="E53" s="2">
        <v>14.7</v>
      </c>
      <c r="F53" s="2">
        <v>17.399999999999999</v>
      </c>
      <c r="G53" t="s">
        <v>25</v>
      </c>
      <c r="H53" s="1">
        <v>45108</v>
      </c>
      <c r="I53" s="1">
        <v>45473</v>
      </c>
    </row>
    <row r="54" spans="1:9">
      <c r="A54" t="s">
        <v>355</v>
      </c>
      <c r="B54" s="2">
        <v>14.7</v>
      </c>
      <c r="C54" t="s">
        <v>1884</v>
      </c>
      <c r="D54">
        <v>239</v>
      </c>
      <c r="E54" s="2">
        <v>13</v>
      </c>
      <c r="F54" s="2">
        <v>16.600000000000001</v>
      </c>
      <c r="G54" t="s">
        <v>25</v>
      </c>
      <c r="H54" s="1">
        <v>45108</v>
      </c>
      <c r="I54" s="1">
        <v>45473</v>
      </c>
    </row>
    <row r="55" spans="1:9">
      <c r="A55" t="s">
        <v>362</v>
      </c>
      <c r="B55" s="2">
        <v>14.5</v>
      </c>
      <c r="C55" t="s">
        <v>1884</v>
      </c>
      <c r="D55">
        <v>58</v>
      </c>
      <c r="E55" s="2">
        <v>12.7</v>
      </c>
      <c r="F55" s="2">
        <v>16.7</v>
      </c>
      <c r="G55" t="s">
        <v>25</v>
      </c>
      <c r="H55" s="1">
        <v>45108</v>
      </c>
      <c r="I55" s="1">
        <v>45473</v>
      </c>
    </row>
    <row r="56" spans="1:9">
      <c r="A56" t="s">
        <v>369</v>
      </c>
      <c r="B56" s="2">
        <v>14.2</v>
      </c>
      <c r="C56" t="s">
        <v>1884</v>
      </c>
      <c r="D56">
        <v>53</v>
      </c>
      <c r="E56" s="2">
        <v>11.2</v>
      </c>
      <c r="F56" s="2">
        <v>17.8</v>
      </c>
      <c r="G56" t="s">
        <v>25</v>
      </c>
      <c r="H56" s="1">
        <v>45108</v>
      </c>
      <c r="I56" s="1">
        <v>45473</v>
      </c>
    </row>
    <row r="57" spans="1:9">
      <c r="A57" t="s">
        <v>374</v>
      </c>
      <c r="B57" s="2">
        <v>14.9</v>
      </c>
      <c r="C57" t="s">
        <v>1884</v>
      </c>
      <c r="D57">
        <v>174</v>
      </c>
      <c r="E57" s="2">
        <v>13.2</v>
      </c>
      <c r="F57" s="2">
        <v>17</v>
      </c>
      <c r="G57" t="s">
        <v>25</v>
      </c>
      <c r="H57" s="1">
        <v>45108</v>
      </c>
      <c r="I57" s="1">
        <v>45473</v>
      </c>
    </row>
    <row r="58" spans="1:9">
      <c r="A58" t="s">
        <v>381</v>
      </c>
      <c r="B58" s="2">
        <v>14.5</v>
      </c>
      <c r="C58" t="s">
        <v>1884</v>
      </c>
      <c r="D58">
        <v>226</v>
      </c>
      <c r="E58" s="2">
        <v>12.5</v>
      </c>
      <c r="F58" s="2">
        <v>16.7</v>
      </c>
      <c r="G58" t="s">
        <v>25</v>
      </c>
      <c r="H58" s="1">
        <v>45108</v>
      </c>
      <c r="I58" s="1">
        <v>45473</v>
      </c>
    </row>
    <row r="59" spans="1:9">
      <c r="A59" t="s">
        <v>388</v>
      </c>
      <c r="B59" s="2">
        <v>15.2</v>
      </c>
      <c r="C59" t="s">
        <v>1884</v>
      </c>
      <c r="D59">
        <v>627</v>
      </c>
      <c r="E59" s="2">
        <v>13.7</v>
      </c>
      <c r="F59" s="2">
        <v>16.899999999999999</v>
      </c>
      <c r="G59" t="s">
        <v>25</v>
      </c>
      <c r="H59" s="1">
        <v>45108</v>
      </c>
      <c r="I59" s="1">
        <v>45473</v>
      </c>
    </row>
    <row r="60" spans="1:9">
      <c r="A60" t="s">
        <v>394</v>
      </c>
      <c r="B60" s="2">
        <v>14.8</v>
      </c>
      <c r="C60" t="s">
        <v>1884</v>
      </c>
      <c r="D60">
        <v>7528</v>
      </c>
      <c r="E60" s="2">
        <v>14.1</v>
      </c>
      <c r="F60" s="2">
        <v>15.5</v>
      </c>
      <c r="G60" t="s">
        <v>25</v>
      </c>
      <c r="H60" s="1">
        <v>45108</v>
      </c>
      <c r="I60" s="1">
        <v>45473</v>
      </c>
    </row>
    <row r="61" spans="1:9">
      <c r="A61" t="s">
        <v>399</v>
      </c>
      <c r="B61" s="2">
        <v>14.5</v>
      </c>
      <c r="C61" t="s">
        <v>1884</v>
      </c>
      <c r="D61">
        <v>2622</v>
      </c>
      <c r="E61" s="2">
        <v>13.5</v>
      </c>
      <c r="F61" s="2">
        <v>15.5</v>
      </c>
      <c r="G61" t="s">
        <v>25</v>
      </c>
      <c r="H61" s="1">
        <v>45108</v>
      </c>
      <c r="I61" s="1">
        <v>45473</v>
      </c>
    </row>
    <row r="62" spans="1:9">
      <c r="A62" t="s">
        <v>403</v>
      </c>
      <c r="B62" s="2">
        <v>14.7</v>
      </c>
      <c r="C62" t="s">
        <v>1884</v>
      </c>
      <c r="D62">
        <v>123</v>
      </c>
      <c r="E62" s="2">
        <v>13</v>
      </c>
      <c r="F62" s="2">
        <v>16.7</v>
      </c>
      <c r="G62" t="s">
        <v>25</v>
      </c>
      <c r="H62" s="1">
        <v>45108</v>
      </c>
      <c r="I62" s="1">
        <v>45473</v>
      </c>
    </row>
    <row r="63" spans="1:9">
      <c r="A63" t="s">
        <v>410</v>
      </c>
      <c r="B63" s="2">
        <v>15.4</v>
      </c>
      <c r="C63" t="s">
        <v>1884</v>
      </c>
      <c r="D63">
        <v>1965</v>
      </c>
      <c r="E63" s="2">
        <v>14.3</v>
      </c>
      <c r="F63" s="2">
        <v>16.600000000000001</v>
      </c>
      <c r="G63" t="s">
        <v>25</v>
      </c>
      <c r="H63" s="1">
        <v>45108</v>
      </c>
      <c r="I63" s="1">
        <v>45473</v>
      </c>
    </row>
    <row r="64" spans="1:9">
      <c r="A64" t="s">
        <v>417</v>
      </c>
      <c r="G64" t="s">
        <v>168</v>
      </c>
      <c r="H64" s="1">
        <v>45108</v>
      </c>
      <c r="I64" s="1">
        <v>45473</v>
      </c>
    </row>
    <row r="65" spans="1:9">
      <c r="A65" t="s">
        <v>424</v>
      </c>
      <c r="B65" s="2">
        <v>15</v>
      </c>
      <c r="C65" t="s">
        <v>1884</v>
      </c>
      <c r="D65">
        <v>1477</v>
      </c>
      <c r="E65" s="2">
        <v>13.8</v>
      </c>
      <c r="F65" s="2">
        <v>16.2</v>
      </c>
      <c r="G65" t="s">
        <v>25</v>
      </c>
      <c r="H65" s="1">
        <v>45108</v>
      </c>
      <c r="I65" s="1">
        <v>45473</v>
      </c>
    </row>
    <row r="66" spans="1:9">
      <c r="A66" t="s">
        <v>431</v>
      </c>
      <c r="B66" s="2">
        <v>14.2</v>
      </c>
      <c r="C66" t="s">
        <v>1884</v>
      </c>
      <c r="D66">
        <v>1575</v>
      </c>
      <c r="E66" s="2">
        <v>13.1</v>
      </c>
      <c r="F66" s="2">
        <v>15.4</v>
      </c>
      <c r="G66" t="s">
        <v>25</v>
      </c>
      <c r="H66" s="1">
        <v>45108</v>
      </c>
      <c r="I66" s="1">
        <v>45473</v>
      </c>
    </row>
    <row r="67" spans="1:9">
      <c r="A67" t="s">
        <v>438</v>
      </c>
      <c r="B67" s="2">
        <v>14.4</v>
      </c>
      <c r="C67" t="s">
        <v>1884</v>
      </c>
      <c r="D67">
        <v>74</v>
      </c>
      <c r="E67" s="2">
        <v>12.4</v>
      </c>
      <c r="F67" s="2">
        <v>16.8</v>
      </c>
      <c r="G67" t="s">
        <v>25</v>
      </c>
      <c r="H67" s="1">
        <v>45108</v>
      </c>
      <c r="I67" s="1">
        <v>45473</v>
      </c>
    </row>
    <row r="68" spans="1:9">
      <c r="A68" t="s">
        <v>445</v>
      </c>
      <c r="B68" s="2">
        <v>16</v>
      </c>
      <c r="C68" t="s">
        <v>1884</v>
      </c>
      <c r="D68">
        <v>1341</v>
      </c>
      <c r="E68" s="2">
        <v>14.7</v>
      </c>
      <c r="F68" s="2">
        <v>17.3</v>
      </c>
      <c r="G68" t="s">
        <v>25</v>
      </c>
      <c r="H68" s="1">
        <v>45108</v>
      </c>
      <c r="I68" s="1">
        <v>45473</v>
      </c>
    </row>
    <row r="69" spans="1:9">
      <c r="A69" t="s">
        <v>452</v>
      </c>
      <c r="B69" s="2">
        <v>15.1</v>
      </c>
      <c r="C69" t="s">
        <v>1884</v>
      </c>
      <c r="D69">
        <v>2215</v>
      </c>
      <c r="E69" s="2">
        <v>14.1</v>
      </c>
      <c r="F69" s="2">
        <v>16.2</v>
      </c>
      <c r="G69" t="s">
        <v>25</v>
      </c>
      <c r="H69" s="1">
        <v>45108</v>
      </c>
      <c r="I69" s="1">
        <v>45473</v>
      </c>
    </row>
    <row r="70" spans="1:9">
      <c r="A70" t="s">
        <v>457</v>
      </c>
      <c r="B70" s="2">
        <v>16.899999999999999</v>
      </c>
      <c r="C70" t="s">
        <v>1886</v>
      </c>
      <c r="D70">
        <v>1564</v>
      </c>
      <c r="E70" s="2">
        <v>15.6</v>
      </c>
      <c r="F70" s="2">
        <v>18.2</v>
      </c>
      <c r="G70" t="s">
        <v>25</v>
      </c>
      <c r="H70" s="1">
        <v>45108</v>
      </c>
      <c r="I70" s="1">
        <v>45473</v>
      </c>
    </row>
    <row r="71" spans="1:9">
      <c r="A71" t="s">
        <v>464</v>
      </c>
      <c r="B71" s="2">
        <v>15.1</v>
      </c>
      <c r="C71" t="s">
        <v>1884</v>
      </c>
      <c r="D71">
        <v>5402</v>
      </c>
      <c r="E71" s="2">
        <v>14.3</v>
      </c>
      <c r="F71" s="2">
        <v>15.9</v>
      </c>
      <c r="G71" t="s">
        <v>25</v>
      </c>
      <c r="H71" s="1">
        <v>45108</v>
      </c>
      <c r="I71" s="1">
        <v>45473</v>
      </c>
    </row>
    <row r="72" spans="1:9">
      <c r="A72" t="s">
        <v>471</v>
      </c>
      <c r="B72" s="2">
        <v>14.8</v>
      </c>
      <c r="C72" t="s">
        <v>1884</v>
      </c>
      <c r="D72">
        <v>4914</v>
      </c>
      <c r="E72" s="2">
        <v>14</v>
      </c>
      <c r="F72" s="2">
        <v>15.7</v>
      </c>
      <c r="G72" t="s">
        <v>25</v>
      </c>
      <c r="H72" s="1">
        <v>45108</v>
      </c>
      <c r="I72" s="1">
        <v>45473</v>
      </c>
    </row>
    <row r="73" spans="1:9">
      <c r="A73" t="s">
        <v>475</v>
      </c>
      <c r="B73" s="2">
        <v>15.3</v>
      </c>
      <c r="C73" t="s">
        <v>1884</v>
      </c>
      <c r="D73">
        <v>96</v>
      </c>
      <c r="E73" s="2">
        <v>13.4</v>
      </c>
      <c r="F73" s="2">
        <v>17.399999999999999</v>
      </c>
      <c r="G73" t="s">
        <v>25</v>
      </c>
      <c r="H73" s="1">
        <v>45108</v>
      </c>
      <c r="I73" s="1">
        <v>45473</v>
      </c>
    </row>
    <row r="74" spans="1:9">
      <c r="A74" t="s">
        <v>481</v>
      </c>
      <c r="B74" s="2">
        <v>13.7</v>
      </c>
      <c r="C74" t="s">
        <v>1884</v>
      </c>
      <c r="D74">
        <v>715</v>
      </c>
      <c r="E74" s="2">
        <v>12.4</v>
      </c>
      <c r="F74" s="2">
        <v>15.1</v>
      </c>
      <c r="G74" t="s">
        <v>25</v>
      </c>
      <c r="H74" s="1">
        <v>45108</v>
      </c>
      <c r="I74" s="1">
        <v>45473</v>
      </c>
    </row>
    <row r="75" spans="1:9">
      <c r="A75" t="s">
        <v>488</v>
      </c>
      <c r="B75" s="2">
        <v>14.4</v>
      </c>
      <c r="C75" t="s">
        <v>1884</v>
      </c>
      <c r="D75">
        <v>3869</v>
      </c>
      <c r="E75" s="2">
        <v>13.6</v>
      </c>
      <c r="F75" s="2">
        <v>15.4</v>
      </c>
      <c r="G75" t="s">
        <v>25</v>
      </c>
      <c r="H75" s="1">
        <v>45108</v>
      </c>
      <c r="I75" s="1">
        <v>45473</v>
      </c>
    </row>
    <row r="76" spans="1:9">
      <c r="A76" t="s">
        <v>493</v>
      </c>
      <c r="B76" s="2">
        <v>14.8</v>
      </c>
      <c r="C76" t="s">
        <v>1884</v>
      </c>
      <c r="D76">
        <v>82</v>
      </c>
      <c r="E76" s="2">
        <v>13</v>
      </c>
      <c r="F76" s="2">
        <v>16.899999999999999</v>
      </c>
      <c r="G76" t="s">
        <v>25</v>
      </c>
      <c r="H76" s="1">
        <v>45108</v>
      </c>
      <c r="I76" s="1">
        <v>45473</v>
      </c>
    </row>
    <row r="77" spans="1:9">
      <c r="A77" t="s">
        <v>500</v>
      </c>
      <c r="B77" s="2">
        <v>15.6</v>
      </c>
      <c r="C77" t="s">
        <v>1884</v>
      </c>
      <c r="D77">
        <v>33</v>
      </c>
      <c r="E77" s="2">
        <v>13.1</v>
      </c>
      <c r="F77" s="2">
        <v>18.3</v>
      </c>
      <c r="G77" t="s">
        <v>25</v>
      </c>
      <c r="H77" s="1">
        <v>45108</v>
      </c>
      <c r="I77" s="1">
        <v>45473</v>
      </c>
    </row>
    <row r="78" spans="1:9">
      <c r="A78" t="s">
        <v>506</v>
      </c>
      <c r="B78" s="2">
        <v>14.2</v>
      </c>
      <c r="C78" t="s">
        <v>1884</v>
      </c>
      <c r="D78">
        <v>651</v>
      </c>
      <c r="E78" s="2">
        <v>13.2</v>
      </c>
      <c r="F78" s="2">
        <v>16</v>
      </c>
      <c r="G78" t="s">
        <v>25</v>
      </c>
      <c r="H78" s="1">
        <v>45108</v>
      </c>
      <c r="I78" s="1">
        <v>45473</v>
      </c>
    </row>
    <row r="79" spans="1:9">
      <c r="A79" t="s">
        <v>513</v>
      </c>
      <c r="B79" s="2">
        <v>15.1</v>
      </c>
      <c r="C79" t="s">
        <v>1884</v>
      </c>
      <c r="D79">
        <v>340</v>
      </c>
      <c r="E79" s="2">
        <v>13.6</v>
      </c>
      <c r="F79" s="2">
        <v>16.7</v>
      </c>
      <c r="G79" t="s">
        <v>25</v>
      </c>
      <c r="H79" s="1">
        <v>45108</v>
      </c>
      <c r="I79" s="1">
        <v>45473</v>
      </c>
    </row>
    <row r="80" spans="1:9">
      <c r="A80" t="s">
        <v>517</v>
      </c>
      <c r="B80" s="2">
        <v>14.9</v>
      </c>
      <c r="C80" t="s">
        <v>1884</v>
      </c>
      <c r="D80">
        <v>153</v>
      </c>
      <c r="E80" s="2">
        <v>13.2</v>
      </c>
      <c r="F80" s="2">
        <v>16.8</v>
      </c>
      <c r="G80" t="s">
        <v>25</v>
      </c>
      <c r="H80" s="1">
        <v>45108</v>
      </c>
      <c r="I80" s="1">
        <v>45473</v>
      </c>
    </row>
    <row r="81" spans="1:9">
      <c r="A81" t="s">
        <v>523</v>
      </c>
      <c r="B81" s="2">
        <v>16.100000000000001</v>
      </c>
      <c r="C81" t="s">
        <v>1886</v>
      </c>
      <c r="D81">
        <v>4243</v>
      </c>
      <c r="E81" s="2">
        <v>15.3</v>
      </c>
      <c r="F81" s="2">
        <v>17</v>
      </c>
      <c r="G81" t="s">
        <v>25</v>
      </c>
      <c r="H81" s="1">
        <v>45108</v>
      </c>
      <c r="I81" s="1">
        <v>45473</v>
      </c>
    </row>
    <row r="82" spans="1:9">
      <c r="A82" t="s">
        <v>530</v>
      </c>
      <c r="B82" s="2">
        <v>16.100000000000001</v>
      </c>
      <c r="C82" t="s">
        <v>1884</v>
      </c>
      <c r="D82">
        <v>287</v>
      </c>
      <c r="E82" s="2">
        <v>14.4</v>
      </c>
      <c r="F82" s="2">
        <v>17.899999999999999</v>
      </c>
      <c r="G82" t="s">
        <v>25</v>
      </c>
      <c r="H82" s="1">
        <v>45108</v>
      </c>
      <c r="I82" s="1">
        <v>45473</v>
      </c>
    </row>
    <row r="83" spans="1:9">
      <c r="A83" t="s">
        <v>537</v>
      </c>
      <c r="B83" s="2">
        <v>15.8</v>
      </c>
      <c r="C83" t="s">
        <v>1884</v>
      </c>
      <c r="D83">
        <v>1886</v>
      </c>
      <c r="E83" s="2">
        <v>14.7</v>
      </c>
      <c r="F83" s="2">
        <v>17</v>
      </c>
      <c r="G83" t="s">
        <v>25</v>
      </c>
      <c r="H83" s="1">
        <v>45108</v>
      </c>
      <c r="I83" s="1">
        <v>45473</v>
      </c>
    </row>
    <row r="84" spans="1:9">
      <c r="A84" t="s">
        <v>542</v>
      </c>
      <c r="B84" s="2">
        <v>15.4</v>
      </c>
      <c r="C84" t="s">
        <v>1884</v>
      </c>
      <c r="D84">
        <v>467</v>
      </c>
      <c r="E84" s="2">
        <v>13.8</v>
      </c>
      <c r="F84" s="2">
        <v>17.100000000000001</v>
      </c>
      <c r="G84" t="s">
        <v>25</v>
      </c>
      <c r="H84" s="1">
        <v>45108</v>
      </c>
      <c r="I84" s="1">
        <v>45473</v>
      </c>
    </row>
    <row r="85" spans="1:9">
      <c r="A85" t="s">
        <v>549</v>
      </c>
      <c r="B85" s="2">
        <v>14.8</v>
      </c>
      <c r="C85" t="s">
        <v>1884</v>
      </c>
      <c r="D85">
        <v>307</v>
      </c>
      <c r="E85" s="2">
        <v>13.1</v>
      </c>
      <c r="F85" s="2">
        <v>16.600000000000001</v>
      </c>
      <c r="G85" t="s">
        <v>25</v>
      </c>
      <c r="H85" s="1">
        <v>45108</v>
      </c>
      <c r="I85" s="1">
        <v>45473</v>
      </c>
    </row>
    <row r="86" spans="1:9">
      <c r="A86" t="s">
        <v>556</v>
      </c>
      <c r="B86" s="2">
        <v>16.2</v>
      </c>
      <c r="C86" t="s">
        <v>1884</v>
      </c>
      <c r="D86">
        <v>1405</v>
      </c>
      <c r="E86" s="2">
        <v>15</v>
      </c>
      <c r="F86" s="2">
        <v>17.5</v>
      </c>
      <c r="G86" t="s">
        <v>25</v>
      </c>
      <c r="H86" s="1">
        <v>45108</v>
      </c>
      <c r="I86" s="1">
        <v>45473</v>
      </c>
    </row>
    <row r="87" spans="1:9">
      <c r="A87" t="s">
        <v>563</v>
      </c>
      <c r="B87" s="2">
        <v>14.2</v>
      </c>
      <c r="C87" t="s">
        <v>1885</v>
      </c>
      <c r="D87">
        <v>8382</v>
      </c>
      <c r="E87" s="2">
        <v>13.6</v>
      </c>
      <c r="F87" s="2">
        <v>14.8</v>
      </c>
      <c r="G87" t="s">
        <v>25</v>
      </c>
      <c r="H87" s="1">
        <v>45108</v>
      </c>
      <c r="I87" s="1">
        <v>45473</v>
      </c>
    </row>
    <row r="88" spans="1:9">
      <c r="A88" t="s">
        <v>567</v>
      </c>
      <c r="B88" s="2">
        <v>14.5</v>
      </c>
      <c r="C88" t="s">
        <v>1884</v>
      </c>
      <c r="D88">
        <v>115</v>
      </c>
      <c r="E88" s="2">
        <v>12.6</v>
      </c>
      <c r="F88" s="2">
        <v>16.600000000000001</v>
      </c>
      <c r="G88" t="s">
        <v>25</v>
      </c>
      <c r="H88" s="1">
        <v>45108</v>
      </c>
      <c r="I88" s="1">
        <v>45473</v>
      </c>
    </row>
    <row r="89" spans="1:9">
      <c r="A89" t="s">
        <v>573</v>
      </c>
      <c r="B89" s="2">
        <v>14.9</v>
      </c>
      <c r="C89" t="s">
        <v>1884</v>
      </c>
      <c r="D89">
        <v>179</v>
      </c>
      <c r="E89" s="2">
        <v>13.3</v>
      </c>
      <c r="F89" s="2">
        <v>16.899999999999999</v>
      </c>
      <c r="G89" t="s">
        <v>25</v>
      </c>
      <c r="H89" s="1">
        <v>45108</v>
      </c>
      <c r="I89" s="1">
        <v>45473</v>
      </c>
    </row>
    <row r="90" spans="1:9">
      <c r="A90" t="s">
        <v>580</v>
      </c>
      <c r="B90" s="2">
        <v>15.6</v>
      </c>
      <c r="C90" t="s">
        <v>1884</v>
      </c>
      <c r="D90">
        <v>1611</v>
      </c>
      <c r="E90" s="2">
        <v>14.5</v>
      </c>
      <c r="F90" s="2">
        <v>16.8</v>
      </c>
      <c r="G90" t="s">
        <v>25</v>
      </c>
      <c r="H90" s="1">
        <v>45108</v>
      </c>
      <c r="I90" s="1">
        <v>45473</v>
      </c>
    </row>
    <row r="91" spans="1:9">
      <c r="A91" t="s">
        <v>587</v>
      </c>
      <c r="B91" s="2">
        <v>13.7</v>
      </c>
      <c r="C91" t="s">
        <v>1884</v>
      </c>
      <c r="D91">
        <v>192</v>
      </c>
      <c r="E91" s="2">
        <v>11.9</v>
      </c>
      <c r="F91" s="2">
        <v>15.9</v>
      </c>
      <c r="G91" t="s">
        <v>25</v>
      </c>
      <c r="H91" s="1">
        <v>45108</v>
      </c>
      <c r="I91" s="1">
        <v>45473</v>
      </c>
    </row>
    <row r="92" spans="1:9">
      <c r="A92" t="s">
        <v>592</v>
      </c>
      <c r="B92" s="2">
        <v>15.8</v>
      </c>
      <c r="C92" t="s">
        <v>1886</v>
      </c>
      <c r="D92">
        <v>12978</v>
      </c>
      <c r="E92" s="2">
        <v>15.2</v>
      </c>
      <c r="F92" s="2">
        <v>16.399999999999999</v>
      </c>
      <c r="G92" t="s">
        <v>25</v>
      </c>
      <c r="H92" s="1">
        <v>45108</v>
      </c>
      <c r="I92" s="1">
        <v>45473</v>
      </c>
    </row>
    <row r="93" spans="1:9">
      <c r="A93" t="s">
        <v>596</v>
      </c>
      <c r="B93" s="2">
        <v>16.2</v>
      </c>
      <c r="C93" t="s">
        <v>1884</v>
      </c>
      <c r="D93">
        <v>717</v>
      </c>
      <c r="E93" s="2">
        <v>14.7</v>
      </c>
      <c r="F93" s="2">
        <v>17.8</v>
      </c>
      <c r="G93" t="s">
        <v>25</v>
      </c>
      <c r="H93" s="1">
        <v>45108</v>
      </c>
      <c r="I93" s="1">
        <v>45473</v>
      </c>
    </row>
    <row r="94" spans="1:9">
      <c r="A94" t="s">
        <v>603</v>
      </c>
      <c r="B94" s="2">
        <v>14.5</v>
      </c>
      <c r="C94" t="s">
        <v>1884</v>
      </c>
      <c r="D94">
        <v>206</v>
      </c>
      <c r="E94" s="2">
        <v>12.9</v>
      </c>
      <c r="F94" s="2">
        <v>16.399999999999999</v>
      </c>
      <c r="G94" t="s">
        <v>25</v>
      </c>
      <c r="H94" s="1">
        <v>45108</v>
      </c>
      <c r="I94" s="1">
        <v>45473</v>
      </c>
    </row>
    <row r="95" spans="1:9">
      <c r="A95" t="s">
        <v>610</v>
      </c>
      <c r="B95" s="2">
        <v>15</v>
      </c>
      <c r="C95" t="s">
        <v>1884</v>
      </c>
      <c r="D95">
        <v>37</v>
      </c>
      <c r="E95" s="2">
        <v>13.3</v>
      </c>
      <c r="F95" s="2">
        <v>17</v>
      </c>
      <c r="G95" t="s">
        <v>25</v>
      </c>
      <c r="H95" s="1">
        <v>45108</v>
      </c>
      <c r="I95" s="1">
        <v>45473</v>
      </c>
    </row>
    <row r="96" spans="1:9">
      <c r="A96" t="s">
        <v>617</v>
      </c>
      <c r="B96" s="2">
        <v>14.9</v>
      </c>
      <c r="C96" t="s">
        <v>1884</v>
      </c>
      <c r="D96">
        <v>104</v>
      </c>
      <c r="E96" s="2">
        <v>13.3</v>
      </c>
      <c r="F96" s="2">
        <v>17</v>
      </c>
      <c r="G96" t="s">
        <v>25</v>
      </c>
      <c r="H96" s="1">
        <v>45108</v>
      </c>
      <c r="I96" s="1">
        <v>45473</v>
      </c>
    </row>
    <row r="97" spans="1:9">
      <c r="A97" t="s">
        <v>624</v>
      </c>
      <c r="B97" s="2">
        <v>15.7</v>
      </c>
      <c r="C97" t="s">
        <v>1884</v>
      </c>
      <c r="D97">
        <v>2201</v>
      </c>
      <c r="E97" s="2">
        <v>14.6</v>
      </c>
      <c r="F97" s="2">
        <v>16.8</v>
      </c>
      <c r="G97" t="s">
        <v>25</v>
      </c>
      <c r="H97" s="1">
        <v>45108</v>
      </c>
      <c r="I97" s="1">
        <v>45473</v>
      </c>
    </row>
    <row r="98" spans="1:9">
      <c r="A98" t="s">
        <v>631</v>
      </c>
      <c r="B98" s="2">
        <v>14.8</v>
      </c>
      <c r="C98" t="s">
        <v>1884</v>
      </c>
      <c r="D98">
        <v>221</v>
      </c>
      <c r="E98" s="2">
        <v>13.1</v>
      </c>
      <c r="F98" s="2">
        <v>16.8</v>
      </c>
      <c r="G98" t="s">
        <v>25</v>
      </c>
      <c r="H98" s="1">
        <v>45108</v>
      </c>
      <c r="I98" s="1">
        <v>45473</v>
      </c>
    </row>
    <row r="99" spans="1:9">
      <c r="A99" t="s">
        <v>637</v>
      </c>
      <c r="B99" s="2">
        <v>14.7</v>
      </c>
      <c r="C99" t="s">
        <v>1884</v>
      </c>
      <c r="D99">
        <v>74</v>
      </c>
      <c r="E99" s="2">
        <v>11.9</v>
      </c>
      <c r="F99" s="2">
        <v>18.2</v>
      </c>
      <c r="G99" t="s">
        <v>25</v>
      </c>
      <c r="H99" s="1">
        <v>45108</v>
      </c>
      <c r="I99" s="1">
        <v>45473</v>
      </c>
    </row>
    <row r="100" spans="1:9">
      <c r="A100" t="s">
        <v>642</v>
      </c>
      <c r="B100" s="2">
        <v>13.9</v>
      </c>
      <c r="C100" t="s">
        <v>1884</v>
      </c>
      <c r="D100">
        <v>1814</v>
      </c>
      <c r="E100" s="2">
        <v>13</v>
      </c>
      <c r="F100" s="2">
        <v>15</v>
      </c>
      <c r="G100" t="s">
        <v>25</v>
      </c>
      <c r="H100" s="1">
        <v>45108</v>
      </c>
      <c r="I100" s="1">
        <v>45473</v>
      </c>
    </row>
    <row r="101" spans="1:9">
      <c r="A101" t="s">
        <v>648</v>
      </c>
      <c r="B101" s="2">
        <v>15</v>
      </c>
      <c r="C101" t="s">
        <v>1884</v>
      </c>
      <c r="D101">
        <v>4955</v>
      </c>
      <c r="E101" s="2">
        <v>14.4</v>
      </c>
      <c r="F101" s="2">
        <v>16.2</v>
      </c>
      <c r="G101" t="s">
        <v>25</v>
      </c>
      <c r="H101" s="1">
        <v>45108</v>
      </c>
      <c r="I101" s="1">
        <v>45473</v>
      </c>
    </row>
    <row r="102" spans="1:9">
      <c r="A102" t="s">
        <v>652</v>
      </c>
      <c r="B102" s="2">
        <v>16.600000000000001</v>
      </c>
      <c r="C102" t="s">
        <v>1884</v>
      </c>
      <c r="D102">
        <v>443</v>
      </c>
      <c r="E102" s="2">
        <v>15</v>
      </c>
      <c r="F102" s="2">
        <v>18.399999999999999</v>
      </c>
      <c r="G102" t="s">
        <v>25</v>
      </c>
      <c r="H102" s="1">
        <v>45108</v>
      </c>
      <c r="I102" s="1">
        <v>45473</v>
      </c>
    </row>
    <row r="103" spans="1:9">
      <c r="A103" t="s">
        <v>659</v>
      </c>
      <c r="B103" s="2">
        <v>14.7</v>
      </c>
      <c r="C103" t="s">
        <v>1884</v>
      </c>
      <c r="D103">
        <v>85</v>
      </c>
      <c r="E103" s="2">
        <v>12.9</v>
      </c>
      <c r="F103" s="2">
        <v>16.8</v>
      </c>
      <c r="G103" t="s">
        <v>25</v>
      </c>
      <c r="H103" s="1">
        <v>45108</v>
      </c>
      <c r="I103" s="1">
        <v>45473</v>
      </c>
    </row>
    <row r="104" spans="1:9">
      <c r="A104" t="s">
        <v>666</v>
      </c>
      <c r="B104" s="2">
        <v>14.9</v>
      </c>
      <c r="C104" t="s">
        <v>1884</v>
      </c>
      <c r="D104">
        <v>31</v>
      </c>
      <c r="E104" s="2">
        <v>12.9</v>
      </c>
      <c r="F104" s="2">
        <v>17.2</v>
      </c>
      <c r="G104" t="s">
        <v>25</v>
      </c>
      <c r="H104" s="1">
        <v>45108</v>
      </c>
      <c r="I104" s="1">
        <v>45473</v>
      </c>
    </row>
    <row r="105" spans="1:9">
      <c r="A105" t="s">
        <v>672</v>
      </c>
      <c r="B105" s="2">
        <v>13.8</v>
      </c>
      <c r="C105" t="s">
        <v>1885</v>
      </c>
      <c r="D105">
        <v>4414</v>
      </c>
      <c r="E105" s="2">
        <v>12.9</v>
      </c>
      <c r="F105" s="2">
        <v>14.6</v>
      </c>
      <c r="G105" t="s">
        <v>25</v>
      </c>
      <c r="H105" s="1">
        <v>45108</v>
      </c>
      <c r="I105" s="1">
        <v>45473</v>
      </c>
    </row>
    <row r="106" spans="1:9">
      <c r="A106" t="s">
        <v>677</v>
      </c>
      <c r="B106" s="2">
        <v>14.2</v>
      </c>
      <c r="C106" t="s">
        <v>1884</v>
      </c>
      <c r="D106">
        <v>222</v>
      </c>
      <c r="E106" s="2">
        <v>12.5</v>
      </c>
      <c r="F106" s="2">
        <v>16.100000000000001</v>
      </c>
      <c r="G106" t="s">
        <v>25</v>
      </c>
      <c r="H106" s="1">
        <v>45108</v>
      </c>
      <c r="I106" s="1">
        <v>45473</v>
      </c>
    </row>
    <row r="107" spans="1:9">
      <c r="A107" t="s">
        <v>684</v>
      </c>
      <c r="B107" s="2">
        <v>14.6</v>
      </c>
      <c r="C107" t="s">
        <v>1884</v>
      </c>
      <c r="D107">
        <v>245</v>
      </c>
      <c r="E107" s="2">
        <v>12.9</v>
      </c>
      <c r="F107" s="2">
        <v>16.5</v>
      </c>
      <c r="G107" t="s">
        <v>25</v>
      </c>
      <c r="H107" s="1">
        <v>45108</v>
      </c>
      <c r="I107" s="1">
        <v>45473</v>
      </c>
    </row>
    <row r="108" spans="1:9">
      <c r="A108" t="s">
        <v>690</v>
      </c>
      <c r="B108" s="2">
        <v>14.3</v>
      </c>
      <c r="C108" t="s">
        <v>1884</v>
      </c>
      <c r="D108">
        <v>145</v>
      </c>
      <c r="E108" s="2">
        <v>12.6</v>
      </c>
      <c r="F108" s="2">
        <v>16.3</v>
      </c>
      <c r="G108" t="s">
        <v>25</v>
      </c>
      <c r="H108" s="1">
        <v>45108</v>
      </c>
      <c r="I108" s="1">
        <v>45473</v>
      </c>
    </row>
    <row r="109" spans="1:9">
      <c r="A109" t="s">
        <v>696</v>
      </c>
      <c r="B109" s="2">
        <v>16.399999999999999</v>
      </c>
      <c r="C109" t="s">
        <v>1886</v>
      </c>
      <c r="D109">
        <v>1267</v>
      </c>
      <c r="E109" s="2">
        <v>15.2</v>
      </c>
      <c r="F109" s="2">
        <v>17.8</v>
      </c>
      <c r="G109" t="s">
        <v>25</v>
      </c>
      <c r="H109" s="1">
        <v>45108</v>
      </c>
      <c r="I109" s="1">
        <v>45473</v>
      </c>
    </row>
    <row r="110" spans="1:9">
      <c r="A110" t="s">
        <v>701</v>
      </c>
      <c r="B110" s="2">
        <v>14.6</v>
      </c>
      <c r="C110" t="s">
        <v>1884</v>
      </c>
      <c r="D110">
        <v>45</v>
      </c>
      <c r="E110" s="2">
        <v>12.6</v>
      </c>
      <c r="F110" s="2">
        <v>17.100000000000001</v>
      </c>
      <c r="G110" t="s">
        <v>25</v>
      </c>
      <c r="H110" s="1">
        <v>45108</v>
      </c>
      <c r="I110" s="1">
        <v>45473</v>
      </c>
    </row>
    <row r="111" spans="1:9">
      <c r="A111" t="s">
        <v>708</v>
      </c>
      <c r="B111" s="2">
        <v>15.4</v>
      </c>
      <c r="C111" t="s">
        <v>1884</v>
      </c>
      <c r="D111">
        <v>369</v>
      </c>
      <c r="E111" s="2">
        <v>14</v>
      </c>
      <c r="F111" s="2">
        <v>17.3</v>
      </c>
      <c r="G111" t="s">
        <v>25</v>
      </c>
      <c r="H111" s="1">
        <v>45108</v>
      </c>
      <c r="I111" s="1">
        <v>45473</v>
      </c>
    </row>
    <row r="112" spans="1:9">
      <c r="A112" t="s">
        <v>714</v>
      </c>
      <c r="B112" s="2">
        <v>15.2</v>
      </c>
      <c r="C112" t="s">
        <v>1884</v>
      </c>
      <c r="D112">
        <v>467</v>
      </c>
      <c r="E112" s="2">
        <v>13.7</v>
      </c>
      <c r="F112" s="2">
        <v>16.8</v>
      </c>
      <c r="G112" t="s">
        <v>25</v>
      </c>
      <c r="H112" s="1">
        <v>45108</v>
      </c>
      <c r="I112" s="1">
        <v>45473</v>
      </c>
    </row>
    <row r="113" spans="1:9">
      <c r="A113" t="s">
        <v>720</v>
      </c>
      <c r="B113" s="2">
        <v>15.3</v>
      </c>
      <c r="C113" t="s">
        <v>1884</v>
      </c>
      <c r="D113">
        <v>2094</v>
      </c>
      <c r="E113" s="2">
        <v>14.3</v>
      </c>
      <c r="F113" s="2">
        <v>16.5</v>
      </c>
      <c r="G113" t="s">
        <v>25</v>
      </c>
      <c r="H113" s="1">
        <v>45108</v>
      </c>
      <c r="I113" s="1">
        <v>45473</v>
      </c>
    </row>
    <row r="114" spans="1:9">
      <c r="A114" t="s">
        <v>726</v>
      </c>
      <c r="B114" s="2">
        <v>14.4</v>
      </c>
      <c r="C114" t="s">
        <v>1884</v>
      </c>
      <c r="D114">
        <v>144</v>
      </c>
      <c r="E114" s="2">
        <v>12.8</v>
      </c>
      <c r="F114" s="2">
        <v>16.2</v>
      </c>
      <c r="G114" t="s">
        <v>25</v>
      </c>
      <c r="H114" s="1">
        <v>45108</v>
      </c>
      <c r="I114" s="1">
        <v>45473</v>
      </c>
    </row>
    <row r="115" spans="1:9">
      <c r="A115" t="s">
        <v>733</v>
      </c>
      <c r="B115" s="2">
        <v>15</v>
      </c>
      <c r="C115" t="s">
        <v>1884</v>
      </c>
      <c r="D115">
        <v>3424</v>
      </c>
      <c r="E115" s="2">
        <v>14.1</v>
      </c>
      <c r="F115" s="2">
        <v>15.9</v>
      </c>
      <c r="G115" t="s">
        <v>25</v>
      </c>
      <c r="H115" s="1">
        <v>45108</v>
      </c>
      <c r="I115" s="1">
        <v>45473</v>
      </c>
    </row>
    <row r="116" spans="1:9">
      <c r="A116" t="s">
        <v>739</v>
      </c>
      <c r="B116" s="2">
        <v>15.1</v>
      </c>
      <c r="C116" t="s">
        <v>1884</v>
      </c>
      <c r="D116">
        <v>215</v>
      </c>
      <c r="E116" s="2">
        <v>13.3</v>
      </c>
      <c r="F116" s="2">
        <v>16.899999999999999</v>
      </c>
      <c r="G116" t="s">
        <v>25</v>
      </c>
      <c r="H116" s="1">
        <v>45108</v>
      </c>
      <c r="I116" s="1">
        <v>45473</v>
      </c>
    </row>
    <row r="117" spans="1:9">
      <c r="A117" t="s">
        <v>746</v>
      </c>
      <c r="B117" s="2">
        <v>14.5</v>
      </c>
      <c r="C117" t="s">
        <v>1884</v>
      </c>
      <c r="D117">
        <v>3118</v>
      </c>
      <c r="E117" s="2">
        <v>13.6</v>
      </c>
      <c r="F117" s="2">
        <v>15.6</v>
      </c>
      <c r="G117" t="s">
        <v>25</v>
      </c>
      <c r="H117" s="1">
        <v>45108</v>
      </c>
      <c r="I117" s="1">
        <v>45473</v>
      </c>
    </row>
    <row r="118" spans="1:9">
      <c r="A118" t="s">
        <v>753</v>
      </c>
      <c r="B118" s="2">
        <v>15</v>
      </c>
      <c r="C118" t="s">
        <v>1884</v>
      </c>
      <c r="D118">
        <v>133</v>
      </c>
      <c r="E118" s="2">
        <v>13.1</v>
      </c>
      <c r="F118" s="2">
        <v>17.3</v>
      </c>
      <c r="G118" t="s">
        <v>25</v>
      </c>
      <c r="H118" s="1">
        <v>45108</v>
      </c>
      <c r="I118" s="1">
        <v>45473</v>
      </c>
    </row>
    <row r="119" spans="1:9">
      <c r="A119" t="s">
        <v>759</v>
      </c>
      <c r="B119" s="2">
        <v>14.8</v>
      </c>
      <c r="C119" t="s">
        <v>1884</v>
      </c>
      <c r="D119">
        <v>172</v>
      </c>
      <c r="E119" s="2">
        <v>13</v>
      </c>
      <c r="F119" s="2">
        <v>16.8</v>
      </c>
      <c r="G119" t="s">
        <v>25</v>
      </c>
      <c r="H119" s="1">
        <v>45108</v>
      </c>
      <c r="I119" s="1">
        <v>45473</v>
      </c>
    </row>
    <row r="120" spans="1:9">
      <c r="A120" t="s">
        <v>766</v>
      </c>
      <c r="B120" s="2">
        <v>15.4</v>
      </c>
      <c r="C120" t="s">
        <v>1884</v>
      </c>
      <c r="D120">
        <v>907</v>
      </c>
      <c r="E120" s="2">
        <v>14.1</v>
      </c>
      <c r="F120" s="2">
        <v>17</v>
      </c>
      <c r="G120" t="s">
        <v>25</v>
      </c>
      <c r="H120" s="1">
        <v>45108</v>
      </c>
      <c r="I120" s="1">
        <v>45473</v>
      </c>
    </row>
    <row r="121" spans="1:9">
      <c r="A121" t="s">
        <v>773</v>
      </c>
      <c r="B121" s="2">
        <v>14.8</v>
      </c>
      <c r="C121" t="s">
        <v>1884</v>
      </c>
      <c r="D121">
        <v>578</v>
      </c>
      <c r="E121" s="2">
        <v>13.4</v>
      </c>
      <c r="F121" s="2">
        <v>16.3</v>
      </c>
      <c r="G121" t="s">
        <v>25</v>
      </c>
      <c r="H121" s="1">
        <v>45108</v>
      </c>
      <c r="I121" s="1">
        <v>45473</v>
      </c>
    </row>
    <row r="122" spans="1:9">
      <c r="A122" t="s">
        <v>780</v>
      </c>
      <c r="B122" s="2">
        <v>14.6</v>
      </c>
      <c r="C122" t="s">
        <v>1884</v>
      </c>
      <c r="D122">
        <v>106</v>
      </c>
      <c r="E122" s="2">
        <v>12.7</v>
      </c>
      <c r="F122" s="2">
        <v>16.8</v>
      </c>
      <c r="G122" t="s">
        <v>25</v>
      </c>
      <c r="H122" s="1">
        <v>45108</v>
      </c>
      <c r="I122" s="1">
        <v>45473</v>
      </c>
    </row>
    <row r="123" spans="1:9">
      <c r="A123" t="s">
        <v>787</v>
      </c>
      <c r="B123" s="2">
        <v>14.4</v>
      </c>
      <c r="C123" t="s">
        <v>1884</v>
      </c>
      <c r="D123">
        <v>673</v>
      </c>
      <c r="E123" s="2">
        <v>12.9</v>
      </c>
      <c r="F123" s="2">
        <v>15.9</v>
      </c>
      <c r="G123" t="s">
        <v>25</v>
      </c>
      <c r="H123" s="1">
        <v>45108</v>
      </c>
      <c r="I123" s="1">
        <v>45473</v>
      </c>
    </row>
    <row r="124" spans="1:9">
      <c r="A124" t="s">
        <v>794</v>
      </c>
      <c r="B124" s="2">
        <v>14.5</v>
      </c>
      <c r="C124" t="s">
        <v>1884</v>
      </c>
      <c r="D124">
        <v>2495</v>
      </c>
      <c r="E124" s="2">
        <v>13.6</v>
      </c>
      <c r="F124" s="2">
        <v>15.6</v>
      </c>
      <c r="G124" t="s">
        <v>25</v>
      </c>
      <c r="H124" s="1">
        <v>45108</v>
      </c>
      <c r="I124" s="1">
        <v>45473</v>
      </c>
    </row>
    <row r="125" spans="1:9">
      <c r="A125" t="s">
        <v>799</v>
      </c>
      <c r="B125" s="2">
        <v>16.2</v>
      </c>
      <c r="C125" t="s">
        <v>1886</v>
      </c>
      <c r="D125">
        <v>3267</v>
      </c>
      <c r="E125" s="2">
        <v>15.3</v>
      </c>
      <c r="F125" s="2">
        <v>17.2</v>
      </c>
      <c r="G125" t="s">
        <v>25</v>
      </c>
      <c r="H125" s="1">
        <v>45108</v>
      </c>
      <c r="I125" s="1">
        <v>45473</v>
      </c>
    </row>
    <row r="126" spans="1:9">
      <c r="A126" t="s">
        <v>805</v>
      </c>
      <c r="B126" s="2">
        <v>15.5</v>
      </c>
      <c r="C126" t="s">
        <v>1884</v>
      </c>
      <c r="D126">
        <v>2323</v>
      </c>
      <c r="E126" s="2">
        <v>14.4</v>
      </c>
      <c r="F126" s="2">
        <v>16.5</v>
      </c>
      <c r="G126" t="s">
        <v>25</v>
      </c>
      <c r="H126" s="1">
        <v>45108</v>
      </c>
      <c r="I126" s="1">
        <v>45473</v>
      </c>
    </row>
    <row r="127" spans="1:9">
      <c r="A127" t="s">
        <v>811</v>
      </c>
      <c r="B127" s="2">
        <v>15.6</v>
      </c>
      <c r="C127" t="s">
        <v>1884</v>
      </c>
      <c r="D127">
        <v>757</v>
      </c>
      <c r="E127" s="2">
        <v>14.2</v>
      </c>
      <c r="F127" s="2">
        <v>17.100000000000001</v>
      </c>
      <c r="G127" t="s">
        <v>25</v>
      </c>
      <c r="H127" s="1">
        <v>45108</v>
      </c>
      <c r="I127" s="1">
        <v>45473</v>
      </c>
    </row>
    <row r="128" spans="1:9">
      <c r="A128" t="s">
        <v>816</v>
      </c>
      <c r="B128" s="2">
        <v>15.2</v>
      </c>
      <c r="C128" t="s">
        <v>1884</v>
      </c>
      <c r="D128">
        <v>1881</v>
      </c>
      <c r="E128" s="2">
        <v>14.2</v>
      </c>
      <c r="F128" s="2">
        <v>16.3</v>
      </c>
      <c r="G128" t="s">
        <v>25</v>
      </c>
      <c r="H128" s="1">
        <v>45108</v>
      </c>
      <c r="I128" s="1">
        <v>45473</v>
      </c>
    </row>
    <row r="129" spans="1:9">
      <c r="A129" t="s">
        <v>822</v>
      </c>
      <c r="B129" s="2">
        <v>15.9</v>
      </c>
      <c r="C129" t="s">
        <v>1884</v>
      </c>
      <c r="D129">
        <v>130</v>
      </c>
      <c r="E129" s="2">
        <v>13.6</v>
      </c>
      <c r="F129" s="2">
        <v>18.5</v>
      </c>
      <c r="G129" t="s">
        <v>25</v>
      </c>
      <c r="H129" s="1">
        <v>45108</v>
      </c>
      <c r="I129" s="1">
        <v>45473</v>
      </c>
    </row>
    <row r="130" spans="1:9">
      <c r="A130" t="s">
        <v>829</v>
      </c>
      <c r="B130" s="2">
        <v>15.9</v>
      </c>
      <c r="C130" t="s">
        <v>1884</v>
      </c>
      <c r="D130">
        <v>642</v>
      </c>
      <c r="E130" s="2">
        <v>14.4</v>
      </c>
      <c r="F130" s="2">
        <v>17.5</v>
      </c>
      <c r="G130" t="s">
        <v>25</v>
      </c>
      <c r="H130" s="1">
        <v>45108</v>
      </c>
      <c r="I130" s="1">
        <v>45473</v>
      </c>
    </row>
    <row r="131" spans="1:9">
      <c r="A131" t="s">
        <v>834</v>
      </c>
      <c r="B131" s="2">
        <v>15.6</v>
      </c>
      <c r="C131" t="s">
        <v>1884</v>
      </c>
      <c r="D131">
        <v>603</v>
      </c>
      <c r="E131" s="2">
        <v>14.2</v>
      </c>
      <c r="F131" s="2">
        <v>17.100000000000001</v>
      </c>
      <c r="G131" t="s">
        <v>25</v>
      </c>
      <c r="H131" s="1">
        <v>45108</v>
      </c>
      <c r="I131" s="1">
        <v>45473</v>
      </c>
    </row>
    <row r="132" spans="1:9">
      <c r="A132" t="s">
        <v>839</v>
      </c>
      <c r="B132" s="2">
        <v>15.5</v>
      </c>
      <c r="C132" t="s">
        <v>1884</v>
      </c>
      <c r="D132">
        <v>3046</v>
      </c>
      <c r="E132" s="2">
        <v>14.5</v>
      </c>
      <c r="F132" s="2">
        <v>16.5</v>
      </c>
      <c r="G132" t="s">
        <v>25</v>
      </c>
      <c r="H132" s="1">
        <v>45108</v>
      </c>
      <c r="I132" s="1">
        <v>45473</v>
      </c>
    </row>
    <row r="133" spans="1:9">
      <c r="A133" t="s">
        <v>844</v>
      </c>
      <c r="B133" s="2">
        <v>16.5</v>
      </c>
      <c r="C133" t="s">
        <v>1886</v>
      </c>
      <c r="D133">
        <v>4783</v>
      </c>
      <c r="E133" s="2">
        <v>15.6</v>
      </c>
      <c r="F133" s="2">
        <v>17.5</v>
      </c>
      <c r="G133" t="s">
        <v>25</v>
      </c>
      <c r="H133" s="1">
        <v>45108</v>
      </c>
      <c r="I133" s="1">
        <v>45473</v>
      </c>
    </row>
    <row r="134" spans="1:9">
      <c r="A134" t="s">
        <v>850</v>
      </c>
      <c r="B134" s="2">
        <v>15.1</v>
      </c>
      <c r="C134" t="s">
        <v>1884</v>
      </c>
      <c r="D134">
        <v>96</v>
      </c>
      <c r="E134" s="2">
        <v>13.2</v>
      </c>
      <c r="F134" s="2">
        <v>17.3</v>
      </c>
      <c r="G134" t="s">
        <v>25</v>
      </c>
      <c r="H134" s="1">
        <v>45108</v>
      </c>
      <c r="I134" s="1">
        <v>45473</v>
      </c>
    </row>
    <row r="135" spans="1:9">
      <c r="A135" t="s">
        <v>857</v>
      </c>
      <c r="B135" s="2">
        <v>15.1</v>
      </c>
      <c r="C135" t="s">
        <v>1884</v>
      </c>
      <c r="D135">
        <v>108</v>
      </c>
      <c r="E135" s="2">
        <v>13.2</v>
      </c>
      <c r="F135" s="2">
        <v>17.399999999999999</v>
      </c>
      <c r="G135" t="s">
        <v>25</v>
      </c>
      <c r="H135" s="1">
        <v>45108</v>
      </c>
      <c r="I135" s="1">
        <v>45473</v>
      </c>
    </row>
    <row r="136" spans="1:9">
      <c r="A136" t="s">
        <v>864</v>
      </c>
      <c r="B136" s="2">
        <v>15.9</v>
      </c>
      <c r="C136" t="s">
        <v>1884</v>
      </c>
      <c r="D136">
        <v>980</v>
      </c>
      <c r="E136" s="2">
        <v>14.6</v>
      </c>
      <c r="F136" s="2">
        <v>17.3</v>
      </c>
      <c r="G136" t="s">
        <v>25</v>
      </c>
      <c r="H136" s="1">
        <v>45108</v>
      </c>
      <c r="I136" s="1">
        <v>45473</v>
      </c>
    </row>
    <row r="137" spans="1:9">
      <c r="A137" t="s">
        <v>869</v>
      </c>
      <c r="B137" s="2">
        <v>14.3</v>
      </c>
      <c r="C137" t="s">
        <v>1884</v>
      </c>
      <c r="D137">
        <v>74</v>
      </c>
      <c r="E137" s="2">
        <v>12.6</v>
      </c>
      <c r="F137" s="2">
        <v>16.7</v>
      </c>
      <c r="G137" t="s">
        <v>25</v>
      </c>
      <c r="H137" s="1">
        <v>45108</v>
      </c>
      <c r="I137" s="1">
        <v>45473</v>
      </c>
    </row>
    <row r="138" spans="1:9">
      <c r="A138" t="s">
        <v>876</v>
      </c>
      <c r="B138" s="2">
        <v>14.9</v>
      </c>
      <c r="C138" t="s">
        <v>1884</v>
      </c>
      <c r="D138">
        <v>569</v>
      </c>
      <c r="E138" s="2">
        <v>13.5</v>
      </c>
      <c r="F138" s="2">
        <v>16.5</v>
      </c>
      <c r="G138" t="s">
        <v>25</v>
      </c>
      <c r="H138" s="1">
        <v>45108</v>
      </c>
      <c r="I138" s="1">
        <v>45473</v>
      </c>
    </row>
    <row r="139" spans="1:9">
      <c r="A139" t="s">
        <v>881</v>
      </c>
      <c r="B139" s="2">
        <v>14.3</v>
      </c>
      <c r="C139" t="s">
        <v>1884</v>
      </c>
      <c r="D139">
        <v>326</v>
      </c>
      <c r="E139" s="2">
        <v>12.9</v>
      </c>
      <c r="F139" s="2">
        <v>16</v>
      </c>
      <c r="G139" t="s">
        <v>25</v>
      </c>
      <c r="H139" s="1">
        <v>45108</v>
      </c>
      <c r="I139" s="1">
        <v>45473</v>
      </c>
    </row>
    <row r="140" spans="1:9">
      <c r="A140" t="s">
        <v>885</v>
      </c>
      <c r="B140" s="2">
        <v>15</v>
      </c>
      <c r="C140" t="s">
        <v>1884</v>
      </c>
      <c r="D140">
        <v>790</v>
      </c>
      <c r="E140" s="2">
        <v>13.7</v>
      </c>
      <c r="F140" s="2">
        <v>16.5</v>
      </c>
      <c r="G140" t="s">
        <v>25</v>
      </c>
      <c r="H140" s="1">
        <v>45108</v>
      </c>
      <c r="I140" s="1">
        <v>45473</v>
      </c>
    </row>
    <row r="141" spans="1:9">
      <c r="A141" t="s">
        <v>890</v>
      </c>
      <c r="B141" s="2">
        <v>14.7</v>
      </c>
      <c r="C141" t="s">
        <v>1884</v>
      </c>
      <c r="D141">
        <v>1063</v>
      </c>
      <c r="E141" s="2">
        <v>13.5</v>
      </c>
      <c r="F141" s="2">
        <v>16.100000000000001</v>
      </c>
      <c r="G141" t="s">
        <v>25</v>
      </c>
      <c r="H141" s="1">
        <v>45108</v>
      </c>
      <c r="I141" s="1">
        <v>45473</v>
      </c>
    </row>
    <row r="142" spans="1:9">
      <c r="A142" t="s">
        <v>894</v>
      </c>
      <c r="B142" s="2">
        <v>15.4</v>
      </c>
      <c r="C142" t="s">
        <v>1884</v>
      </c>
      <c r="D142">
        <v>942</v>
      </c>
      <c r="E142" s="2">
        <v>14</v>
      </c>
      <c r="F142" s="2">
        <v>16.8</v>
      </c>
      <c r="G142" t="s">
        <v>25</v>
      </c>
      <c r="H142" s="1">
        <v>45108</v>
      </c>
      <c r="I142" s="1">
        <v>45473</v>
      </c>
    </row>
    <row r="143" spans="1:9">
      <c r="A143" t="s">
        <v>900</v>
      </c>
      <c r="B143" s="2">
        <v>15.6</v>
      </c>
      <c r="C143" t="s">
        <v>1884</v>
      </c>
      <c r="D143">
        <v>1136</v>
      </c>
      <c r="E143" s="2">
        <v>14.4</v>
      </c>
      <c r="F143" s="2">
        <v>17</v>
      </c>
      <c r="G143" t="s">
        <v>25</v>
      </c>
      <c r="H143" s="1">
        <v>45108</v>
      </c>
      <c r="I143" s="1">
        <v>45473</v>
      </c>
    </row>
    <row r="144" spans="1:9">
      <c r="A144" t="s">
        <v>906</v>
      </c>
      <c r="B144" s="2">
        <v>16.899999999999999</v>
      </c>
      <c r="C144" t="s">
        <v>1886</v>
      </c>
      <c r="D144">
        <v>2062</v>
      </c>
      <c r="E144" s="2">
        <v>15.8</v>
      </c>
      <c r="F144" s="2">
        <v>18.100000000000001</v>
      </c>
      <c r="G144" t="s">
        <v>25</v>
      </c>
      <c r="H144" s="1">
        <v>45108</v>
      </c>
      <c r="I144" s="1">
        <v>45473</v>
      </c>
    </row>
    <row r="145" spans="1:9">
      <c r="A145" t="s">
        <v>910</v>
      </c>
      <c r="B145" s="2">
        <v>14.7</v>
      </c>
      <c r="C145" t="s">
        <v>1884</v>
      </c>
      <c r="D145">
        <v>35</v>
      </c>
      <c r="E145" s="2">
        <v>11.9</v>
      </c>
      <c r="F145" s="2">
        <v>18.3</v>
      </c>
      <c r="G145" t="s">
        <v>25</v>
      </c>
      <c r="H145" s="1">
        <v>45108</v>
      </c>
      <c r="I145" s="1">
        <v>45473</v>
      </c>
    </row>
    <row r="146" spans="1:9">
      <c r="A146" t="s">
        <v>915</v>
      </c>
      <c r="B146" s="2">
        <v>16.2</v>
      </c>
      <c r="C146" t="s">
        <v>1886</v>
      </c>
      <c r="D146">
        <v>1651</v>
      </c>
      <c r="E146" s="2">
        <v>15.1</v>
      </c>
      <c r="F146" s="2">
        <v>17.399999999999999</v>
      </c>
      <c r="G146" t="s">
        <v>25</v>
      </c>
      <c r="H146" s="1">
        <v>45108</v>
      </c>
      <c r="I146" s="1">
        <v>45473</v>
      </c>
    </row>
    <row r="147" spans="1:9">
      <c r="A147" t="s">
        <v>920</v>
      </c>
      <c r="B147" s="2">
        <v>14.2</v>
      </c>
      <c r="C147" t="s">
        <v>1884</v>
      </c>
      <c r="D147">
        <v>1579</v>
      </c>
      <c r="E147" s="2">
        <v>13.1</v>
      </c>
      <c r="F147" s="2">
        <v>15.3</v>
      </c>
      <c r="G147" t="s">
        <v>25</v>
      </c>
      <c r="H147" s="1">
        <v>45108</v>
      </c>
      <c r="I147" s="1">
        <v>45473</v>
      </c>
    </row>
    <row r="148" spans="1:9">
      <c r="A148" t="s">
        <v>925</v>
      </c>
      <c r="B148" s="2">
        <v>16.399999999999999</v>
      </c>
      <c r="C148" t="s">
        <v>1884</v>
      </c>
      <c r="D148">
        <v>257</v>
      </c>
      <c r="E148" s="2">
        <v>14.7</v>
      </c>
      <c r="F148" s="2">
        <v>18.2</v>
      </c>
      <c r="G148" t="s">
        <v>25</v>
      </c>
      <c r="H148" s="1">
        <v>45108</v>
      </c>
      <c r="I148" s="1">
        <v>45473</v>
      </c>
    </row>
    <row r="149" spans="1:9">
      <c r="A149" t="s">
        <v>930</v>
      </c>
      <c r="B149" s="2">
        <v>15</v>
      </c>
      <c r="C149" t="s">
        <v>1884</v>
      </c>
      <c r="D149">
        <v>1441</v>
      </c>
      <c r="E149" s="2">
        <v>13.9</v>
      </c>
      <c r="F149" s="2">
        <v>16.2</v>
      </c>
      <c r="G149" t="s">
        <v>25</v>
      </c>
      <c r="H149" s="1">
        <v>45108</v>
      </c>
      <c r="I149" s="1">
        <v>45473</v>
      </c>
    </row>
    <row r="150" spans="1:9">
      <c r="A150" t="s">
        <v>936</v>
      </c>
      <c r="B150" s="2">
        <v>14.6</v>
      </c>
      <c r="C150" t="s">
        <v>1884</v>
      </c>
      <c r="D150">
        <v>2264</v>
      </c>
      <c r="E150" s="2">
        <v>13.5</v>
      </c>
      <c r="F150" s="2">
        <v>15.7</v>
      </c>
      <c r="G150" t="s">
        <v>25</v>
      </c>
      <c r="H150" s="1">
        <v>45108</v>
      </c>
      <c r="I150" s="1">
        <v>45473</v>
      </c>
    </row>
    <row r="151" spans="1:9">
      <c r="A151" t="s">
        <v>941</v>
      </c>
      <c r="B151" s="2">
        <v>14.8</v>
      </c>
      <c r="C151" t="s">
        <v>1884</v>
      </c>
      <c r="D151">
        <v>552</v>
      </c>
      <c r="E151" s="2">
        <v>13.4</v>
      </c>
      <c r="F151" s="2">
        <v>16.399999999999999</v>
      </c>
      <c r="G151" t="s">
        <v>25</v>
      </c>
      <c r="H151" s="1">
        <v>45108</v>
      </c>
      <c r="I151" s="1">
        <v>45473</v>
      </c>
    </row>
    <row r="152" spans="1:9">
      <c r="A152" t="s">
        <v>947</v>
      </c>
      <c r="B152" s="2">
        <v>14.5</v>
      </c>
      <c r="C152" t="s">
        <v>1884</v>
      </c>
      <c r="D152">
        <v>120</v>
      </c>
      <c r="E152" s="2">
        <v>12.8</v>
      </c>
      <c r="F152" s="2">
        <v>16.5</v>
      </c>
      <c r="G152" t="s">
        <v>25</v>
      </c>
      <c r="H152" s="1">
        <v>45108</v>
      </c>
      <c r="I152" s="1">
        <v>45473</v>
      </c>
    </row>
    <row r="153" spans="1:9">
      <c r="A153" t="s">
        <v>952</v>
      </c>
      <c r="B153" s="2">
        <v>14.7</v>
      </c>
      <c r="C153" t="s">
        <v>1884</v>
      </c>
      <c r="D153">
        <v>198</v>
      </c>
      <c r="E153" s="2">
        <v>12.9</v>
      </c>
      <c r="F153" s="2">
        <v>16.600000000000001</v>
      </c>
      <c r="G153" t="s">
        <v>25</v>
      </c>
      <c r="H153" s="1">
        <v>45108</v>
      </c>
      <c r="I153" s="1">
        <v>45473</v>
      </c>
    </row>
    <row r="154" spans="1:9">
      <c r="A154" t="s">
        <v>959</v>
      </c>
      <c r="G154" t="s">
        <v>322</v>
      </c>
      <c r="H154" s="1">
        <v>45108</v>
      </c>
      <c r="I154" s="1">
        <v>45473</v>
      </c>
    </row>
    <row r="155" spans="1:9">
      <c r="A155" t="s">
        <v>966</v>
      </c>
      <c r="B155" s="2">
        <v>15.9</v>
      </c>
      <c r="C155" t="s">
        <v>1884</v>
      </c>
      <c r="D155">
        <v>2117</v>
      </c>
      <c r="E155" s="2">
        <v>14.7</v>
      </c>
      <c r="F155" s="2">
        <v>17</v>
      </c>
      <c r="G155" t="s">
        <v>25</v>
      </c>
      <c r="H155" s="1">
        <v>45108</v>
      </c>
      <c r="I155" s="1">
        <v>45473</v>
      </c>
    </row>
    <row r="156" spans="1:9">
      <c r="A156" t="s">
        <v>971</v>
      </c>
      <c r="B156" s="2">
        <v>15.2</v>
      </c>
      <c r="C156" t="s">
        <v>1884</v>
      </c>
      <c r="D156">
        <v>1494</v>
      </c>
      <c r="E156" s="2">
        <v>14</v>
      </c>
      <c r="F156" s="2">
        <v>16.5</v>
      </c>
      <c r="G156" t="s">
        <v>25</v>
      </c>
      <c r="H156" s="1">
        <v>45108</v>
      </c>
      <c r="I156" s="1">
        <v>45473</v>
      </c>
    </row>
    <row r="157" spans="1:9">
      <c r="A157" t="s">
        <v>977</v>
      </c>
      <c r="B157" s="2">
        <v>14.2</v>
      </c>
      <c r="C157" t="s">
        <v>1884</v>
      </c>
      <c r="D157">
        <v>736</v>
      </c>
      <c r="E157" s="2">
        <v>12.9</v>
      </c>
      <c r="F157" s="2">
        <v>15.6</v>
      </c>
      <c r="G157" t="s">
        <v>25</v>
      </c>
      <c r="H157" s="1">
        <v>45108</v>
      </c>
      <c r="I157" s="1">
        <v>45473</v>
      </c>
    </row>
    <row r="158" spans="1:9">
      <c r="A158" t="s">
        <v>983</v>
      </c>
      <c r="B158" s="2">
        <v>15.2</v>
      </c>
      <c r="C158" t="s">
        <v>1884</v>
      </c>
      <c r="D158">
        <v>3491</v>
      </c>
      <c r="E158" s="2">
        <v>14.5</v>
      </c>
      <c r="F158" s="2">
        <v>16.5</v>
      </c>
      <c r="G158" t="s">
        <v>25</v>
      </c>
      <c r="H158" s="1">
        <v>45108</v>
      </c>
      <c r="I158" s="1">
        <v>45473</v>
      </c>
    </row>
    <row r="159" spans="1:9">
      <c r="A159" t="s">
        <v>988</v>
      </c>
      <c r="B159" s="2">
        <v>15</v>
      </c>
      <c r="C159" t="s">
        <v>1884</v>
      </c>
      <c r="D159">
        <v>2565</v>
      </c>
      <c r="E159" s="2">
        <v>14.2</v>
      </c>
      <c r="F159" s="2">
        <v>16.2</v>
      </c>
      <c r="G159" t="s">
        <v>25</v>
      </c>
      <c r="H159" s="1">
        <v>45108</v>
      </c>
      <c r="I159" s="1">
        <v>45473</v>
      </c>
    </row>
    <row r="160" spans="1:9">
      <c r="A160" t="s">
        <v>995</v>
      </c>
      <c r="B160" s="2">
        <v>15.5</v>
      </c>
      <c r="C160" t="s">
        <v>1884</v>
      </c>
      <c r="D160">
        <v>1249</v>
      </c>
      <c r="E160" s="2">
        <v>14.4</v>
      </c>
      <c r="F160" s="2">
        <v>16.8</v>
      </c>
      <c r="G160" t="s">
        <v>25</v>
      </c>
      <c r="H160" s="1">
        <v>45108</v>
      </c>
      <c r="I160" s="1">
        <v>45473</v>
      </c>
    </row>
    <row r="161" spans="1:9">
      <c r="A161" t="s">
        <v>1000</v>
      </c>
      <c r="B161" s="2">
        <v>16.5</v>
      </c>
      <c r="C161" t="s">
        <v>1884</v>
      </c>
      <c r="D161">
        <v>477</v>
      </c>
      <c r="E161" s="2">
        <v>14.9</v>
      </c>
      <c r="F161" s="2">
        <v>18.3</v>
      </c>
      <c r="G161" t="s">
        <v>25</v>
      </c>
      <c r="H161" s="1">
        <v>45108</v>
      </c>
      <c r="I161" s="1">
        <v>45473</v>
      </c>
    </row>
    <row r="162" spans="1:9">
      <c r="A162" t="s">
        <v>1006</v>
      </c>
      <c r="B162" s="2">
        <v>15.6</v>
      </c>
      <c r="C162" t="s">
        <v>1884</v>
      </c>
      <c r="D162">
        <v>1650</v>
      </c>
      <c r="E162" s="2">
        <v>14.4</v>
      </c>
      <c r="F162" s="2">
        <v>16.8</v>
      </c>
      <c r="G162" t="s">
        <v>25</v>
      </c>
      <c r="H162" s="1">
        <v>45108</v>
      </c>
      <c r="I162" s="1">
        <v>45473</v>
      </c>
    </row>
    <row r="163" spans="1:9">
      <c r="A163" t="s">
        <v>1012</v>
      </c>
      <c r="B163" s="2">
        <v>14.5</v>
      </c>
      <c r="C163" t="s">
        <v>1884</v>
      </c>
      <c r="D163">
        <v>2022</v>
      </c>
      <c r="E163" s="2">
        <v>13.5</v>
      </c>
      <c r="F163" s="2">
        <v>15.6</v>
      </c>
      <c r="G163" t="s">
        <v>25</v>
      </c>
      <c r="H163" s="1">
        <v>45108</v>
      </c>
      <c r="I163" s="1">
        <v>45473</v>
      </c>
    </row>
    <row r="164" spans="1:9">
      <c r="A164" t="s">
        <v>1017</v>
      </c>
      <c r="B164" s="2">
        <v>15.5</v>
      </c>
      <c r="C164" t="s">
        <v>1884</v>
      </c>
      <c r="D164">
        <v>405</v>
      </c>
      <c r="E164" s="2">
        <v>13.8</v>
      </c>
      <c r="F164" s="2">
        <v>17.2</v>
      </c>
      <c r="G164" t="s">
        <v>25</v>
      </c>
      <c r="H164" s="1">
        <v>45108</v>
      </c>
      <c r="I164" s="1">
        <v>45473</v>
      </c>
    </row>
    <row r="165" spans="1:9">
      <c r="A165" t="s">
        <v>1024</v>
      </c>
      <c r="B165" s="2">
        <v>14.6</v>
      </c>
      <c r="C165" t="s">
        <v>1884</v>
      </c>
      <c r="D165">
        <v>34</v>
      </c>
      <c r="E165" s="2">
        <v>12.6</v>
      </c>
      <c r="F165" s="2">
        <v>17.100000000000001</v>
      </c>
      <c r="G165" t="s">
        <v>25</v>
      </c>
      <c r="H165" s="1">
        <v>45108</v>
      </c>
      <c r="I165" s="1">
        <v>45473</v>
      </c>
    </row>
    <row r="166" spans="1:9">
      <c r="A166" t="s">
        <v>1031</v>
      </c>
      <c r="B166" s="2">
        <v>14.9</v>
      </c>
      <c r="C166" t="s">
        <v>1884</v>
      </c>
      <c r="D166">
        <v>3084</v>
      </c>
      <c r="E166" s="2">
        <v>13.9</v>
      </c>
      <c r="F166" s="2">
        <v>15.8</v>
      </c>
      <c r="G166" t="s">
        <v>25</v>
      </c>
      <c r="H166" s="1">
        <v>45108</v>
      </c>
      <c r="I166" s="1">
        <v>45473</v>
      </c>
    </row>
    <row r="167" spans="1:9">
      <c r="A167" t="s">
        <v>1036</v>
      </c>
      <c r="B167" s="2">
        <v>14.4</v>
      </c>
      <c r="C167" t="s">
        <v>1884</v>
      </c>
      <c r="D167">
        <v>88</v>
      </c>
      <c r="E167" s="2">
        <v>11.4</v>
      </c>
      <c r="F167" s="2">
        <v>18.100000000000001</v>
      </c>
      <c r="G167" t="s">
        <v>25</v>
      </c>
      <c r="H167" s="1">
        <v>45108</v>
      </c>
      <c r="I167" s="1">
        <v>45473</v>
      </c>
    </row>
    <row r="168" spans="1:9">
      <c r="A168" t="s">
        <v>1040</v>
      </c>
      <c r="B168" s="2">
        <v>15.8</v>
      </c>
      <c r="C168" t="s">
        <v>1884</v>
      </c>
      <c r="D168">
        <v>4123</v>
      </c>
      <c r="E168" s="2">
        <v>15</v>
      </c>
      <c r="F168" s="2">
        <v>16.7</v>
      </c>
      <c r="G168" t="s">
        <v>25</v>
      </c>
      <c r="H168" s="1">
        <v>45108</v>
      </c>
      <c r="I168" s="1">
        <v>45473</v>
      </c>
    </row>
    <row r="169" spans="1:9">
      <c r="A169" t="s">
        <v>1046</v>
      </c>
      <c r="B169" s="2">
        <v>13.8</v>
      </c>
      <c r="C169" t="s">
        <v>1885</v>
      </c>
      <c r="D169">
        <v>2140</v>
      </c>
      <c r="E169" s="2">
        <v>12.8</v>
      </c>
      <c r="F169" s="2">
        <v>14.9</v>
      </c>
      <c r="G169" t="s">
        <v>25</v>
      </c>
      <c r="H169" s="1">
        <v>45108</v>
      </c>
      <c r="I169" s="1">
        <v>45473</v>
      </c>
    </row>
    <row r="170" spans="1:9">
      <c r="A170" t="s">
        <v>1051</v>
      </c>
      <c r="B170" s="2">
        <v>14.5</v>
      </c>
      <c r="C170" t="s">
        <v>1884</v>
      </c>
      <c r="D170">
        <v>2270</v>
      </c>
      <c r="E170" s="2">
        <v>13.4</v>
      </c>
      <c r="F170" s="2">
        <v>15.6</v>
      </c>
      <c r="G170" t="s">
        <v>25</v>
      </c>
      <c r="H170" s="1">
        <v>45108</v>
      </c>
      <c r="I170" s="1">
        <v>45473</v>
      </c>
    </row>
    <row r="171" spans="1:9">
      <c r="A171" t="s">
        <v>1056</v>
      </c>
      <c r="B171" s="2">
        <v>14.8</v>
      </c>
      <c r="C171" t="s">
        <v>1884</v>
      </c>
      <c r="D171">
        <v>2805</v>
      </c>
      <c r="E171" s="2">
        <v>13.9</v>
      </c>
      <c r="F171" s="2">
        <v>15.9</v>
      </c>
      <c r="G171" t="s">
        <v>25</v>
      </c>
      <c r="H171" s="1">
        <v>45108</v>
      </c>
      <c r="I171" s="1">
        <v>45473</v>
      </c>
    </row>
    <row r="172" spans="1:9">
      <c r="A172" t="s">
        <v>1061</v>
      </c>
      <c r="B172" s="2">
        <v>14.1</v>
      </c>
      <c r="C172" t="s">
        <v>1884</v>
      </c>
      <c r="D172">
        <v>591</v>
      </c>
      <c r="E172" s="2">
        <v>11.8</v>
      </c>
      <c r="F172" s="2">
        <v>16.8</v>
      </c>
      <c r="G172" t="s">
        <v>25</v>
      </c>
      <c r="H172" s="1">
        <v>45108</v>
      </c>
      <c r="I172" s="1">
        <v>45473</v>
      </c>
    </row>
    <row r="173" spans="1:9">
      <c r="A173" t="s">
        <v>1065</v>
      </c>
      <c r="B173" s="2">
        <v>14.4</v>
      </c>
      <c r="C173" t="s">
        <v>1884</v>
      </c>
      <c r="D173">
        <v>60</v>
      </c>
      <c r="E173" s="2">
        <v>11.5</v>
      </c>
      <c r="F173" s="2">
        <v>18</v>
      </c>
      <c r="G173" t="s">
        <v>25</v>
      </c>
      <c r="H173" s="1">
        <v>45108</v>
      </c>
      <c r="I173" s="1">
        <v>45473</v>
      </c>
    </row>
    <row r="174" spans="1:9">
      <c r="A174" t="s">
        <v>1070</v>
      </c>
      <c r="B174" s="2">
        <v>14.4</v>
      </c>
      <c r="C174" t="s">
        <v>1884</v>
      </c>
      <c r="D174">
        <v>2124</v>
      </c>
      <c r="E174" s="2">
        <v>13.7</v>
      </c>
      <c r="F174" s="2">
        <v>16</v>
      </c>
      <c r="G174" t="s">
        <v>25</v>
      </c>
      <c r="H174" s="1">
        <v>45108</v>
      </c>
      <c r="I174" s="1">
        <v>45473</v>
      </c>
    </row>
    <row r="175" spans="1:9">
      <c r="A175" t="s">
        <v>1075</v>
      </c>
      <c r="B175" s="2">
        <v>14.6</v>
      </c>
      <c r="C175" t="s">
        <v>1884</v>
      </c>
      <c r="D175">
        <v>4332</v>
      </c>
      <c r="E175" s="2">
        <v>13.8</v>
      </c>
      <c r="F175" s="2">
        <v>15.4</v>
      </c>
      <c r="G175" t="s">
        <v>25</v>
      </c>
      <c r="H175" s="1">
        <v>45108</v>
      </c>
      <c r="I175" s="1">
        <v>45473</v>
      </c>
    </row>
    <row r="176" spans="1:9">
      <c r="A176" t="s">
        <v>1081</v>
      </c>
      <c r="B176" s="2">
        <v>14.7</v>
      </c>
      <c r="C176" t="s">
        <v>1884</v>
      </c>
      <c r="D176">
        <v>357</v>
      </c>
      <c r="E176" s="2">
        <v>13.1</v>
      </c>
      <c r="F176" s="2">
        <v>16.5</v>
      </c>
      <c r="G176" t="s">
        <v>25</v>
      </c>
      <c r="H176" s="1">
        <v>45108</v>
      </c>
      <c r="I176" s="1">
        <v>45473</v>
      </c>
    </row>
    <row r="177" spans="1:9">
      <c r="A177" t="s">
        <v>1086</v>
      </c>
      <c r="G177" t="s">
        <v>322</v>
      </c>
      <c r="H177" s="1">
        <v>45108</v>
      </c>
      <c r="I177" s="1">
        <v>45473</v>
      </c>
    </row>
    <row r="178" spans="1:9">
      <c r="A178" t="s">
        <v>1090</v>
      </c>
      <c r="B178" s="2">
        <v>14.4</v>
      </c>
      <c r="C178" t="s">
        <v>1884</v>
      </c>
      <c r="D178">
        <v>225</v>
      </c>
      <c r="E178" s="2">
        <v>12.4</v>
      </c>
      <c r="F178" s="2">
        <v>16.7</v>
      </c>
      <c r="G178" t="s">
        <v>25</v>
      </c>
      <c r="H178" s="1">
        <v>45108</v>
      </c>
      <c r="I178" s="1">
        <v>45473</v>
      </c>
    </row>
    <row r="179" spans="1:9">
      <c r="A179" t="s">
        <v>1095</v>
      </c>
      <c r="B179" s="2">
        <v>14.4</v>
      </c>
      <c r="C179" t="s">
        <v>1884</v>
      </c>
      <c r="D179">
        <v>268</v>
      </c>
      <c r="E179" s="2">
        <v>13</v>
      </c>
      <c r="F179" s="2">
        <v>16.100000000000001</v>
      </c>
      <c r="G179" t="s">
        <v>25</v>
      </c>
      <c r="H179" s="1">
        <v>45108</v>
      </c>
      <c r="I179" s="1">
        <v>45473</v>
      </c>
    </row>
    <row r="180" spans="1:9">
      <c r="A180" t="s">
        <v>1102</v>
      </c>
      <c r="G180" t="s">
        <v>322</v>
      </c>
      <c r="H180" s="1">
        <v>45108</v>
      </c>
      <c r="I180" s="1">
        <v>45473</v>
      </c>
    </row>
    <row r="181" spans="1:9">
      <c r="A181" t="s">
        <v>1106</v>
      </c>
      <c r="B181" s="2">
        <v>14.8</v>
      </c>
      <c r="C181" t="s">
        <v>1884</v>
      </c>
      <c r="D181">
        <v>59</v>
      </c>
      <c r="E181" s="2">
        <v>12.7</v>
      </c>
      <c r="F181" s="2">
        <v>17.2</v>
      </c>
      <c r="G181" t="s">
        <v>25</v>
      </c>
      <c r="H181" s="1">
        <v>45108</v>
      </c>
      <c r="I181" s="1">
        <v>45473</v>
      </c>
    </row>
    <row r="182" spans="1:9">
      <c r="A182" t="s">
        <v>1112</v>
      </c>
      <c r="B182" s="2">
        <v>15.1</v>
      </c>
      <c r="C182" t="s">
        <v>1884</v>
      </c>
      <c r="D182">
        <v>189</v>
      </c>
      <c r="E182" s="2">
        <v>12.3</v>
      </c>
      <c r="F182" s="2">
        <v>19</v>
      </c>
      <c r="G182" t="s">
        <v>25</v>
      </c>
      <c r="H182" s="1">
        <v>45108</v>
      </c>
      <c r="I182" s="1">
        <v>45473</v>
      </c>
    </row>
    <row r="183" spans="1:9">
      <c r="A183" t="s">
        <v>1116</v>
      </c>
      <c r="B183" s="2">
        <v>14.6</v>
      </c>
      <c r="C183" t="s">
        <v>1884</v>
      </c>
      <c r="D183">
        <v>719</v>
      </c>
      <c r="E183" s="2">
        <v>13.2</v>
      </c>
      <c r="F183" s="2">
        <v>16.100000000000001</v>
      </c>
      <c r="G183" t="s">
        <v>25</v>
      </c>
      <c r="H183" s="1">
        <v>45108</v>
      </c>
      <c r="I183" s="1">
        <v>45473</v>
      </c>
    </row>
    <row r="184" spans="1:9">
      <c r="A184" t="s">
        <v>1122</v>
      </c>
      <c r="B184" s="2">
        <v>14.8</v>
      </c>
      <c r="C184" t="s">
        <v>1884</v>
      </c>
      <c r="D184">
        <v>3510</v>
      </c>
      <c r="E184" s="2">
        <v>14</v>
      </c>
      <c r="F184" s="2">
        <v>15.7</v>
      </c>
      <c r="G184" t="s">
        <v>25</v>
      </c>
      <c r="H184" s="1">
        <v>45108</v>
      </c>
      <c r="I184" s="1">
        <v>45473</v>
      </c>
    </row>
    <row r="185" spans="1:9">
      <c r="A185" t="s">
        <v>1127</v>
      </c>
      <c r="B185" s="2">
        <v>15.2</v>
      </c>
      <c r="C185" t="s">
        <v>1884</v>
      </c>
      <c r="D185">
        <v>1942</v>
      </c>
      <c r="E185" s="2">
        <v>14.1</v>
      </c>
      <c r="F185" s="2">
        <v>16.3</v>
      </c>
      <c r="G185" t="s">
        <v>25</v>
      </c>
      <c r="H185" s="1">
        <v>45108</v>
      </c>
      <c r="I185" s="1">
        <v>45473</v>
      </c>
    </row>
    <row r="186" spans="1:9">
      <c r="A186" t="s">
        <v>1133</v>
      </c>
      <c r="B186" s="2">
        <v>16.100000000000001</v>
      </c>
      <c r="C186" t="s">
        <v>1884</v>
      </c>
      <c r="D186">
        <v>1261</v>
      </c>
      <c r="E186" s="2">
        <v>15</v>
      </c>
      <c r="F186" s="2">
        <v>17.3</v>
      </c>
      <c r="G186" t="s">
        <v>25</v>
      </c>
      <c r="H186" s="1">
        <v>45108</v>
      </c>
      <c r="I186" s="1">
        <v>45473</v>
      </c>
    </row>
    <row r="187" spans="1:9">
      <c r="A187" t="s">
        <v>1137</v>
      </c>
      <c r="B187" s="2">
        <v>15.2</v>
      </c>
      <c r="C187" t="s">
        <v>1884</v>
      </c>
      <c r="D187">
        <v>763</v>
      </c>
      <c r="E187" s="2">
        <v>13.6</v>
      </c>
      <c r="F187" s="2">
        <v>16.8</v>
      </c>
      <c r="G187" t="s">
        <v>25</v>
      </c>
      <c r="H187" s="1">
        <v>45108</v>
      </c>
      <c r="I187" s="1">
        <v>45473</v>
      </c>
    </row>
    <row r="188" spans="1:9">
      <c r="A188" t="s">
        <v>1142</v>
      </c>
      <c r="B188" s="2">
        <v>15.1</v>
      </c>
      <c r="C188" t="s">
        <v>1884</v>
      </c>
      <c r="D188">
        <v>174</v>
      </c>
      <c r="E188" s="2">
        <v>12.7</v>
      </c>
      <c r="F188" s="2">
        <v>18</v>
      </c>
      <c r="G188" t="s">
        <v>25</v>
      </c>
      <c r="H188" s="1">
        <v>45108</v>
      </c>
      <c r="I188" s="1">
        <v>45473</v>
      </c>
    </row>
    <row r="189" spans="1:9">
      <c r="A189" t="s">
        <v>1148</v>
      </c>
      <c r="B189" s="2">
        <v>14.6</v>
      </c>
      <c r="C189" t="s">
        <v>1884</v>
      </c>
      <c r="D189">
        <v>699</v>
      </c>
      <c r="E189" s="2">
        <v>13.2</v>
      </c>
      <c r="F189" s="2">
        <v>16</v>
      </c>
      <c r="G189" t="s">
        <v>25</v>
      </c>
      <c r="H189" s="1">
        <v>45108</v>
      </c>
      <c r="I189" s="1">
        <v>45473</v>
      </c>
    </row>
    <row r="190" spans="1:9">
      <c r="A190" t="s">
        <v>1152</v>
      </c>
      <c r="B190" s="2">
        <v>14.4</v>
      </c>
      <c r="C190" t="s">
        <v>1884</v>
      </c>
      <c r="D190">
        <v>414</v>
      </c>
      <c r="E190" s="2">
        <v>11.8</v>
      </c>
      <c r="F190" s="2">
        <v>17.600000000000001</v>
      </c>
      <c r="G190" t="s">
        <v>25</v>
      </c>
      <c r="H190" s="1">
        <v>45108</v>
      </c>
      <c r="I190" s="1">
        <v>45473</v>
      </c>
    </row>
    <row r="191" spans="1:9">
      <c r="A191" t="s">
        <v>1157</v>
      </c>
      <c r="G191" t="s">
        <v>322</v>
      </c>
      <c r="H191" s="1">
        <v>45108</v>
      </c>
      <c r="I191" s="1">
        <v>45473</v>
      </c>
    </row>
    <row r="192" spans="1:9">
      <c r="A192" t="s">
        <v>1161</v>
      </c>
      <c r="B192" s="2">
        <v>14.6</v>
      </c>
      <c r="C192" t="s">
        <v>1884</v>
      </c>
      <c r="D192">
        <v>1581</v>
      </c>
      <c r="E192" s="2">
        <v>13.5</v>
      </c>
      <c r="F192" s="2">
        <v>15.7</v>
      </c>
      <c r="G192" t="s">
        <v>25</v>
      </c>
      <c r="H192" s="1">
        <v>45108</v>
      </c>
      <c r="I192" s="1">
        <v>45473</v>
      </c>
    </row>
    <row r="193" spans="1:9">
      <c r="A193" t="s">
        <v>1167</v>
      </c>
      <c r="B193" s="2">
        <v>13.4</v>
      </c>
      <c r="C193" t="s">
        <v>1884</v>
      </c>
      <c r="D193">
        <v>571</v>
      </c>
      <c r="E193" s="2">
        <v>11</v>
      </c>
      <c r="F193" s="2">
        <v>16.100000000000001</v>
      </c>
      <c r="G193" t="s">
        <v>25</v>
      </c>
      <c r="H193" s="1">
        <v>45108</v>
      </c>
      <c r="I193" s="1">
        <v>45473</v>
      </c>
    </row>
    <row r="194" spans="1:9">
      <c r="A194" t="s">
        <v>1171</v>
      </c>
      <c r="B194" s="2">
        <v>14.8</v>
      </c>
      <c r="C194" t="s">
        <v>1884</v>
      </c>
      <c r="D194">
        <v>33</v>
      </c>
      <c r="E194" s="2">
        <v>13.2</v>
      </c>
      <c r="F194" s="2">
        <v>17.600000000000001</v>
      </c>
      <c r="G194" t="s">
        <v>143</v>
      </c>
      <c r="H194" s="1">
        <v>45108</v>
      </c>
      <c r="I194" s="1">
        <v>45473</v>
      </c>
    </row>
    <row r="195" spans="1:9">
      <c r="A195" t="s">
        <v>1176</v>
      </c>
      <c r="B195" s="2">
        <v>14.4</v>
      </c>
      <c r="C195" t="s">
        <v>1884</v>
      </c>
      <c r="D195">
        <v>268</v>
      </c>
      <c r="E195" s="2">
        <v>13</v>
      </c>
      <c r="F195" s="2">
        <v>16.3</v>
      </c>
      <c r="G195" t="s">
        <v>143</v>
      </c>
      <c r="H195" s="1">
        <v>45108</v>
      </c>
      <c r="I195" s="1">
        <v>45473</v>
      </c>
    </row>
    <row r="196" spans="1:9">
      <c r="A196" t="s">
        <v>1181</v>
      </c>
      <c r="B196" s="2">
        <v>15.6</v>
      </c>
      <c r="C196" t="s">
        <v>1884</v>
      </c>
      <c r="D196">
        <v>1153</v>
      </c>
      <c r="E196" s="2">
        <v>14.5</v>
      </c>
      <c r="F196" s="2">
        <v>17</v>
      </c>
      <c r="G196" t="s">
        <v>25</v>
      </c>
      <c r="H196" s="1">
        <v>45108</v>
      </c>
      <c r="I196" s="1">
        <v>45473</v>
      </c>
    </row>
    <row r="197" spans="1:9">
      <c r="A197" t="s">
        <v>1185</v>
      </c>
      <c r="B197" s="2">
        <v>14.8</v>
      </c>
      <c r="C197" t="s">
        <v>1884</v>
      </c>
      <c r="D197">
        <v>83</v>
      </c>
      <c r="E197" s="2">
        <v>12.4</v>
      </c>
      <c r="F197" s="2">
        <v>17.600000000000001</v>
      </c>
      <c r="G197" t="s">
        <v>25</v>
      </c>
      <c r="H197" s="1">
        <v>45108</v>
      </c>
      <c r="I197" s="1">
        <v>45473</v>
      </c>
    </row>
    <row r="198" spans="1:9">
      <c r="A198" t="s">
        <v>1190</v>
      </c>
      <c r="B198" s="2">
        <v>14.9</v>
      </c>
      <c r="C198" t="s">
        <v>1884</v>
      </c>
      <c r="D198">
        <v>105</v>
      </c>
      <c r="E198" s="2">
        <v>11.9</v>
      </c>
      <c r="F198" s="2">
        <v>18.7</v>
      </c>
      <c r="G198" t="s">
        <v>25</v>
      </c>
      <c r="H198" s="1">
        <v>45108</v>
      </c>
      <c r="I198" s="1">
        <v>45473</v>
      </c>
    </row>
    <row r="199" spans="1:9">
      <c r="A199" t="s">
        <v>1195</v>
      </c>
      <c r="B199" s="2">
        <v>14.3</v>
      </c>
      <c r="C199" t="s">
        <v>1884</v>
      </c>
      <c r="D199">
        <v>181</v>
      </c>
      <c r="E199" s="2">
        <v>11.7</v>
      </c>
      <c r="F199" s="2">
        <v>17.8</v>
      </c>
      <c r="G199" t="s">
        <v>25</v>
      </c>
      <c r="H199" s="1">
        <v>45108</v>
      </c>
      <c r="I199" s="1">
        <v>45473</v>
      </c>
    </row>
    <row r="200" spans="1:9">
      <c r="A200" t="s">
        <v>1200</v>
      </c>
      <c r="B200" s="2">
        <v>15.4</v>
      </c>
      <c r="C200" t="s">
        <v>1884</v>
      </c>
      <c r="D200">
        <v>512</v>
      </c>
      <c r="E200" s="2">
        <v>13.8</v>
      </c>
      <c r="F200" s="2">
        <v>17.2</v>
      </c>
      <c r="G200" t="s">
        <v>25</v>
      </c>
      <c r="H200" s="1">
        <v>45108</v>
      </c>
      <c r="I200" s="1">
        <v>45473</v>
      </c>
    </row>
    <row r="201" spans="1:9">
      <c r="A201" t="s">
        <v>1205</v>
      </c>
      <c r="B201" s="2">
        <v>14.8</v>
      </c>
      <c r="C201" t="s">
        <v>1884</v>
      </c>
      <c r="D201">
        <v>342</v>
      </c>
      <c r="E201" s="2">
        <v>12.3</v>
      </c>
      <c r="F201" s="2">
        <v>17.8</v>
      </c>
      <c r="G201" t="s">
        <v>25</v>
      </c>
      <c r="H201" s="1">
        <v>45108</v>
      </c>
      <c r="I201" s="1">
        <v>45473</v>
      </c>
    </row>
    <row r="202" spans="1:9">
      <c r="A202" t="s">
        <v>1210</v>
      </c>
      <c r="B202" s="2">
        <v>14.6</v>
      </c>
      <c r="C202" t="s">
        <v>1884</v>
      </c>
      <c r="D202">
        <v>74</v>
      </c>
      <c r="E202" s="2">
        <v>11.7</v>
      </c>
      <c r="F202" s="2">
        <v>18</v>
      </c>
      <c r="G202" t="s">
        <v>25</v>
      </c>
      <c r="H202" s="1">
        <v>45108</v>
      </c>
      <c r="I202" s="1">
        <v>45473</v>
      </c>
    </row>
    <row r="203" spans="1:9">
      <c r="A203" t="s">
        <v>1216</v>
      </c>
      <c r="B203" s="2">
        <v>13.9</v>
      </c>
      <c r="C203" t="s">
        <v>1884</v>
      </c>
      <c r="D203">
        <v>831</v>
      </c>
      <c r="E203" s="2">
        <v>12.6</v>
      </c>
      <c r="F203" s="2">
        <v>15.3</v>
      </c>
      <c r="G203" t="s">
        <v>25</v>
      </c>
      <c r="H203" s="1">
        <v>45108</v>
      </c>
      <c r="I203" s="1">
        <v>45473</v>
      </c>
    </row>
    <row r="204" spans="1:9">
      <c r="A204" t="s">
        <v>1221</v>
      </c>
      <c r="B204" s="2">
        <v>15</v>
      </c>
      <c r="C204" t="s">
        <v>1884</v>
      </c>
      <c r="D204">
        <v>90</v>
      </c>
      <c r="E204" s="2">
        <v>12</v>
      </c>
      <c r="F204" s="2">
        <v>18.600000000000001</v>
      </c>
      <c r="G204" t="s">
        <v>25</v>
      </c>
      <c r="H204" s="1">
        <v>45108</v>
      </c>
      <c r="I204" s="1">
        <v>45473</v>
      </c>
    </row>
    <row r="205" spans="1:9">
      <c r="A205" t="s">
        <v>1227</v>
      </c>
      <c r="B205" s="2">
        <v>14.6</v>
      </c>
      <c r="C205" t="s">
        <v>1884</v>
      </c>
      <c r="D205">
        <v>105</v>
      </c>
      <c r="E205" s="2">
        <v>11.8</v>
      </c>
      <c r="F205" s="2">
        <v>18.3</v>
      </c>
      <c r="G205" t="s">
        <v>25</v>
      </c>
      <c r="H205" s="1">
        <v>45108</v>
      </c>
      <c r="I205" s="1">
        <v>45473</v>
      </c>
    </row>
    <row r="206" spans="1:9">
      <c r="A206" t="s">
        <v>1231</v>
      </c>
      <c r="B206" s="2">
        <v>15.1</v>
      </c>
      <c r="C206" t="s">
        <v>1884</v>
      </c>
      <c r="D206">
        <v>2699</v>
      </c>
      <c r="E206" s="2">
        <v>14.2</v>
      </c>
      <c r="F206" s="2">
        <v>16.2</v>
      </c>
      <c r="G206" t="s">
        <v>25</v>
      </c>
      <c r="H206" s="1">
        <v>45108</v>
      </c>
      <c r="I206" s="1">
        <v>45473</v>
      </c>
    </row>
    <row r="207" spans="1:9">
      <c r="A207" t="s">
        <v>1235</v>
      </c>
      <c r="B207" s="2">
        <v>15</v>
      </c>
      <c r="C207" t="s">
        <v>1884</v>
      </c>
      <c r="D207">
        <v>43</v>
      </c>
      <c r="E207" s="2">
        <v>11.8</v>
      </c>
      <c r="F207" s="2">
        <v>18.600000000000001</v>
      </c>
      <c r="G207" t="s">
        <v>25</v>
      </c>
      <c r="H207" s="1">
        <v>45108</v>
      </c>
      <c r="I207" s="1">
        <v>45473</v>
      </c>
    </row>
    <row r="208" spans="1:9">
      <c r="A208" t="s">
        <v>1239</v>
      </c>
      <c r="B208" s="2">
        <v>15</v>
      </c>
      <c r="C208" t="s">
        <v>1884</v>
      </c>
      <c r="D208">
        <v>472</v>
      </c>
      <c r="E208" s="2">
        <v>13.2</v>
      </c>
      <c r="F208" s="2">
        <v>16.899999999999999</v>
      </c>
      <c r="G208" t="s">
        <v>25</v>
      </c>
      <c r="H208" s="1">
        <v>45108</v>
      </c>
      <c r="I208" s="1">
        <v>45473</v>
      </c>
    </row>
    <row r="209" spans="1:9">
      <c r="A209" t="s">
        <v>1244</v>
      </c>
      <c r="G209" t="s">
        <v>168</v>
      </c>
      <c r="H209" s="1">
        <v>45108</v>
      </c>
      <c r="I209" s="1">
        <v>45473</v>
      </c>
    </row>
    <row r="210" spans="1:9">
      <c r="A210" t="s">
        <v>1248</v>
      </c>
      <c r="B210" s="2">
        <v>14.8</v>
      </c>
      <c r="C210" t="s">
        <v>1884</v>
      </c>
      <c r="D210">
        <v>54</v>
      </c>
      <c r="E210" s="2">
        <v>11.8</v>
      </c>
      <c r="F210" s="2">
        <v>18.8</v>
      </c>
      <c r="G210" t="s">
        <v>25</v>
      </c>
      <c r="H210" s="1">
        <v>45108</v>
      </c>
      <c r="I210" s="1">
        <v>45473</v>
      </c>
    </row>
    <row r="211" spans="1:9">
      <c r="A211" t="s">
        <v>1253</v>
      </c>
      <c r="B211" s="2">
        <v>14.2</v>
      </c>
      <c r="C211" t="s">
        <v>1884</v>
      </c>
      <c r="D211">
        <v>190</v>
      </c>
      <c r="E211" s="2">
        <v>11.6</v>
      </c>
      <c r="F211" s="2">
        <v>17.5</v>
      </c>
      <c r="G211" t="s">
        <v>25</v>
      </c>
      <c r="H211" s="1">
        <v>45108</v>
      </c>
      <c r="I211" s="1">
        <v>45473</v>
      </c>
    </row>
    <row r="212" spans="1:9">
      <c r="A212" t="s">
        <v>1258</v>
      </c>
      <c r="B212" s="2">
        <v>13.8</v>
      </c>
      <c r="C212" t="s">
        <v>1884</v>
      </c>
      <c r="D212">
        <v>241</v>
      </c>
      <c r="E212" s="2">
        <v>11.3</v>
      </c>
      <c r="F212" s="2">
        <v>17</v>
      </c>
      <c r="G212" t="s">
        <v>25</v>
      </c>
      <c r="H212" s="1">
        <v>45108</v>
      </c>
      <c r="I212" s="1">
        <v>45473</v>
      </c>
    </row>
    <row r="213" spans="1:9">
      <c r="A213" t="s">
        <v>1262</v>
      </c>
      <c r="G213" t="s">
        <v>168</v>
      </c>
      <c r="H213" s="1">
        <v>45108</v>
      </c>
      <c r="I213" s="1">
        <v>45473</v>
      </c>
    </row>
    <row r="214" spans="1:9">
      <c r="A214" t="s">
        <v>1266</v>
      </c>
      <c r="B214" s="2">
        <v>15</v>
      </c>
      <c r="C214" t="s">
        <v>1884</v>
      </c>
      <c r="D214">
        <v>1690</v>
      </c>
      <c r="E214" s="2">
        <v>13.9</v>
      </c>
      <c r="F214" s="2">
        <v>16.2</v>
      </c>
      <c r="G214" t="s">
        <v>25</v>
      </c>
      <c r="H214" s="1">
        <v>45108</v>
      </c>
      <c r="I214" s="1">
        <v>45473</v>
      </c>
    </row>
    <row r="215" spans="1:9">
      <c r="A215" t="s">
        <v>1272</v>
      </c>
      <c r="B215" s="2">
        <v>14.1</v>
      </c>
      <c r="C215" t="s">
        <v>1884</v>
      </c>
      <c r="D215">
        <v>2452</v>
      </c>
      <c r="E215" s="2">
        <v>13</v>
      </c>
      <c r="F215" s="2">
        <v>15.3</v>
      </c>
      <c r="G215" t="s">
        <v>25</v>
      </c>
      <c r="H215" s="1">
        <v>45108</v>
      </c>
      <c r="I215" s="1">
        <v>45473</v>
      </c>
    </row>
    <row r="216" spans="1:9">
      <c r="A216" t="s">
        <v>1276</v>
      </c>
      <c r="B216" s="2">
        <v>14.6</v>
      </c>
      <c r="C216" t="s">
        <v>1884</v>
      </c>
      <c r="D216">
        <v>389</v>
      </c>
      <c r="E216" s="2">
        <v>13.1</v>
      </c>
      <c r="F216" s="2">
        <v>16.3</v>
      </c>
      <c r="G216" t="s">
        <v>25</v>
      </c>
      <c r="H216" s="1">
        <v>45108</v>
      </c>
      <c r="I216" s="1">
        <v>45473</v>
      </c>
    </row>
    <row r="217" spans="1:9">
      <c r="A217" t="s">
        <v>1281</v>
      </c>
      <c r="B217" s="2">
        <v>13.9</v>
      </c>
      <c r="C217" t="s">
        <v>1884</v>
      </c>
      <c r="D217">
        <v>2814</v>
      </c>
      <c r="E217" s="2">
        <v>13.1</v>
      </c>
      <c r="F217" s="2">
        <v>15.1</v>
      </c>
      <c r="G217" t="s">
        <v>25</v>
      </c>
      <c r="H217" s="1">
        <v>45108</v>
      </c>
      <c r="I217" s="1">
        <v>45473</v>
      </c>
    </row>
    <row r="218" spans="1:9">
      <c r="A218" t="s">
        <v>1286</v>
      </c>
      <c r="B218" s="2">
        <v>14.4</v>
      </c>
      <c r="C218" t="s">
        <v>1884</v>
      </c>
      <c r="D218">
        <v>936</v>
      </c>
      <c r="E218" s="2">
        <v>13.7</v>
      </c>
      <c r="F218" s="2">
        <v>16</v>
      </c>
      <c r="G218" t="s">
        <v>143</v>
      </c>
      <c r="H218" s="1">
        <v>45108</v>
      </c>
      <c r="I218" s="1">
        <v>45473</v>
      </c>
    </row>
    <row r="219" spans="1:9">
      <c r="A219" t="s">
        <v>1290</v>
      </c>
      <c r="B219" s="2">
        <v>15.6</v>
      </c>
      <c r="C219" t="s">
        <v>1884</v>
      </c>
      <c r="D219">
        <v>1020</v>
      </c>
      <c r="E219" s="2">
        <v>14.5</v>
      </c>
      <c r="F219" s="2">
        <v>17.2</v>
      </c>
      <c r="G219" t="s">
        <v>25</v>
      </c>
      <c r="H219" s="1">
        <v>45108</v>
      </c>
      <c r="I219" s="1">
        <v>45473</v>
      </c>
    </row>
    <row r="220" spans="1:9">
      <c r="A220" t="s">
        <v>1296</v>
      </c>
      <c r="B220" s="2">
        <v>14.6</v>
      </c>
      <c r="C220" t="s">
        <v>1884</v>
      </c>
      <c r="D220">
        <v>819</v>
      </c>
      <c r="E220" s="2">
        <v>13.2</v>
      </c>
      <c r="F220" s="2">
        <v>16.2</v>
      </c>
      <c r="G220" t="s">
        <v>25</v>
      </c>
      <c r="H220" s="1">
        <v>45108</v>
      </c>
      <c r="I220" s="1">
        <v>45473</v>
      </c>
    </row>
    <row r="221" spans="1:9">
      <c r="A221" t="s">
        <v>1302</v>
      </c>
      <c r="B221" s="2">
        <v>15.1</v>
      </c>
      <c r="C221" t="s">
        <v>1884</v>
      </c>
      <c r="D221">
        <v>910</v>
      </c>
      <c r="E221" s="2">
        <v>13.8</v>
      </c>
      <c r="F221" s="2">
        <v>16.5</v>
      </c>
      <c r="G221" t="s">
        <v>25</v>
      </c>
      <c r="H221" s="1">
        <v>45108</v>
      </c>
      <c r="I221" s="1">
        <v>45473</v>
      </c>
    </row>
    <row r="222" spans="1:9">
      <c r="A222" t="s">
        <v>1307</v>
      </c>
      <c r="B222" s="2">
        <v>14.2</v>
      </c>
      <c r="C222" t="s">
        <v>1884</v>
      </c>
      <c r="D222">
        <v>368</v>
      </c>
      <c r="E222" s="2">
        <v>11.6</v>
      </c>
      <c r="F222" s="2">
        <v>17.5</v>
      </c>
      <c r="G222" t="s">
        <v>25</v>
      </c>
      <c r="H222" s="1">
        <v>45108</v>
      </c>
      <c r="I222" s="1">
        <v>45473</v>
      </c>
    </row>
    <row r="223" spans="1:9">
      <c r="A223" t="s">
        <v>1311</v>
      </c>
      <c r="B223" s="2">
        <v>15.5</v>
      </c>
      <c r="C223" t="s">
        <v>1884</v>
      </c>
      <c r="D223">
        <v>336</v>
      </c>
      <c r="E223" s="2">
        <v>13.9</v>
      </c>
      <c r="F223" s="2">
        <v>17.2</v>
      </c>
      <c r="G223" t="s">
        <v>25</v>
      </c>
      <c r="H223" s="1">
        <v>45108</v>
      </c>
      <c r="I223" s="1">
        <v>45473</v>
      </c>
    </row>
    <row r="224" spans="1:9">
      <c r="A224" t="s">
        <v>1316</v>
      </c>
      <c r="B224" s="2">
        <v>14.2</v>
      </c>
      <c r="C224" t="s">
        <v>1884</v>
      </c>
      <c r="D224">
        <v>94</v>
      </c>
      <c r="E224" s="2">
        <v>11.4</v>
      </c>
      <c r="F224" s="2">
        <v>17.5</v>
      </c>
      <c r="G224" t="s">
        <v>25</v>
      </c>
      <c r="H224" s="1">
        <v>45108</v>
      </c>
      <c r="I224" s="1">
        <v>45473</v>
      </c>
    </row>
    <row r="225" spans="1:9">
      <c r="A225" t="s">
        <v>1321</v>
      </c>
      <c r="B225" s="2">
        <v>15.4</v>
      </c>
      <c r="C225" t="s">
        <v>1884</v>
      </c>
      <c r="D225">
        <v>3707</v>
      </c>
      <c r="E225" s="2">
        <v>14.5</v>
      </c>
      <c r="F225" s="2">
        <v>16.399999999999999</v>
      </c>
      <c r="G225" t="s">
        <v>25</v>
      </c>
      <c r="H225" s="1">
        <v>45108</v>
      </c>
      <c r="I225" s="1">
        <v>45473</v>
      </c>
    </row>
    <row r="226" spans="1:9">
      <c r="A226" t="s">
        <v>1325</v>
      </c>
      <c r="B226" s="2">
        <v>14.4</v>
      </c>
      <c r="C226" t="s">
        <v>1884</v>
      </c>
      <c r="D226">
        <v>761</v>
      </c>
      <c r="E226" s="2">
        <v>13.4</v>
      </c>
      <c r="F226" s="2">
        <v>15.9</v>
      </c>
      <c r="G226" t="s">
        <v>143</v>
      </c>
      <c r="H226" s="1">
        <v>45108</v>
      </c>
      <c r="I226" s="1">
        <v>45473</v>
      </c>
    </row>
    <row r="227" spans="1:9">
      <c r="A227" t="s">
        <v>1331</v>
      </c>
      <c r="B227" s="2">
        <v>14.4</v>
      </c>
      <c r="C227" t="s">
        <v>1884</v>
      </c>
      <c r="D227">
        <v>141</v>
      </c>
      <c r="E227" s="2">
        <v>11.8</v>
      </c>
      <c r="F227" s="2">
        <v>17.600000000000001</v>
      </c>
      <c r="G227" t="s">
        <v>25</v>
      </c>
      <c r="H227" s="1">
        <v>45108</v>
      </c>
      <c r="I227" s="1">
        <v>45473</v>
      </c>
    </row>
    <row r="228" spans="1:9">
      <c r="A228" t="s">
        <v>1335</v>
      </c>
      <c r="B228" s="2">
        <v>15.4</v>
      </c>
      <c r="C228" t="s">
        <v>1884</v>
      </c>
      <c r="D228">
        <v>625</v>
      </c>
      <c r="E228" s="2">
        <v>14</v>
      </c>
      <c r="F228" s="2">
        <v>17</v>
      </c>
      <c r="G228" t="s">
        <v>25</v>
      </c>
      <c r="H228" s="1">
        <v>45108</v>
      </c>
      <c r="I228" s="1">
        <v>45473</v>
      </c>
    </row>
    <row r="229" spans="1:9">
      <c r="A229" t="s">
        <v>1341</v>
      </c>
      <c r="B229" s="2">
        <v>15.1</v>
      </c>
      <c r="C229" t="s">
        <v>1884</v>
      </c>
      <c r="D229">
        <v>57</v>
      </c>
      <c r="E229" s="2">
        <v>13.1</v>
      </c>
      <c r="F229" s="2">
        <v>17.5</v>
      </c>
      <c r="G229" t="s">
        <v>25</v>
      </c>
      <c r="H229" s="1">
        <v>45108</v>
      </c>
      <c r="I229" s="1">
        <v>45473</v>
      </c>
    </row>
    <row r="230" spans="1:9">
      <c r="A230" t="s">
        <v>1347</v>
      </c>
      <c r="B230" s="2">
        <v>14.6</v>
      </c>
      <c r="C230" t="s">
        <v>1884</v>
      </c>
      <c r="D230">
        <v>676</v>
      </c>
      <c r="E230" s="2">
        <v>12.2</v>
      </c>
      <c r="F230" s="2">
        <v>17.600000000000001</v>
      </c>
      <c r="G230" t="s">
        <v>25</v>
      </c>
      <c r="H230" s="1">
        <v>45108</v>
      </c>
      <c r="I230" s="1">
        <v>45473</v>
      </c>
    </row>
    <row r="231" spans="1:9">
      <c r="A231" t="s">
        <v>1351</v>
      </c>
      <c r="B231" s="2">
        <v>13.9</v>
      </c>
      <c r="C231" t="s">
        <v>1884</v>
      </c>
      <c r="D231">
        <v>1007</v>
      </c>
      <c r="E231" s="2">
        <v>12.7</v>
      </c>
      <c r="F231" s="2">
        <v>15.3</v>
      </c>
      <c r="G231" t="s">
        <v>25</v>
      </c>
      <c r="H231" s="1">
        <v>45108</v>
      </c>
      <c r="I231" s="1">
        <v>45473</v>
      </c>
    </row>
    <row r="232" spans="1:9">
      <c r="A232" t="s">
        <v>1357</v>
      </c>
      <c r="B232" s="2">
        <v>15.4</v>
      </c>
      <c r="C232" t="s">
        <v>1884</v>
      </c>
      <c r="D232">
        <v>133</v>
      </c>
      <c r="E232" s="2">
        <v>12.5</v>
      </c>
      <c r="F232" s="2">
        <v>19.100000000000001</v>
      </c>
      <c r="G232" t="s">
        <v>25</v>
      </c>
      <c r="H232" s="1">
        <v>45108</v>
      </c>
      <c r="I232" s="1">
        <v>45473</v>
      </c>
    </row>
    <row r="233" spans="1:9">
      <c r="A233" t="s">
        <v>1362</v>
      </c>
      <c r="B233" s="2">
        <v>14.3</v>
      </c>
      <c r="C233" t="s">
        <v>1884</v>
      </c>
      <c r="D233">
        <v>261</v>
      </c>
      <c r="E233" s="2">
        <v>12.6</v>
      </c>
      <c r="F233" s="2">
        <v>16.399999999999999</v>
      </c>
      <c r="G233" t="s">
        <v>25</v>
      </c>
      <c r="H233" s="1">
        <v>45108</v>
      </c>
      <c r="I233" s="1">
        <v>45473</v>
      </c>
    </row>
    <row r="234" spans="1:9">
      <c r="A234" t="s">
        <v>1366</v>
      </c>
      <c r="B234" s="2">
        <v>14.4</v>
      </c>
      <c r="C234" t="s">
        <v>1884</v>
      </c>
      <c r="D234">
        <v>187</v>
      </c>
      <c r="E234" s="2">
        <v>11.8</v>
      </c>
      <c r="F234" s="2">
        <v>17.5</v>
      </c>
      <c r="G234" t="s">
        <v>25</v>
      </c>
      <c r="H234" s="1">
        <v>45108</v>
      </c>
      <c r="I234" s="1">
        <v>45473</v>
      </c>
    </row>
    <row r="235" spans="1:9">
      <c r="A235" t="s">
        <v>1372</v>
      </c>
      <c r="B235" s="2">
        <v>15</v>
      </c>
      <c r="C235" t="s">
        <v>1884</v>
      </c>
      <c r="D235">
        <v>438</v>
      </c>
      <c r="E235" s="2">
        <v>13.5</v>
      </c>
      <c r="F235" s="2">
        <v>16.600000000000001</v>
      </c>
      <c r="G235" t="s">
        <v>25</v>
      </c>
      <c r="H235" s="1">
        <v>45108</v>
      </c>
      <c r="I235" s="1">
        <v>45473</v>
      </c>
    </row>
    <row r="236" spans="1:9">
      <c r="A236" t="s">
        <v>1376</v>
      </c>
      <c r="B236" s="2">
        <v>14.9</v>
      </c>
      <c r="C236" t="s">
        <v>1884</v>
      </c>
      <c r="D236">
        <v>92</v>
      </c>
      <c r="E236" s="2">
        <v>12.6</v>
      </c>
      <c r="F236" s="2">
        <v>17.899999999999999</v>
      </c>
      <c r="G236" t="s">
        <v>25</v>
      </c>
      <c r="H236" s="1">
        <v>45108</v>
      </c>
      <c r="I236" s="1">
        <v>45473</v>
      </c>
    </row>
    <row r="237" spans="1:9">
      <c r="A237" t="s">
        <v>1381</v>
      </c>
      <c r="B237" s="2">
        <v>15.1</v>
      </c>
      <c r="C237" t="s">
        <v>1884</v>
      </c>
      <c r="D237">
        <v>2643</v>
      </c>
      <c r="E237" s="2">
        <v>14.2</v>
      </c>
      <c r="F237" s="2">
        <v>16.2</v>
      </c>
      <c r="G237" t="s">
        <v>25</v>
      </c>
      <c r="H237" s="1">
        <v>45108</v>
      </c>
      <c r="I237" s="1">
        <v>45473</v>
      </c>
    </row>
    <row r="238" spans="1:9">
      <c r="A238" t="s">
        <v>1386</v>
      </c>
      <c r="B238" s="2">
        <v>15</v>
      </c>
      <c r="C238" t="s">
        <v>1884</v>
      </c>
      <c r="D238">
        <v>143</v>
      </c>
      <c r="E238" s="2">
        <v>12.9</v>
      </c>
      <c r="F238" s="2">
        <v>17.399999999999999</v>
      </c>
      <c r="G238" t="s">
        <v>25</v>
      </c>
      <c r="H238" s="1">
        <v>45108</v>
      </c>
      <c r="I238" s="1">
        <v>45473</v>
      </c>
    </row>
    <row r="239" spans="1:9">
      <c r="A239" t="s">
        <v>1391</v>
      </c>
      <c r="B239" s="2">
        <v>16.3</v>
      </c>
      <c r="C239" t="s">
        <v>1884</v>
      </c>
      <c r="D239">
        <v>617</v>
      </c>
      <c r="E239" s="2">
        <v>14.9</v>
      </c>
      <c r="F239" s="2">
        <v>18</v>
      </c>
      <c r="G239" t="s">
        <v>25</v>
      </c>
      <c r="H239" s="1">
        <v>45108</v>
      </c>
      <c r="I239" s="1">
        <v>45473</v>
      </c>
    </row>
    <row r="240" spans="1:9">
      <c r="A240" t="s">
        <v>1397</v>
      </c>
      <c r="B240" s="2">
        <v>15.5</v>
      </c>
      <c r="C240" t="s">
        <v>1884</v>
      </c>
      <c r="D240">
        <v>2431</v>
      </c>
      <c r="E240" s="2">
        <v>14.5</v>
      </c>
      <c r="F240" s="2">
        <v>16.600000000000001</v>
      </c>
      <c r="G240" t="s">
        <v>25</v>
      </c>
      <c r="H240" s="1">
        <v>45108</v>
      </c>
      <c r="I240" s="1">
        <v>45473</v>
      </c>
    </row>
    <row r="241" spans="1:9">
      <c r="A241" t="s">
        <v>1403</v>
      </c>
      <c r="B241" s="2">
        <v>13.9</v>
      </c>
      <c r="C241" t="s">
        <v>1884</v>
      </c>
      <c r="D241">
        <v>883</v>
      </c>
      <c r="E241" s="2">
        <v>12.6</v>
      </c>
      <c r="F241" s="2">
        <v>15.4</v>
      </c>
      <c r="G241" t="s">
        <v>25</v>
      </c>
      <c r="H241" s="1">
        <v>45108</v>
      </c>
      <c r="I241" s="1">
        <v>45473</v>
      </c>
    </row>
    <row r="242" spans="1:9">
      <c r="A242" t="s">
        <v>1408</v>
      </c>
      <c r="B242" s="2">
        <v>14.9</v>
      </c>
      <c r="C242" t="s">
        <v>1884</v>
      </c>
      <c r="D242">
        <v>1630</v>
      </c>
      <c r="E242" s="2">
        <v>13.8</v>
      </c>
      <c r="F242" s="2">
        <v>16.2</v>
      </c>
      <c r="G242" t="s">
        <v>25</v>
      </c>
      <c r="H242" s="1">
        <v>45108</v>
      </c>
      <c r="I242" s="1">
        <v>45473</v>
      </c>
    </row>
    <row r="243" spans="1:9">
      <c r="A243" t="s">
        <v>1414</v>
      </c>
      <c r="B243" s="2">
        <v>14.9</v>
      </c>
      <c r="C243" t="s">
        <v>1884</v>
      </c>
      <c r="D243">
        <v>85</v>
      </c>
      <c r="E243" s="2">
        <v>13.1</v>
      </c>
      <c r="F243" s="2">
        <v>17</v>
      </c>
      <c r="G243" t="s">
        <v>25</v>
      </c>
      <c r="H243" s="1">
        <v>45108</v>
      </c>
      <c r="I243" s="1">
        <v>45473</v>
      </c>
    </row>
    <row r="244" spans="1:9">
      <c r="A244" t="s">
        <v>1420</v>
      </c>
      <c r="G244" t="s">
        <v>168</v>
      </c>
      <c r="H244" s="1">
        <v>45108</v>
      </c>
      <c r="I244" s="1">
        <v>45473</v>
      </c>
    </row>
    <row r="245" spans="1:9">
      <c r="A245" t="s">
        <v>1424</v>
      </c>
      <c r="B245" s="2">
        <v>15.3</v>
      </c>
      <c r="C245" t="s">
        <v>1884</v>
      </c>
      <c r="D245">
        <v>835</v>
      </c>
      <c r="E245" s="2">
        <v>14</v>
      </c>
      <c r="F245" s="2">
        <v>16.8</v>
      </c>
      <c r="G245" t="s">
        <v>25</v>
      </c>
      <c r="H245" s="1">
        <v>45108</v>
      </c>
      <c r="I245" s="1">
        <v>45473</v>
      </c>
    </row>
    <row r="246" spans="1:9">
      <c r="A246" t="s">
        <v>1431</v>
      </c>
      <c r="B246" s="2">
        <v>15.3</v>
      </c>
      <c r="C246" t="s">
        <v>1884</v>
      </c>
      <c r="D246">
        <v>40</v>
      </c>
      <c r="E246" s="2">
        <v>13.4</v>
      </c>
      <c r="F246" s="2">
        <v>17.600000000000001</v>
      </c>
      <c r="G246" t="s">
        <v>25</v>
      </c>
      <c r="H246" s="1">
        <v>45108</v>
      </c>
      <c r="I246" s="1">
        <v>45473</v>
      </c>
    </row>
    <row r="247" spans="1:9">
      <c r="A247" t="s">
        <v>1436</v>
      </c>
      <c r="B247" s="2">
        <v>15.9</v>
      </c>
      <c r="C247" t="s">
        <v>1884</v>
      </c>
      <c r="D247">
        <v>613</v>
      </c>
      <c r="E247" s="2">
        <v>14.4</v>
      </c>
      <c r="F247" s="2">
        <v>17.399999999999999</v>
      </c>
      <c r="G247" t="s">
        <v>25</v>
      </c>
      <c r="H247" s="1">
        <v>45108</v>
      </c>
      <c r="I247" s="1">
        <v>45473</v>
      </c>
    </row>
    <row r="248" spans="1:9">
      <c r="A248" t="s">
        <v>1441</v>
      </c>
      <c r="B248" s="2">
        <v>15.2</v>
      </c>
      <c r="C248" t="s">
        <v>1884</v>
      </c>
      <c r="D248">
        <v>335</v>
      </c>
      <c r="E248" s="2">
        <v>13.6</v>
      </c>
      <c r="F248" s="2">
        <v>16.8</v>
      </c>
      <c r="G248" t="s">
        <v>25</v>
      </c>
      <c r="H248" s="1">
        <v>45108</v>
      </c>
      <c r="I248" s="1">
        <v>45473</v>
      </c>
    </row>
    <row r="249" spans="1:9">
      <c r="A249" t="s">
        <v>1447</v>
      </c>
      <c r="G249" t="s">
        <v>322</v>
      </c>
      <c r="H249" s="1">
        <v>45108</v>
      </c>
      <c r="I249" s="1">
        <v>45473</v>
      </c>
    </row>
    <row r="250" spans="1:9">
      <c r="A250" t="s">
        <v>1453</v>
      </c>
      <c r="B250" s="2">
        <v>14.1</v>
      </c>
      <c r="C250" t="s">
        <v>1884</v>
      </c>
      <c r="D250">
        <v>629</v>
      </c>
      <c r="E250" s="2">
        <v>12.9</v>
      </c>
      <c r="F250" s="2">
        <v>15.8</v>
      </c>
      <c r="G250" t="s">
        <v>25</v>
      </c>
      <c r="H250" s="1">
        <v>45108</v>
      </c>
      <c r="I250" s="1">
        <v>45473</v>
      </c>
    </row>
    <row r="251" spans="1:9">
      <c r="A251" t="s">
        <v>1460</v>
      </c>
      <c r="G251" t="s">
        <v>322</v>
      </c>
      <c r="H251" s="1">
        <v>45108</v>
      </c>
      <c r="I251" s="1">
        <v>45473</v>
      </c>
    </row>
    <row r="252" spans="1:9">
      <c r="A252" t="s">
        <v>1464</v>
      </c>
      <c r="B252" s="2">
        <v>14.4</v>
      </c>
      <c r="C252" t="s">
        <v>1884</v>
      </c>
      <c r="D252">
        <v>136</v>
      </c>
      <c r="E252" s="2">
        <v>11.7</v>
      </c>
      <c r="F252" s="2">
        <v>17.7</v>
      </c>
      <c r="G252" t="s">
        <v>25</v>
      </c>
      <c r="H252" s="1">
        <v>45108</v>
      </c>
      <c r="I252" s="1">
        <v>45473</v>
      </c>
    </row>
    <row r="253" spans="1:9">
      <c r="A253" t="s">
        <v>1469</v>
      </c>
      <c r="G253" t="s">
        <v>168</v>
      </c>
      <c r="H253" s="1">
        <v>45108</v>
      </c>
      <c r="I253" s="1">
        <v>45473</v>
      </c>
    </row>
    <row r="254" spans="1:9">
      <c r="A254" t="s">
        <v>1473</v>
      </c>
      <c r="B254" s="2">
        <v>15.3</v>
      </c>
      <c r="C254" t="s">
        <v>1884</v>
      </c>
      <c r="D254">
        <v>683</v>
      </c>
      <c r="E254" s="2">
        <v>13.9</v>
      </c>
      <c r="F254" s="2">
        <v>16.899999999999999</v>
      </c>
      <c r="G254" t="s">
        <v>25</v>
      </c>
      <c r="H254" s="1">
        <v>45108</v>
      </c>
      <c r="I254" s="1">
        <v>45473</v>
      </c>
    </row>
    <row r="255" spans="1:9">
      <c r="A255" t="s">
        <v>1478</v>
      </c>
      <c r="G255" t="s">
        <v>168</v>
      </c>
      <c r="H255" s="1">
        <v>45108</v>
      </c>
      <c r="I255" s="1">
        <v>45473</v>
      </c>
    </row>
    <row r="256" spans="1:9">
      <c r="A256" t="s">
        <v>1484</v>
      </c>
      <c r="B256" s="2">
        <v>13.6</v>
      </c>
      <c r="C256" t="s">
        <v>1885</v>
      </c>
      <c r="D256">
        <v>3807</v>
      </c>
      <c r="E256" s="2">
        <v>12.8</v>
      </c>
      <c r="F256" s="2">
        <v>14.4</v>
      </c>
      <c r="G256" t="s">
        <v>25</v>
      </c>
      <c r="H256" s="1">
        <v>45108</v>
      </c>
      <c r="I256" s="1">
        <v>45473</v>
      </c>
    </row>
    <row r="257" spans="1:9">
      <c r="A257" t="s">
        <v>1489</v>
      </c>
      <c r="B257" s="2">
        <v>14.8</v>
      </c>
      <c r="C257" t="s">
        <v>1884</v>
      </c>
      <c r="D257">
        <v>40</v>
      </c>
      <c r="E257" s="2">
        <v>12.8</v>
      </c>
      <c r="F257" s="2">
        <v>17.3</v>
      </c>
      <c r="G257" t="s">
        <v>25</v>
      </c>
      <c r="H257" s="1">
        <v>45108</v>
      </c>
      <c r="I257" s="1">
        <v>45473</v>
      </c>
    </row>
    <row r="258" spans="1:9">
      <c r="A258" t="s">
        <v>1495</v>
      </c>
      <c r="G258" t="s">
        <v>1500</v>
      </c>
      <c r="H258" s="1">
        <v>45108</v>
      </c>
      <c r="I258" s="1">
        <v>45473</v>
      </c>
    </row>
    <row r="259" spans="1:9">
      <c r="A259" t="s">
        <v>1501</v>
      </c>
      <c r="B259" s="2">
        <v>14.8</v>
      </c>
      <c r="C259" t="s">
        <v>1884</v>
      </c>
      <c r="D259">
        <v>206</v>
      </c>
      <c r="E259" s="2">
        <v>13.3</v>
      </c>
      <c r="F259" s="2">
        <v>16.8</v>
      </c>
      <c r="G259" t="s">
        <v>25</v>
      </c>
      <c r="H259" s="1">
        <v>45108</v>
      </c>
      <c r="I259" s="1">
        <v>45473</v>
      </c>
    </row>
    <row r="260" spans="1:9">
      <c r="A260" t="s">
        <v>1507</v>
      </c>
      <c r="B260" s="2">
        <v>14.8</v>
      </c>
      <c r="C260" t="s">
        <v>1884</v>
      </c>
      <c r="D260">
        <v>56</v>
      </c>
      <c r="E260" s="2">
        <v>13.3</v>
      </c>
      <c r="F260" s="2">
        <v>16.899999999999999</v>
      </c>
      <c r="G260" t="s">
        <v>25</v>
      </c>
      <c r="H260" s="1">
        <v>45108</v>
      </c>
      <c r="I260" s="1">
        <v>45473</v>
      </c>
    </row>
    <row r="261" spans="1:9">
      <c r="A261" t="s">
        <v>1513</v>
      </c>
      <c r="B261" s="2">
        <v>15.1</v>
      </c>
      <c r="C261" t="s">
        <v>1884</v>
      </c>
      <c r="D261">
        <v>73</v>
      </c>
      <c r="E261" s="2">
        <v>13.5</v>
      </c>
      <c r="F261" s="2">
        <v>17</v>
      </c>
      <c r="G261" t="s">
        <v>25</v>
      </c>
      <c r="H261" s="1">
        <v>45108</v>
      </c>
      <c r="I261" s="1">
        <v>45473</v>
      </c>
    </row>
    <row r="262" spans="1:9">
      <c r="A262" t="s">
        <v>1517</v>
      </c>
      <c r="B262" s="2">
        <v>14.8</v>
      </c>
      <c r="C262" t="s">
        <v>1884</v>
      </c>
      <c r="D262">
        <v>37</v>
      </c>
      <c r="E262" s="2">
        <v>12.8</v>
      </c>
      <c r="F262" s="2">
        <v>17.100000000000001</v>
      </c>
      <c r="G262" t="s">
        <v>25</v>
      </c>
      <c r="H262" s="1">
        <v>45108</v>
      </c>
      <c r="I262" s="1">
        <v>45473</v>
      </c>
    </row>
    <row r="263" spans="1:9">
      <c r="A263" t="s">
        <v>1524</v>
      </c>
      <c r="G263" t="s">
        <v>322</v>
      </c>
      <c r="H263" s="1">
        <v>45108</v>
      </c>
      <c r="I263" s="1">
        <v>45473</v>
      </c>
    </row>
    <row r="264" spans="1:9">
      <c r="A264" t="s">
        <v>1529</v>
      </c>
      <c r="B264" s="2">
        <v>15.3</v>
      </c>
      <c r="C264" t="s">
        <v>1884</v>
      </c>
      <c r="D264">
        <v>140</v>
      </c>
      <c r="E264" s="2">
        <v>13.5</v>
      </c>
      <c r="F264" s="2">
        <v>17.3</v>
      </c>
      <c r="G264" t="s">
        <v>25</v>
      </c>
      <c r="H264" s="1">
        <v>45108</v>
      </c>
      <c r="I264" s="1">
        <v>45473</v>
      </c>
    </row>
    <row r="265" spans="1:9">
      <c r="A265" t="s">
        <v>1534</v>
      </c>
      <c r="B265" s="2">
        <v>15.2</v>
      </c>
      <c r="C265" t="s">
        <v>1884</v>
      </c>
      <c r="D265">
        <v>720</v>
      </c>
      <c r="E265" s="2">
        <v>13.8</v>
      </c>
      <c r="F265" s="2">
        <v>16.8</v>
      </c>
      <c r="G265" t="s">
        <v>25</v>
      </c>
      <c r="H265" s="1">
        <v>45108</v>
      </c>
      <c r="I265" s="1">
        <v>45473</v>
      </c>
    </row>
    <row r="266" spans="1:9">
      <c r="A266" t="s">
        <v>1539</v>
      </c>
      <c r="B266" s="2">
        <v>15.3</v>
      </c>
      <c r="C266" t="s">
        <v>1884</v>
      </c>
      <c r="D266">
        <v>86</v>
      </c>
      <c r="E266" s="2">
        <v>12.5</v>
      </c>
      <c r="F266" s="2">
        <v>18.899999999999999</v>
      </c>
      <c r="G266" t="s">
        <v>25</v>
      </c>
      <c r="H266" s="1">
        <v>45108</v>
      </c>
      <c r="I266" s="1">
        <v>45473</v>
      </c>
    </row>
    <row r="267" spans="1:9">
      <c r="A267" t="s">
        <v>1543</v>
      </c>
      <c r="G267" t="s">
        <v>322</v>
      </c>
      <c r="H267" s="1">
        <v>45108</v>
      </c>
      <c r="I267" s="1">
        <v>45473</v>
      </c>
    </row>
    <row r="268" spans="1:9">
      <c r="A268" t="s">
        <v>1547</v>
      </c>
      <c r="B268" s="2">
        <v>15</v>
      </c>
      <c r="C268" t="s">
        <v>1884</v>
      </c>
      <c r="D268">
        <v>33</v>
      </c>
      <c r="E268" s="2">
        <v>12.6</v>
      </c>
      <c r="F268" s="2">
        <v>18</v>
      </c>
      <c r="G268" t="s">
        <v>25</v>
      </c>
      <c r="H268" s="1">
        <v>45108</v>
      </c>
      <c r="I268" s="1">
        <v>45473</v>
      </c>
    </row>
    <row r="269" spans="1:9">
      <c r="A269" t="s">
        <v>1553</v>
      </c>
      <c r="G269" t="s">
        <v>322</v>
      </c>
      <c r="H269" s="1">
        <v>45108</v>
      </c>
      <c r="I269" s="1">
        <v>45473</v>
      </c>
    </row>
    <row r="270" spans="1:9">
      <c r="A270" t="s">
        <v>1557</v>
      </c>
      <c r="B270" s="2">
        <v>14.4</v>
      </c>
      <c r="C270" t="s">
        <v>1884</v>
      </c>
      <c r="D270">
        <v>273</v>
      </c>
      <c r="E270" s="2">
        <v>12.9</v>
      </c>
      <c r="F270" s="2">
        <v>16.2</v>
      </c>
      <c r="G270" t="s">
        <v>25</v>
      </c>
      <c r="H270" s="1">
        <v>45108</v>
      </c>
      <c r="I270" s="1">
        <v>45473</v>
      </c>
    </row>
    <row r="271" spans="1:9">
      <c r="A271" t="s">
        <v>1563</v>
      </c>
      <c r="B271" s="2">
        <v>15.3</v>
      </c>
      <c r="C271" t="s">
        <v>1884</v>
      </c>
      <c r="D271">
        <v>176</v>
      </c>
      <c r="E271" s="2">
        <v>13.8</v>
      </c>
      <c r="F271" s="2">
        <v>17</v>
      </c>
      <c r="G271" t="s">
        <v>25</v>
      </c>
      <c r="H271" s="1">
        <v>45108</v>
      </c>
      <c r="I271" s="1">
        <v>45473</v>
      </c>
    </row>
    <row r="272" spans="1:9">
      <c r="A272" t="s">
        <v>1567</v>
      </c>
      <c r="G272" t="s">
        <v>322</v>
      </c>
      <c r="H272" s="1">
        <v>45108</v>
      </c>
      <c r="I272" s="1">
        <v>45473</v>
      </c>
    </row>
    <row r="273" spans="1:9">
      <c r="A273" t="s">
        <v>1571</v>
      </c>
      <c r="G273" t="s">
        <v>322</v>
      </c>
      <c r="H273" s="1">
        <v>45108</v>
      </c>
      <c r="I273" s="1">
        <v>45473</v>
      </c>
    </row>
    <row r="274" spans="1:9">
      <c r="A274" t="s">
        <v>1576</v>
      </c>
      <c r="G274" t="s">
        <v>322</v>
      </c>
      <c r="H274" s="1">
        <v>45108</v>
      </c>
      <c r="I274" s="1">
        <v>45473</v>
      </c>
    </row>
    <row r="275" spans="1:9">
      <c r="A275" t="s">
        <v>1580</v>
      </c>
      <c r="G275" t="s">
        <v>322</v>
      </c>
      <c r="H275" s="1">
        <v>45108</v>
      </c>
      <c r="I275" s="1">
        <v>45473</v>
      </c>
    </row>
    <row r="276" spans="1:9">
      <c r="A276" t="s">
        <v>1584</v>
      </c>
      <c r="G276" t="s">
        <v>168</v>
      </c>
      <c r="H276" s="1">
        <v>45108</v>
      </c>
      <c r="I276" s="1">
        <v>45473</v>
      </c>
    </row>
    <row r="277" spans="1:9">
      <c r="A277" t="s">
        <v>1588</v>
      </c>
      <c r="G277" t="s">
        <v>1500</v>
      </c>
      <c r="H277" s="1">
        <v>45108</v>
      </c>
      <c r="I277" s="1">
        <v>45473</v>
      </c>
    </row>
    <row r="278" spans="1:9">
      <c r="A278" t="s">
        <v>1593</v>
      </c>
      <c r="G278" t="s">
        <v>168</v>
      </c>
      <c r="H278" s="1">
        <v>45108</v>
      </c>
      <c r="I278" s="1">
        <v>45473</v>
      </c>
    </row>
    <row r="279" spans="1:9">
      <c r="A279" t="s">
        <v>1599</v>
      </c>
      <c r="G279" t="s">
        <v>168</v>
      </c>
      <c r="H279" s="1">
        <v>45108</v>
      </c>
      <c r="I279" s="1">
        <v>45473</v>
      </c>
    </row>
    <row r="280" spans="1:9">
      <c r="A280" t="s">
        <v>1603</v>
      </c>
      <c r="G280" t="s">
        <v>168</v>
      </c>
      <c r="H280" s="1">
        <v>45108</v>
      </c>
      <c r="I280" s="1">
        <v>45473</v>
      </c>
    </row>
    <row r="281" spans="1:9">
      <c r="A281" t="s">
        <v>1607</v>
      </c>
      <c r="G281" t="s">
        <v>1500</v>
      </c>
      <c r="H281" s="1">
        <v>45108</v>
      </c>
      <c r="I281" s="1">
        <v>45473</v>
      </c>
    </row>
    <row r="282" spans="1:9">
      <c r="A282" t="s">
        <v>1612</v>
      </c>
      <c r="G282" t="s">
        <v>168</v>
      </c>
      <c r="H282" s="1">
        <v>45108</v>
      </c>
      <c r="I282" s="1">
        <v>45473</v>
      </c>
    </row>
    <row r="283" spans="1:9">
      <c r="A283" t="s">
        <v>1618</v>
      </c>
      <c r="G283" t="s">
        <v>168</v>
      </c>
      <c r="H283" s="1">
        <v>45108</v>
      </c>
      <c r="I283" s="1">
        <v>45473</v>
      </c>
    </row>
    <row r="284" spans="1:9">
      <c r="A284" t="s">
        <v>1624</v>
      </c>
      <c r="G284" t="s">
        <v>168</v>
      </c>
      <c r="H284" s="1">
        <v>45108</v>
      </c>
      <c r="I284" s="1">
        <v>45473</v>
      </c>
    </row>
    <row r="285" spans="1:9">
      <c r="A285" t="s">
        <v>1631</v>
      </c>
      <c r="G285" t="s">
        <v>168</v>
      </c>
      <c r="H285" s="1">
        <v>45108</v>
      </c>
      <c r="I285" s="1">
        <v>45473</v>
      </c>
    </row>
    <row r="286" spans="1:9">
      <c r="A286" t="s">
        <v>1635</v>
      </c>
      <c r="G286" t="s">
        <v>168</v>
      </c>
      <c r="H286" s="1">
        <v>45108</v>
      </c>
      <c r="I286" s="1">
        <v>45473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BB344-0342-45F5-9609-D600244115FB}">
  <dimension ref="A1:AS286"/>
  <sheetViews>
    <sheetView topLeftCell="P1" zoomScale="101" zoomScaleNormal="73" workbookViewId="0">
      <selection activeCell="AS3" sqref="AS3"/>
    </sheetView>
  </sheetViews>
  <sheetFormatPr defaultRowHeight="14.5"/>
  <cols>
    <col min="1" max="1" width="12.453125" bestFit="1" customWidth="1"/>
    <col min="2" max="2" width="55.26953125" bestFit="1" customWidth="1"/>
    <col min="3" max="3" width="39.36328125" bestFit="1" customWidth="1"/>
    <col min="4" max="4" width="20.81640625" bestFit="1" customWidth="1"/>
    <col min="5" max="5" width="8.26953125" bestFit="1" customWidth="1"/>
    <col min="6" max="6" width="11.54296875" bestFit="1" customWidth="1"/>
    <col min="7" max="7" width="14.36328125" bestFit="1" customWidth="1"/>
    <col min="8" max="8" width="19.6328125" bestFit="1" customWidth="1"/>
    <col min="9" max="9" width="18" bestFit="1" customWidth="1"/>
    <col min="10" max="10" width="35.7265625" bestFit="1" customWidth="1"/>
    <col min="11" max="11" width="20.90625" bestFit="1" customWidth="1"/>
    <col min="12" max="12" width="15.6328125" bestFit="1" customWidth="1"/>
    <col min="13" max="13" width="20.1796875" bestFit="1" customWidth="1"/>
    <col min="14" max="14" width="23.90625" bestFit="1" customWidth="1"/>
    <col min="15" max="15" width="26.36328125" style="2" bestFit="1" customWidth="1"/>
    <col min="16" max="16" width="27.08984375" style="2" bestFit="1" customWidth="1"/>
    <col min="17" max="17" width="29.26953125" style="2" bestFit="1" customWidth="1"/>
    <col min="18" max="18" width="19.54296875" style="2" bestFit="1" customWidth="1"/>
    <col min="19" max="19" width="24.90625" style="2" bestFit="1" customWidth="1"/>
    <col min="20" max="20" width="26.7265625" style="2" bestFit="1" customWidth="1"/>
    <col min="21" max="21" width="24.6328125" bestFit="1" customWidth="1"/>
    <col min="22" max="22" width="26.36328125" style="2" bestFit="1" customWidth="1"/>
    <col min="23" max="23" width="20.6328125" bestFit="1" customWidth="1"/>
    <col min="24" max="24" width="19.54296875" bestFit="1" customWidth="1"/>
    <col min="25" max="25" width="22.6328125" style="2" bestFit="1" customWidth="1"/>
    <col min="26" max="26" width="25.36328125" bestFit="1" customWidth="1"/>
    <col min="27" max="27" width="26.08984375" bestFit="1" customWidth="1"/>
    <col min="28" max="28" width="28.453125" style="2" bestFit="1" customWidth="1"/>
    <col min="29" max="29" width="28.81640625" style="2" bestFit="1" customWidth="1"/>
    <col min="30" max="30" width="22.6328125" bestFit="1" customWidth="1"/>
    <col min="31" max="31" width="24" bestFit="1" customWidth="1"/>
    <col min="32" max="32" width="23" bestFit="1" customWidth="1"/>
    <col min="33" max="33" width="24.26953125" bestFit="1" customWidth="1"/>
    <col min="34" max="34" width="19.36328125" bestFit="1" customWidth="1"/>
    <col min="35" max="35" width="22.90625" bestFit="1" customWidth="1"/>
    <col min="36" max="36" width="14.6328125" bestFit="1" customWidth="1"/>
    <col min="37" max="37" width="17.26953125" bestFit="1" customWidth="1"/>
    <col min="38" max="38" width="34.1796875" bestFit="1" customWidth="1"/>
    <col min="39" max="39" width="24.7265625" bestFit="1" customWidth="1"/>
    <col min="40" max="40" width="23.90625" bestFit="1" customWidth="1"/>
    <col min="41" max="41" width="23.6328125" bestFit="1" customWidth="1"/>
    <col min="42" max="42" width="15.36328125" bestFit="1" customWidth="1"/>
    <col min="43" max="43" width="26.08984375" bestFit="1" customWidth="1"/>
    <col min="44" max="44" width="26.6328125" style="2" bestFit="1" customWidth="1"/>
    <col min="45" max="45" width="26.7265625" style="2" bestFit="1" customWidth="1"/>
  </cols>
  <sheetData>
    <row r="1" spans="1:45">
      <c r="A1" t="s">
        <v>0</v>
      </c>
      <c r="B1" t="s">
        <v>1</v>
      </c>
      <c r="C1" t="s">
        <v>2</v>
      </c>
      <c r="D1" t="s">
        <v>3</v>
      </c>
      <c r="E1" t="s">
        <v>4</v>
      </c>
      <c r="F1" t="s">
        <v>5</v>
      </c>
      <c r="G1" t="s">
        <v>6</v>
      </c>
      <c r="H1" t="s">
        <v>7</v>
      </c>
      <c r="I1" t="s">
        <v>8</v>
      </c>
      <c r="J1" t="s">
        <v>9</v>
      </c>
      <c r="K1" t="s">
        <v>10</v>
      </c>
      <c r="L1" t="s">
        <v>11</v>
      </c>
      <c r="M1" t="s">
        <v>12</v>
      </c>
      <c r="N1" t="s">
        <v>13</v>
      </c>
      <c r="O1" s="2" t="s">
        <v>1639</v>
      </c>
      <c r="P1" s="2" t="s">
        <v>1640</v>
      </c>
      <c r="Q1" s="2" t="s">
        <v>1641</v>
      </c>
      <c r="R1" s="2" t="s">
        <v>1642</v>
      </c>
      <c r="S1" s="2" t="s">
        <v>1643</v>
      </c>
      <c r="T1" s="2" t="s">
        <v>1644</v>
      </c>
      <c r="U1" t="s">
        <v>1645</v>
      </c>
      <c r="V1" s="2" t="s">
        <v>1646</v>
      </c>
      <c r="W1" t="s">
        <v>1647</v>
      </c>
      <c r="X1" t="s">
        <v>1648</v>
      </c>
      <c r="Y1" s="2" t="s">
        <v>1876</v>
      </c>
      <c r="Z1" t="s">
        <v>1877</v>
      </c>
      <c r="AA1" t="s">
        <v>1878</v>
      </c>
      <c r="AB1" s="2" t="s">
        <v>1879</v>
      </c>
      <c r="AC1" s="2" t="s">
        <v>1880</v>
      </c>
      <c r="AD1" t="s">
        <v>1881</v>
      </c>
      <c r="AE1" t="s">
        <v>1882</v>
      </c>
      <c r="AF1" t="s">
        <v>1883</v>
      </c>
      <c r="AG1" t="s">
        <v>1887</v>
      </c>
      <c r="AH1" t="s">
        <v>1888</v>
      </c>
      <c r="AI1" t="s">
        <v>1889</v>
      </c>
      <c r="AJ1" t="s">
        <v>1896</v>
      </c>
      <c r="AK1" t="s">
        <v>1897</v>
      </c>
      <c r="AL1" t="s">
        <v>1898</v>
      </c>
      <c r="AM1" t="s">
        <v>1899</v>
      </c>
      <c r="AN1" t="s">
        <v>1900</v>
      </c>
      <c r="AO1" t="s">
        <v>1901</v>
      </c>
      <c r="AP1" t="s">
        <v>1902</v>
      </c>
      <c r="AQ1" t="s">
        <v>1903</v>
      </c>
      <c r="AR1" s="2" t="s">
        <v>1904</v>
      </c>
      <c r="AS1" s="2" t="s">
        <v>1905</v>
      </c>
    </row>
    <row r="2" spans="1:45">
      <c r="A2" t="s">
        <v>14</v>
      </c>
      <c r="B2" t="s">
        <v>15</v>
      </c>
      <c r="C2" t="s">
        <v>16</v>
      </c>
      <c r="D2" t="s">
        <v>17</v>
      </c>
      <c r="E2" t="s">
        <v>18</v>
      </c>
      <c r="F2" t="s">
        <v>19</v>
      </c>
      <c r="G2" t="s">
        <v>17</v>
      </c>
      <c r="H2" t="s">
        <v>20</v>
      </c>
      <c r="I2" t="s">
        <v>21</v>
      </c>
      <c r="J2" t="s">
        <v>22</v>
      </c>
      <c r="K2" t="s">
        <v>23</v>
      </c>
      <c r="L2">
        <v>2</v>
      </c>
      <c r="M2" t="s">
        <v>24</v>
      </c>
      <c r="N2" t="s">
        <v>25</v>
      </c>
      <c r="O2" s="2">
        <v>64</v>
      </c>
      <c r="P2" s="2">
        <v>68</v>
      </c>
      <c r="Q2" s="2">
        <v>54</v>
      </c>
      <c r="R2" s="2">
        <v>82</v>
      </c>
      <c r="S2" s="2">
        <v>52</v>
      </c>
      <c r="T2" s="2">
        <v>54</v>
      </c>
      <c r="U2" t="s">
        <v>1649</v>
      </c>
      <c r="V2" s="2">
        <v>10</v>
      </c>
      <c r="W2" s="1">
        <v>45474</v>
      </c>
      <c r="X2" s="1">
        <v>45838</v>
      </c>
      <c r="Y2" s="2">
        <v>15.3</v>
      </c>
      <c r="Z2" t="s">
        <v>1884</v>
      </c>
      <c r="AA2">
        <v>628</v>
      </c>
      <c r="AB2" s="2">
        <v>13.9</v>
      </c>
      <c r="AC2" s="2">
        <v>17</v>
      </c>
      <c r="AD2" t="s">
        <v>25</v>
      </c>
      <c r="AE2" s="1">
        <v>45108</v>
      </c>
      <c r="AF2" s="1">
        <v>45473</v>
      </c>
      <c r="AG2" t="b">
        <v>1</v>
      </c>
      <c r="AH2" t="b">
        <v>1</v>
      </c>
      <c r="AI2" t="b">
        <v>1</v>
      </c>
      <c r="AJ2" t="str">
        <f>IF(tblMergedCleaned[[#This Row],[Overall_Rating]]=
    "",
    "Unavailable",
    IF(tblMergedCleaned[[#This Row],[Overall_Rating]]&lt;=
        2,
        "Low (1-2)",
        IF(tblMergedCleaned[[#This Row],[Overall_Rating]]=
            3,
            "Middle (3)",
            "High (4-5)"
        )
    )
)</f>
        <v>Low (1-2)</v>
      </c>
      <c r="AK2" cm="1">
        <f t="array" ref="AK2">IF(
    tblMergedCleaned[[#This Row],[Overall_Rating]]="",
    "",
    --(tblMergedCleaned[[#This Row],[Overall_Rating]]&lt;=2)
)</f>
        <v>1</v>
      </c>
      <c r="AL2">
        <f>IF(
    tblMergedCleaned[[#This Row],[Definitely_Recommend_Pct]]="",
    "",
    --(tblMergedCleaned[[#This Row],[Definitely_Recommend_Pct]]&lt;TX_Median_Recommend)
)</f>
        <v>1</v>
      </c>
      <c r="AM2">
        <f>IF(
    tblMergedCleaned[[#This Row],[Readmission_Comparison]]="",
    "",
    --(tblMergedCleaned[[#This Row],[Readmission_Comparison]]="Worse")
)</f>
        <v>0</v>
      </c>
      <c r="AN2">
        <f>COUNT(
    tblMergedCleaned[[#This Row],[Low_Rating_Flag]:[Worse_Readmission_Flag]]
)</f>
        <v>3</v>
      </c>
      <c r="AO2">
        <f>SUM(
    tblMergedCleaned[[#This Row],[Low_Rating_Flag]:[Worse_Readmission_Flag]]
)</f>
        <v>2</v>
      </c>
      <c r="AP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 s="2">
        <f>IF(
    tblMergedCleaned[[#This Row],[Definitely_Recommend_Pct]]="",
    "",
    tblMergedCleaned[[#This Row],[Definitely_Recommend_Pct]]-TX_Median_Recommend
)</f>
        <v>-17</v>
      </c>
      <c r="AS2" s="2">
        <f>IF(
    tblMergedCleaned[[#This Row],[Readmission_Rate_Pct]]="",
    "",
    tblMergedCleaned[[#This Row],[Readmission_Rate_Pct]]-TX_Median_Readmission
)</f>
        <v>0.40000000000000036</v>
      </c>
    </row>
    <row r="3" spans="1:45">
      <c r="A3" t="s">
        <v>26</v>
      </c>
      <c r="B3" t="s">
        <v>27</v>
      </c>
      <c r="C3" t="s">
        <v>28</v>
      </c>
      <c r="D3" t="s">
        <v>29</v>
      </c>
      <c r="E3" t="s">
        <v>18</v>
      </c>
      <c r="F3" t="s">
        <v>30</v>
      </c>
      <c r="G3" t="s">
        <v>31</v>
      </c>
      <c r="H3" t="s">
        <v>32</v>
      </c>
      <c r="I3" t="s">
        <v>21</v>
      </c>
      <c r="J3" t="s">
        <v>33</v>
      </c>
      <c r="K3" t="s">
        <v>23</v>
      </c>
      <c r="L3">
        <v>4</v>
      </c>
      <c r="M3" t="s">
        <v>34</v>
      </c>
      <c r="N3" t="s">
        <v>25</v>
      </c>
      <c r="O3" s="2">
        <v>81</v>
      </c>
      <c r="P3" s="2">
        <v>78</v>
      </c>
      <c r="Q3" s="2">
        <v>64</v>
      </c>
      <c r="R3" s="2">
        <v>91</v>
      </c>
      <c r="S3" s="2">
        <v>81</v>
      </c>
      <c r="T3" s="2">
        <v>80</v>
      </c>
      <c r="U3" t="s">
        <v>1650</v>
      </c>
      <c r="V3" s="2">
        <v>22</v>
      </c>
      <c r="W3" s="1">
        <v>45474</v>
      </c>
      <c r="X3" s="1">
        <v>45838</v>
      </c>
      <c r="Y3" s="2">
        <v>15</v>
      </c>
      <c r="Z3" t="s">
        <v>1884</v>
      </c>
      <c r="AA3">
        <v>1340</v>
      </c>
      <c r="AB3" s="2">
        <v>13.7</v>
      </c>
      <c r="AC3" s="2">
        <v>16.399999999999999</v>
      </c>
      <c r="AD3" t="s">
        <v>25</v>
      </c>
      <c r="AE3" s="1">
        <v>45108</v>
      </c>
      <c r="AF3" s="1">
        <v>45473</v>
      </c>
      <c r="AG3" t="b">
        <v>1</v>
      </c>
      <c r="AH3" t="b">
        <v>1</v>
      </c>
      <c r="AI3" t="b">
        <v>1</v>
      </c>
      <c r="AJ3" t="str">
        <f>IF(tblMergedCleaned[[#This Row],[Overall_Rating]]=
    "",
    "Unavailable",
    IF(tblMergedCleaned[[#This Row],[Overall_Rating]]&lt;=
        2,
        "Low (1-2)",
        IF(tblMergedCleaned[[#This Row],[Overall_Rating]]=
            3,
            "Middle (3)",
            "High (4-5)"
        )
    )
)</f>
        <v>High (4-5)</v>
      </c>
      <c r="AK3" cm="1">
        <f t="array" ref="AK3">IF(
    tblMergedCleaned[[#This Row],[Overall_Rating]]="",
    "",
    --(tblMergedCleaned[[#This Row],[Overall_Rating]]&lt;=2)
)</f>
        <v>0</v>
      </c>
      <c r="AL3">
        <f>IF(
    tblMergedCleaned[[#This Row],[Definitely_Recommend_Pct]]="",
    "",
    --(tblMergedCleaned[[#This Row],[Definitely_Recommend_Pct]]&lt;TX_Median_Recommend)
)</f>
        <v>0</v>
      </c>
      <c r="AM3">
        <f>IF(
    tblMergedCleaned[[#This Row],[Readmission_Comparison]]="",
    "",
    --(tblMergedCleaned[[#This Row],[Readmission_Comparison]]="Worse")
)</f>
        <v>0</v>
      </c>
      <c r="AN3">
        <f>COUNT(
    tblMergedCleaned[[#This Row],[Low_Rating_Flag]:[Worse_Readmission_Flag]]
)</f>
        <v>3</v>
      </c>
      <c r="AO3">
        <f>SUM(
    tblMergedCleaned[[#This Row],[Low_Rating_Flag]:[Worse_Readmission_Flag]]
)</f>
        <v>0</v>
      </c>
      <c r="AP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3" s="2">
        <f>IF(
    tblMergedCleaned[[#This Row],[Definitely_Recommend_Pct]]="",
    "",
    tblMergedCleaned[[#This Row],[Definitely_Recommend_Pct]]-TX_Median_Recommend
)</f>
        <v>9</v>
      </c>
      <c r="AS3" s="2">
        <f>IF(
    tblMergedCleaned[[#This Row],[Readmission_Rate_Pct]]="",
    "",
    tblMergedCleaned[[#This Row],[Readmission_Rate_Pct]]-TX_Median_Readmission
)</f>
        <v>9.9999999999999645E-2</v>
      </c>
    </row>
    <row r="4" spans="1:45">
      <c r="A4" t="s">
        <v>35</v>
      </c>
      <c r="B4" t="s">
        <v>36</v>
      </c>
      <c r="C4" t="s">
        <v>37</v>
      </c>
      <c r="D4" t="s">
        <v>38</v>
      </c>
      <c r="E4" t="s">
        <v>18</v>
      </c>
      <c r="F4" t="s">
        <v>39</v>
      </c>
      <c r="G4" t="s">
        <v>40</v>
      </c>
      <c r="H4" t="s">
        <v>41</v>
      </c>
      <c r="I4" t="s">
        <v>21</v>
      </c>
      <c r="J4" t="s">
        <v>33</v>
      </c>
      <c r="K4" t="s">
        <v>23</v>
      </c>
      <c r="L4">
        <v>3</v>
      </c>
      <c r="M4" t="s">
        <v>42</v>
      </c>
      <c r="N4" t="s">
        <v>25</v>
      </c>
      <c r="O4" s="2">
        <v>79</v>
      </c>
      <c r="P4" s="2">
        <v>75</v>
      </c>
      <c r="Q4" s="2">
        <v>58</v>
      </c>
      <c r="R4" s="2">
        <v>87</v>
      </c>
      <c r="S4" s="2">
        <v>71</v>
      </c>
      <c r="T4" s="2">
        <v>71</v>
      </c>
      <c r="U4" t="s">
        <v>1651</v>
      </c>
      <c r="V4" s="2">
        <v>20</v>
      </c>
      <c r="W4" s="1">
        <v>45474</v>
      </c>
      <c r="X4" s="1">
        <v>45838</v>
      </c>
      <c r="Y4" s="2">
        <v>15.6</v>
      </c>
      <c r="Z4" t="s">
        <v>1884</v>
      </c>
      <c r="AA4">
        <v>3943</v>
      </c>
      <c r="AB4" s="2">
        <v>14.7</v>
      </c>
      <c r="AC4" s="2">
        <v>16.399999999999999</v>
      </c>
      <c r="AD4" t="s">
        <v>25</v>
      </c>
      <c r="AE4" s="1">
        <v>45108</v>
      </c>
      <c r="AF4" s="1">
        <v>45473</v>
      </c>
      <c r="AG4" t="b">
        <v>1</v>
      </c>
      <c r="AH4" t="b">
        <v>1</v>
      </c>
      <c r="AI4" t="b">
        <v>1</v>
      </c>
      <c r="AJ4" t="str">
        <f>IF(tblMergedCleaned[[#This Row],[Overall_Rating]]=
    "",
    "Unavailable",
    IF(tblMergedCleaned[[#This Row],[Overall_Rating]]&lt;=
        2,
        "Low (1-2)",
        IF(tblMergedCleaned[[#This Row],[Overall_Rating]]=
            3,
            "Middle (3)",
            "High (4-5)"
        )
    )
)</f>
        <v>Middle (3)</v>
      </c>
      <c r="AK4" cm="1">
        <f t="array" ref="AK4">IF(
    tblMergedCleaned[[#This Row],[Overall_Rating]]="",
    "",
    --(tblMergedCleaned[[#This Row],[Overall_Rating]]&lt;=2)
)</f>
        <v>0</v>
      </c>
      <c r="AL4">
        <f>IF(
    tblMergedCleaned[[#This Row],[Definitely_Recommend_Pct]]="",
    "",
    --(tblMergedCleaned[[#This Row],[Definitely_Recommend_Pct]]&lt;TX_Median_Recommend)
)</f>
        <v>0</v>
      </c>
      <c r="AM4">
        <f>IF(
    tblMergedCleaned[[#This Row],[Readmission_Comparison]]="",
    "",
    --(tblMergedCleaned[[#This Row],[Readmission_Comparison]]="Worse")
)</f>
        <v>0</v>
      </c>
      <c r="AN4">
        <f>COUNT(
    tblMergedCleaned[[#This Row],[Low_Rating_Flag]:[Worse_Readmission_Flag]]
)</f>
        <v>3</v>
      </c>
      <c r="AO4">
        <f>SUM(
    tblMergedCleaned[[#This Row],[Low_Rating_Flag]:[Worse_Readmission_Flag]]
)</f>
        <v>0</v>
      </c>
      <c r="AP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4" s="2">
        <f>IF(
    tblMergedCleaned[[#This Row],[Definitely_Recommend_Pct]]="",
    "",
    tblMergedCleaned[[#This Row],[Definitely_Recommend_Pct]]-TX_Median_Recommend
)</f>
        <v>0</v>
      </c>
      <c r="AS4" s="2">
        <f>IF(
    tblMergedCleaned[[#This Row],[Readmission_Rate_Pct]]="",
    "",
    tblMergedCleaned[[#This Row],[Readmission_Rate_Pct]]-TX_Median_Readmission
)</f>
        <v>0.69999999999999929</v>
      </c>
    </row>
    <row r="5" spans="1:45">
      <c r="A5" t="s">
        <v>43</v>
      </c>
      <c r="B5" t="s">
        <v>44</v>
      </c>
      <c r="C5" t="s">
        <v>45</v>
      </c>
      <c r="D5" t="s">
        <v>46</v>
      </c>
      <c r="E5" t="s">
        <v>18</v>
      </c>
      <c r="F5" t="s">
        <v>47</v>
      </c>
      <c r="G5" t="s">
        <v>48</v>
      </c>
      <c r="H5" t="s">
        <v>49</v>
      </c>
      <c r="I5" t="s">
        <v>21</v>
      </c>
      <c r="J5" t="s">
        <v>33</v>
      </c>
      <c r="K5" t="s">
        <v>23</v>
      </c>
      <c r="L5">
        <v>2</v>
      </c>
      <c r="M5" t="s">
        <v>24</v>
      </c>
      <c r="N5" t="s">
        <v>25</v>
      </c>
      <c r="O5" s="2">
        <v>77</v>
      </c>
      <c r="P5" s="2">
        <v>77</v>
      </c>
      <c r="Q5" s="2">
        <v>61</v>
      </c>
      <c r="R5" s="2">
        <v>83</v>
      </c>
      <c r="S5" s="2">
        <v>66</v>
      </c>
      <c r="T5" s="2">
        <v>66</v>
      </c>
      <c r="U5" t="s">
        <v>1652</v>
      </c>
      <c r="V5" s="2">
        <v>13</v>
      </c>
      <c r="W5" s="1">
        <v>45474</v>
      </c>
      <c r="X5" s="1">
        <v>45838</v>
      </c>
      <c r="Y5" s="2">
        <v>14.9</v>
      </c>
      <c r="Z5" t="s">
        <v>1884</v>
      </c>
      <c r="AA5">
        <v>2792</v>
      </c>
      <c r="AB5" s="2">
        <v>13.9</v>
      </c>
      <c r="AC5" s="2">
        <v>15.9</v>
      </c>
      <c r="AD5" t="s">
        <v>25</v>
      </c>
      <c r="AE5" s="1">
        <v>45108</v>
      </c>
      <c r="AF5" s="1">
        <v>45473</v>
      </c>
      <c r="AG5" t="b">
        <v>1</v>
      </c>
      <c r="AH5" t="b">
        <v>1</v>
      </c>
      <c r="AI5" t="b">
        <v>1</v>
      </c>
      <c r="AJ5" t="str">
        <f>IF(tblMergedCleaned[[#This Row],[Overall_Rating]]=
    "",
    "Unavailable",
    IF(tblMergedCleaned[[#This Row],[Overall_Rating]]&lt;=
        2,
        "Low (1-2)",
        IF(tblMergedCleaned[[#This Row],[Overall_Rating]]=
            3,
            "Middle (3)",
            "High (4-5)"
        )
    )
)</f>
        <v>Low (1-2)</v>
      </c>
      <c r="AK5" cm="1">
        <f t="array" ref="AK5">IF(
    tblMergedCleaned[[#This Row],[Overall_Rating]]="",
    "",
    --(tblMergedCleaned[[#This Row],[Overall_Rating]]&lt;=2)
)</f>
        <v>1</v>
      </c>
      <c r="AL5">
        <f>IF(
    tblMergedCleaned[[#This Row],[Definitely_Recommend_Pct]]="",
    "",
    --(tblMergedCleaned[[#This Row],[Definitely_Recommend_Pct]]&lt;TX_Median_Recommend)
)</f>
        <v>1</v>
      </c>
      <c r="AM5">
        <f>IF(
    tblMergedCleaned[[#This Row],[Readmission_Comparison]]="",
    "",
    --(tblMergedCleaned[[#This Row],[Readmission_Comparison]]="Worse")
)</f>
        <v>0</v>
      </c>
      <c r="AN5">
        <f>COUNT(
    tblMergedCleaned[[#This Row],[Low_Rating_Flag]:[Worse_Readmission_Flag]]
)</f>
        <v>3</v>
      </c>
      <c r="AO5">
        <f>SUM(
    tblMergedCleaned[[#This Row],[Low_Rating_Flag]:[Worse_Readmission_Flag]]
)</f>
        <v>2</v>
      </c>
      <c r="AP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5" s="2">
        <f>IF(
    tblMergedCleaned[[#This Row],[Definitely_Recommend_Pct]]="",
    "",
    tblMergedCleaned[[#This Row],[Definitely_Recommend_Pct]]-TX_Median_Recommend
)</f>
        <v>-5</v>
      </c>
      <c r="AS5" s="2">
        <f>IF(
    tblMergedCleaned[[#This Row],[Readmission_Rate_Pct]]="",
    "",
    tblMergedCleaned[[#This Row],[Readmission_Rate_Pct]]-TX_Median_Readmission
)</f>
        <v>0</v>
      </c>
    </row>
    <row r="6" spans="1:45">
      <c r="A6" t="s">
        <v>50</v>
      </c>
      <c r="B6" t="s">
        <v>51</v>
      </c>
      <c r="C6" t="s">
        <v>52</v>
      </c>
      <c r="D6" t="s">
        <v>53</v>
      </c>
      <c r="E6" t="s">
        <v>18</v>
      </c>
      <c r="F6" t="s">
        <v>54</v>
      </c>
      <c r="G6" t="s">
        <v>53</v>
      </c>
      <c r="H6" t="s">
        <v>55</v>
      </c>
      <c r="I6" t="s">
        <v>21</v>
      </c>
      <c r="J6" t="s">
        <v>56</v>
      </c>
      <c r="K6" t="s">
        <v>23</v>
      </c>
      <c r="L6">
        <v>3</v>
      </c>
      <c r="M6" t="s">
        <v>42</v>
      </c>
      <c r="N6" t="s">
        <v>25</v>
      </c>
      <c r="O6" s="2">
        <v>73</v>
      </c>
      <c r="P6" s="2">
        <v>76</v>
      </c>
      <c r="Q6" s="2">
        <v>56</v>
      </c>
      <c r="R6" s="2">
        <v>85</v>
      </c>
      <c r="S6" s="2">
        <v>70</v>
      </c>
      <c r="T6" s="2">
        <v>70</v>
      </c>
      <c r="U6" t="s">
        <v>1653</v>
      </c>
      <c r="V6" s="2">
        <v>6</v>
      </c>
      <c r="W6" s="1">
        <v>45474</v>
      </c>
      <c r="X6" s="1">
        <v>45838</v>
      </c>
      <c r="Y6" s="2">
        <v>14.7</v>
      </c>
      <c r="Z6" t="s">
        <v>1884</v>
      </c>
      <c r="AA6">
        <v>893</v>
      </c>
      <c r="AB6" s="2">
        <v>13.5</v>
      </c>
      <c r="AC6" s="2">
        <v>16.100000000000001</v>
      </c>
      <c r="AD6" t="s">
        <v>25</v>
      </c>
      <c r="AE6" s="1">
        <v>45108</v>
      </c>
      <c r="AF6" s="1">
        <v>45473</v>
      </c>
      <c r="AG6" t="b">
        <v>1</v>
      </c>
      <c r="AH6" t="b">
        <v>1</v>
      </c>
      <c r="AI6" t="b">
        <v>1</v>
      </c>
      <c r="AJ6" t="str">
        <f>IF(tblMergedCleaned[[#This Row],[Overall_Rating]]=
    "",
    "Unavailable",
    IF(tblMergedCleaned[[#This Row],[Overall_Rating]]&lt;=
        2,
        "Low (1-2)",
        IF(tblMergedCleaned[[#This Row],[Overall_Rating]]=
            3,
            "Middle (3)",
            "High (4-5)"
        )
    )
)</f>
        <v>Middle (3)</v>
      </c>
      <c r="AK6" cm="1">
        <f t="array" ref="AK6">IF(
    tblMergedCleaned[[#This Row],[Overall_Rating]]="",
    "",
    --(tblMergedCleaned[[#This Row],[Overall_Rating]]&lt;=2)
)</f>
        <v>0</v>
      </c>
      <c r="AL6">
        <f>IF(
    tblMergedCleaned[[#This Row],[Definitely_Recommend_Pct]]="",
    "",
    --(tblMergedCleaned[[#This Row],[Definitely_Recommend_Pct]]&lt;TX_Median_Recommend)
)</f>
        <v>1</v>
      </c>
      <c r="AM6">
        <f>IF(
    tblMergedCleaned[[#This Row],[Readmission_Comparison]]="",
    "",
    --(tblMergedCleaned[[#This Row],[Readmission_Comparison]]="Worse")
)</f>
        <v>0</v>
      </c>
      <c r="AN6">
        <f>COUNT(
    tblMergedCleaned[[#This Row],[Low_Rating_Flag]:[Worse_Readmission_Flag]]
)</f>
        <v>3</v>
      </c>
      <c r="AO6">
        <f>SUM(
    tblMergedCleaned[[#This Row],[Low_Rating_Flag]:[Worse_Readmission_Flag]]
)</f>
        <v>1</v>
      </c>
      <c r="AP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6" s="2">
        <f>IF(
    tblMergedCleaned[[#This Row],[Definitely_Recommend_Pct]]="",
    "",
    tblMergedCleaned[[#This Row],[Definitely_Recommend_Pct]]-TX_Median_Recommend
)</f>
        <v>-1</v>
      </c>
      <c r="AS6" s="2">
        <f>IF(
    tblMergedCleaned[[#This Row],[Readmission_Rate_Pct]]="",
    "",
    tblMergedCleaned[[#This Row],[Readmission_Rate_Pct]]-TX_Median_Readmission
)</f>
        <v>-0.20000000000000107</v>
      </c>
    </row>
    <row r="7" spans="1:45">
      <c r="A7" t="s">
        <v>57</v>
      </c>
      <c r="B7" t="s">
        <v>58</v>
      </c>
      <c r="C7" t="s">
        <v>59</v>
      </c>
      <c r="D7" t="s">
        <v>60</v>
      </c>
      <c r="E7" t="s">
        <v>18</v>
      </c>
      <c r="F7" t="s">
        <v>61</v>
      </c>
      <c r="G7" t="s">
        <v>60</v>
      </c>
      <c r="H7" t="s">
        <v>62</v>
      </c>
      <c r="I7" t="s">
        <v>21</v>
      </c>
      <c r="J7" t="s">
        <v>63</v>
      </c>
      <c r="K7" t="s">
        <v>23</v>
      </c>
      <c r="L7">
        <v>3</v>
      </c>
      <c r="M7" t="s">
        <v>42</v>
      </c>
      <c r="N7" t="s">
        <v>25</v>
      </c>
      <c r="O7" s="2">
        <v>77</v>
      </c>
      <c r="P7" s="2">
        <v>76</v>
      </c>
      <c r="Q7" s="2">
        <v>61</v>
      </c>
      <c r="R7" s="2">
        <v>85</v>
      </c>
      <c r="S7" s="2">
        <v>74</v>
      </c>
      <c r="T7" s="2">
        <v>72</v>
      </c>
      <c r="U7" t="s">
        <v>1654</v>
      </c>
      <c r="V7" s="2">
        <v>11</v>
      </c>
      <c r="W7" s="1">
        <v>45474</v>
      </c>
      <c r="X7" s="1">
        <v>45838</v>
      </c>
      <c r="Y7" s="2">
        <v>16</v>
      </c>
      <c r="Z7" t="s">
        <v>1884</v>
      </c>
      <c r="AA7">
        <v>3474</v>
      </c>
      <c r="AB7" s="2">
        <v>15</v>
      </c>
      <c r="AC7" s="2">
        <v>16.899999999999999</v>
      </c>
      <c r="AD7" t="s">
        <v>25</v>
      </c>
      <c r="AE7" s="1">
        <v>45108</v>
      </c>
      <c r="AF7" s="1">
        <v>45473</v>
      </c>
      <c r="AG7" t="b">
        <v>1</v>
      </c>
      <c r="AH7" t="b">
        <v>1</v>
      </c>
      <c r="AI7" t="b">
        <v>1</v>
      </c>
      <c r="AJ7" t="str">
        <f>IF(tblMergedCleaned[[#This Row],[Overall_Rating]]=
    "",
    "Unavailable",
    IF(tblMergedCleaned[[#This Row],[Overall_Rating]]&lt;=
        2,
        "Low (1-2)",
        IF(tblMergedCleaned[[#This Row],[Overall_Rating]]=
            3,
            "Middle (3)",
            "High (4-5)"
        )
    )
)</f>
        <v>Middle (3)</v>
      </c>
      <c r="AK7" cm="1">
        <f t="array" ref="AK7">IF(
    tblMergedCleaned[[#This Row],[Overall_Rating]]="",
    "",
    --(tblMergedCleaned[[#This Row],[Overall_Rating]]&lt;=2)
)</f>
        <v>0</v>
      </c>
      <c r="AL7">
        <f>IF(
    tblMergedCleaned[[#This Row],[Definitely_Recommend_Pct]]="",
    "",
    --(tblMergedCleaned[[#This Row],[Definitely_Recommend_Pct]]&lt;TX_Median_Recommend)
)</f>
        <v>0</v>
      </c>
      <c r="AM7">
        <f>IF(
    tblMergedCleaned[[#This Row],[Readmission_Comparison]]="",
    "",
    --(tblMergedCleaned[[#This Row],[Readmission_Comparison]]="Worse")
)</f>
        <v>0</v>
      </c>
      <c r="AN7">
        <f>COUNT(
    tblMergedCleaned[[#This Row],[Low_Rating_Flag]:[Worse_Readmission_Flag]]
)</f>
        <v>3</v>
      </c>
      <c r="AO7">
        <f>SUM(
    tblMergedCleaned[[#This Row],[Low_Rating_Flag]:[Worse_Readmission_Flag]]
)</f>
        <v>0</v>
      </c>
      <c r="AP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7" s="2">
        <f>IF(
    tblMergedCleaned[[#This Row],[Definitely_Recommend_Pct]]="",
    "",
    tblMergedCleaned[[#This Row],[Definitely_Recommend_Pct]]-TX_Median_Recommend
)</f>
        <v>1</v>
      </c>
      <c r="AS7" s="2">
        <f>IF(
    tblMergedCleaned[[#This Row],[Readmission_Rate_Pct]]="",
    "",
    tblMergedCleaned[[#This Row],[Readmission_Rate_Pct]]-TX_Median_Readmission
)</f>
        <v>1.0999999999999996</v>
      </c>
    </row>
    <row r="8" spans="1:45">
      <c r="A8" t="s">
        <v>64</v>
      </c>
      <c r="B8" t="s">
        <v>65</v>
      </c>
      <c r="C8" t="s">
        <v>66</v>
      </c>
      <c r="D8" t="s">
        <v>53</v>
      </c>
      <c r="E8" t="s">
        <v>18</v>
      </c>
      <c r="F8" t="s">
        <v>67</v>
      </c>
      <c r="G8" t="s">
        <v>53</v>
      </c>
      <c r="H8" t="s">
        <v>68</v>
      </c>
      <c r="I8" t="s">
        <v>21</v>
      </c>
      <c r="J8" t="s">
        <v>33</v>
      </c>
      <c r="K8" t="s">
        <v>23</v>
      </c>
      <c r="L8">
        <v>4</v>
      </c>
      <c r="M8" t="s">
        <v>34</v>
      </c>
      <c r="N8" t="s">
        <v>25</v>
      </c>
      <c r="O8" s="2">
        <v>78</v>
      </c>
      <c r="P8" s="2">
        <v>80</v>
      </c>
      <c r="Q8" s="2">
        <v>60</v>
      </c>
      <c r="R8" s="2">
        <v>87</v>
      </c>
      <c r="S8" s="2">
        <v>71</v>
      </c>
      <c r="T8" s="2">
        <v>74</v>
      </c>
      <c r="U8" t="s">
        <v>1655</v>
      </c>
      <c r="V8" s="2">
        <v>12</v>
      </c>
      <c r="W8" s="1">
        <v>45474</v>
      </c>
      <c r="X8" s="1">
        <v>45838</v>
      </c>
      <c r="Y8" s="2">
        <v>13.9</v>
      </c>
      <c r="Z8" t="s">
        <v>1885</v>
      </c>
      <c r="AA8">
        <v>4591</v>
      </c>
      <c r="AB8" s="2">
        <v>13.1</v>
      </c>
      <c r="AC8" s="2">
        <v>14.7</v>
      </c>
      <c r="AD8" t="s">
        <v>25</v>
      </c>
      <c r="AE8" s="1">
        <v>45108</v>
      </c>
      <c r="AF8" s="1">
        <v>45473</v>
      </c>
      <c r="AG8" t="b">
        <v>1</v>
      </c>
      <c r="AH8" t="b">
        <v>1</v>
      </c>
      <c r="AI8" t="b">
        <v>1</v>
      </c>
      <c r="AJ8" t="str">
        <f>IF(tblMergedCleaned[[#This Row],[Overall_Rating]]=
    "",
    "Unavailable",
    IF(tblMergedCleaned[[#This Row],[Overall_Rating]]&lt;=
        2,
        "Low (1-2)",
        IF(tblMergedCleaned[[#This Row],[Overall_Rating]]=
            3,
            "Middle (3)",
            "High (4-5)"
        )
    )
)</f>
        <v>High (4-5)</v>
      </c>
      <c r="AK8" cm="1">
        <f t="array" ref="AK8">IF(
    tblMergedCleaned[[#This Row],[Overall_Rating]]="",
    "",
    --(tblMergedCleaned[[#This Row],[Overall_Rating]]&lt;=2)
)</f>
        <v>0</v>
      </c>
      <c r="AL8">
        <f>IF(
    tblMergedCleaned[[#This Row],[Definitely_Recommend_Pct]]="",
    "",
    --(tblMergedCleaned[[#This Row],[Definitely_Recommend_Pct]]&lt;TX_Median_Recommend)
)</f>
        <v>0</v>
      </c>
      <c r="AM8">
        <f>IF(
    tblMergedCleaned[[#This Row],[Readmission_Comparison]]="",
    "",
    --(tblMergedCleaned[[#This Row],[Readmission_Comparison]]="Worse")
)</f>
        <v>0</v>
      </c>
      <c r="AN8">
        <f>COUNT(
    tblMergedCleaned[[#This Row],[Low_Rating_Flag]:[Worse_Readmission_Flag]]
)</f>
        <v>3</v>
      </c>
      <c r="AO8">
        <f>SUM(
    tblMergedCleaned[[#This Row],[Low_Rating_Flag]:[Worse_Readmission_Flag]]
)</f>
        <v>0</v>
      </c>
      <c r="AP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8" s="2">
        <f>IF(
    tblMergedCleaned[[#This Row],[Definitely_Recommend_Pct]]="",
    "",
    tblMergedCleaned[[#This Row],[Definitely_Recommend_Pct]]-TX_Median_Recommend
)</f>
        <v>3</v>
      </c>
      <c r="AS8" s="2">
        <f>IF(
    tblMergedCleaned[[#This Row],[Readmission_Rate_Pct]]="",
    "",
    tblMergedCleaned[[#This Row],[Readmission_Rate_Pct]]-TX_Median_Readmission
)</f>
        <v>-1</v>
      </c>
    </row>
    <row r="9" spans="1:45">
      <c r="A9" t="s">
        <v>69</v>
      </c>
      <c r="B9" t="s">
        <v>70</v>
      </c>
      <c r="C9" t="s">
        <v>71</v>
      </c>
      <c r="D9" t="s">
        <v>72</v>
      </c>
      <c r="E9" t="s">
        <v>18</v>
      </c>
      <c r="F9" t="s">
        <v>73</v>
      </c>
      <c r="G9" t="s">
        <v>72</v>
      </c>
      <c r="H9" t="s">
        <v>74</v>
      </c>
      <c r="I9" t="s">
        <v>21</v>
      </c>
      <c r="J9" t="s">
        <v>75</v>
      </c>
      <c r="K9" t="s">
        <v>23</v>
      </c>
      <c r="L9">
        <v>3</v>
      </c>
      <c r="M9" t="s">
        <v>42</v>
      </c>
      <c r="N9" t="s">
        <v>25</v>
      </c>
      <c r="O9" s="2">
        <v>80</v>
      </c>
      <c r="P9" s="2">
        <v>79</v>
      </c>
      <c r="Q9" s="2">
        <v>61</v>
      </c>
      <c r="R9" s="2">
        <v>83</v>
      </c>
      <c r="S9" s="2">
        <v>73</v>
      </c>
      <c r="T9" s="2">
        <v>73</v>
      </c>
      <c r="U9" t="s">
        <v>1656</v>
      </c>
      <c r="V9" s="2">
        <v>19</v>
      </c>
      <c r="W9" s="1">
        <v>45474</v>
      </c>
      <c r="X9" s="1">
        <v>45838</v>
      </c>
      <c r="Y9" s="2">
        <v>14.7</v>
      </c>
      <c r="Z9" t="s">
        <v>1884</v>
      </c>
      <c r="AA9">
        <v>1380</v>
      </c>
      <c r="AB9" s="2">
        <v>13.5</v>
      </c>
      <c r="AC9" s="2">
        <v>16.100000000000001</v>
      </c>
      <c r="AD9" t="s">
        <v>25</v>
      </c>
      <c r="AE9" s="1">
        <v>45108</v>
      </c>
      <c r="AF9" s="1">
        <v>45473</v>
      </c>
      <c r="AG9" t="b">
        <v>1</v>
      </c>
      <c r="AH9" t="b">
        <v>1</v>
      </c>
      <c r="AI9" t="b">
        <v>1</v>
      </c>
      <c r="AJ9" t="str">
        <f>IF(tblMergedCleaned[[#This Row],[Overall_Rating]]=
    "",
    "Unavailable",
    IF(tblMergedCleaned[[#This Row],[Overall_Rating]]&lt;=
        2,
        "Low (1-2)",
        IF(tblMergedCleaned[[#This Row],[Overall_Rating]]=
            3,
            "Middle (3)",
            "High (4-5)"
        )
    )
)</f>
        <v>Middle (3)</v>
      </c>
      <c r="AK9" cm="1">
        <f t="array" ref="AK9">IF(
    tblMergedCleaned[[#This Row],[Overall_Rating]]="",
    "",
    --(tblMergedCleaned[[#This Row],[Overall_Rating]]&lt;=2)
)</f>
        <v>0</v>
      </c>
      <c r="AL9">
        <f>IF(
    tblMergedCleaned[[#This Row],[Definitely_Recommend_Pct]]="",
    "",
    --(tblMergedCleaned[[#This Row],[Definitely_Recommend_Pct]]&lt;TX_Median_Recommend)
)</f>
        <v>0</v>
      </c>
      <c r="AM9">
        <f>IF(
    tblMergedCleaned[[#This Row],[Readmission_Comparison]]="",
    "",
    --(tblMergedCleaned[[#This Row],[Readmission_Comparison]]="Worse")
)</f>
        <v>0</v>
      </c>
      <c r="AN9">
        <f>COUNT(
    tblMergedCleaned[[#This Row],[Low_Rating_Flag]:[Worse_Readmission_Flag]]
)</f>
        <v>3</v>
      </c>
      <c r="AO9">
        <f>SUM(
    tblMergedCleaned[[#This Row],[Low_Rating_Flag]:[Worse_Readmission_Flag]]
)</f>
        <v>0</v>
      </c>
      <c r="AP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9" s="2">
        <f>IF(
    tblMergedCleaned[[#This Row],[Definitely_Recommend_Pct]]="",
    "",
    tblMergedCleaned[[#This Row],[Definitely_Recommend_Pct]]-TX_Median_Recommend
)</f>
        <v>2</v>
      </c>
      <c r="AS9" s="2">
        <f>IF(
    tblMergedCleaned[[#This Row],[Readmission_Rate_Pct]]="",
    "",
    tblMergedCleaned[[#This Row],[Readmission_Rate_Pct]]-TX_Median_Readmission
)</f>
        <v>-0.20000000000000107</v>
      </c>
    </row>
    <row r="10" spans="1:45">
      <c r="A10" t="s">
        <v>76</v>
      </c>
      <c r="B10" t="s">
        <v>77</v>
      </c>
      <c r="C10" t="s">
        <v>78</v>
      </c>
      <c r="D10" t="s">
        <v>17</v>
      </c>
      <c r="E10" t="s">
        <v>18</v>
      </c>
      <c r="F10" t="s">
        <v>79</v>
      </c>
      <c r="G10" t="s">
        <v>17</v>
      </c>
      <c r="H10" t="s">
        <v>80</v>
      </c>
      <c r="I10" t="s">
        <v>21</v>
      </c>
      <c r="J10" t="s">
        <v>81</v>
      </c>
      <c r="K10" t="s">
        <v>23</v>
      </c>
      <c r="L10">
        <v>3</v>
      </c>
      <c r="M10" t="s">
        <v>42</v>
      </c>
      <c r="N10" t="s">
        <v>25</v>
      </c>
      <c r="O10" s="2">
        <v>73</v>
      </c>
      <c r="P10" s="2">
        <v>75</v>
      </c>
      <c r="Q10" s="2">
        <v>56</v>
      </c>
      <c r="R10" s="2">
        <v>84</v>
      </c>
      <c r="S10" s="2">
        <v>68</v>
      </c>
      <c r="T10" s="2">
        <v>70</v>
      </c>
      <c r="U10" t="s">
        <v>1657</v>
      </c>
      <c r="V10" s="2">
        <v>24</v>
      </c>
      <c r="W10" s="1">
        <v>45474</v>
      </c>
      <c r="X10" s="1">
        <v>45838</v>
      </c>
      <c r="Y10" s="2">
        <v>15.4</v>
      </c>
      <c r="Z10" t="s">
        <v>1884</v>
      </c>
      <c r="AA10">
        <v>906</v>
      </c>
      <c r="AB10" s="2">
        <v>14.1</v>
      </c>
      <c r="AC10" s="2">
        <v>16.8</v>
      </c>
      <c r="AD10" t="s">
        <v>25</v>
      </c>
      <c r="AE10" s="1">
        <v>45108</v>
      </c>
      <c r="AF10" s="1">
        <v>45473</v>
      </c>
      <c r="AG10" t="b">
        <v>1</v>
      </c>
      <c r="AH10" t="b">
        <v>1</v>
      </c>
      <c r="AI10" t="b">
        <v>1</v>
      </c>
      <c r="AJ10" t="str">
        <f>IF(tblMergedCleaned[[#This Row],[Overall_Rating]]=
    "",
    "Unavailable",
    IF(tblMergedCleaned[[#This Row],[Overall_Rating]]&lt;=
        2,
        "Low (1-2)",
        IF(tblMergedCleaned[[#This Row],[Overall_Rating]]=
            3,
            "Middle (3)",
            "High (4-5)"
        )
    )
)</f>
        <v>Middle (3)</v>
      </c>
      <c r="AK10" cm="1">
        <f t="array" ref="AK10">IF(
    tblMergedCleaned[[#This Row],[Overall_Rating]]="",
    "",
    --(tblMergedCleaned[[#This Row],[Overall_Rating]]&lt;=2)
)</f>
        <v>0</v>
      </c>
      <c r="AL10">
        <f>IF(
    tblMergedCleaned[[#This Row],[Definitely_Recommend_Pct]]="",
    "",
    --(tblMergedCleaned[[#This Row],[Definitely_Recommend_Pct]]&lt;TX_Median_Recommend)
)</f>
        <v>1</v>
      </c>
      <c r="AM10">
        <f>IF(
    tblMergedCleaned[[#This Row],[Readmission_Comparison]]="",
    "",
    --(tblMergedCleaned[[#This Row],[Readmission_Comparison]]="Worse")
)</f>
        <v>0</v>
      </c>
      <c r="AN10">
        <f>COUNT(
    tblMergedCleaned[[#This Row],[Low_Rating_Flag]:[Worse_Readmission_Flag]]
)</f>
        <v>3</v>
      </c>
      <c r="AO10">
        <f>SUM(
    tblMergedCleaned[[#This Row],[Low_Rating_Flag]:[Worse_Readmission_Flag]]
)</f>
        <v>1</v>
      </c>
      <c r="AP1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0" s="2">
        <f>IF(
    tblMergedCleaned[[#This Row],[Definitely_Recommend_Pct]]="",
    "",
    tblMergedCleaned[[#This Row],[Definitely_Recommend_Pct]]-TX_Median_Recommend
)</f>
        <v>-1</v>
      </c>
      <c r="AS10" s="2">
        <f>IF(
    tblMergedCleaned[[#This Row],[Readmission_Rate_Pct]]="",
    "",
    tblMergedCleaned[[#This Row],[Readmission_Rate_Pct]]-TX_Median_Readmission
)</f>
        <v>0.5</v>
      </c>
    </row>
    <row r="11" spans="1:45">
      <c r="A11" t="s">
        <v>82</v>
      </c>
      <c r="B11" t="s">
        <v>83</v>
      </c>
      <c r="C11" t="s">
        <v>84</v>
      </c>
      <c r="D11" t="s">
        <v>85</v>
      </c>
      <c r="E11" t="s">
        <v>18</v>
      </c>
      <c r="F11" t="s">
        <v>86</v>
      </c>
      <c r="G11" t="s">
        <v>87</v>
      </c>
      <c r="H11" t="s">
        <v>88</v>
      </c>
      <c r="I11" t="s">
        <v>21</v>
      </c>
      <c r="J11" t="s">
        <v>22</v>
      </c>
      <c r="K11" t="s">
        <v>23</v>
      </c>
      <c r="L11">
        <v>3</v>
      </c>
      <c r="M11" t="s">
        <v>42</v>
      </c>
      <c r="N11" t="s">
        <v>25</v>
      </c>
      <c r="O11" s="2">
        <v>66</v>
      </c>
      <c r="P11" s="2">
        <v>69</v>
      </c>
      <c r="Q11" s="2">
        <v>51</v>
      </c>
      <c r="R11" s="2">
        <v>81</v>
      </c>
      <c r="S11" s="2">
        <v>58</v>
      </c>
      <c r="T11" s="2">
        <v>58</v>
      </c>
      <c r="U11" t="s">
        <v>1658</v>
      </c>
      <c r="V11" s="2">
        <v>8</v>
      </c>
      <c r="W11" s="1">
        <v>45474</v>
      </c>
      <c r="X11" s="1">
        <v>45838</v>
      </c>
      <c r="Y11" s="2">
        <v>15.4</v>
      </c>
      <c r="Z11" t="s">
        <v>1884</v>
      </c>
      <c r="AA11">
        <v>710</v>
      </c>
      <c r="AB11" s="2">
        <v>14</v>
      </c>
      <c r="AC11" s="2">
        <v>16.899999999999999</v>
      </c>
      <c r="AD11" t="s">
        <v>25</v>
      </c>
      <c r="AE11" s="1">
        <v>45108</v>
      </c>
      <c r="AF11" s="1">
        <v>45473</v>
      </c>
      <c r="AG11" t="b">
        <v>1</v>
      </c>
      <c r="AH11" t="b">
        <v>1</v>
      </c>
      <c r="AI11" t="b">
        <v>1</v>
      </c>
      <c r="AJ11" t="str">
        <f>IF(tblMergedCleaned[[#This Row],[Overall_Rating]]=
    "",
    "Unavailable",
    IF(tblMergedCleaned[[#This Row],[Overall_Rating]]&lt;=
        2,
        "Low (1-2)",
        IF(tblMergedCleaned[[#This Row],[Overall_Rating]]=
            3,
            "Middle (3)",
            "High (4-5)"
        )
    )
)</f>
        <v>Middle (3)</v>
      </c>
      <c r="AK11" cm="1">
        <f t="array" ref="AK11">IF(
    tblMergedCleaned[[#This Row],[Overall_Rating]]="",
    "",
    --(tblMergedCleaned[[#This Row],[Overall_Rating]]&lt;=2)
)</f>
        <v>0</v>
      </c>
      <c r="AL11">
        <f>IF(
    tblMergedCleaned[[#This Row],[Definitely_Recommend_Pct]]="",
    "",
    --(tblMergedCleaned[[#This Row],[Definitely_Recommend_Pct]]&lt;TX_Median_Recommend)
)</f>
        <v>1</v>
      </c>
      <c r="AM11">
        <f>IF(
    tblMergedCleaned[[#This Row],[Readmission_Comparison]]="",
    "",
    --(tblMergedCleaned[[#This Row],[Readmission_Comparison]]="Worse")
)</f>
        <v>0</v>
      </c>
      <c r="AN11">
        <f>COUNT(
    tblMergedCleaned[[#This Row],[Low_Rating_Flag]:[Worse_Readmission_Flag]]
)</f>
        <v>3</v>
      </c>
      <c r="AO11">
        <f>SUM(
    tblMergedCleaned[[#This Row],[Low_Rating_Flag]:[Worse_Readmission_Flag]]
)</f>
        <v>1</v>
      </c>
      <c r="AP1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1" s="2">
        <f>IF(
    tblMergedCleaned[[#This Row],[Definitely_Recommend_Pct]]="",
    "",
    tblMergedCleaned[[#This Row],[Definitely_Recommend_Pct]]-TX_Median_Recommend
)</f>
        <v>-13</v>
      </c>
      <c r="AS11" s="2">
        <f>IF(
    tblMergedCleaned[[#This Row],[Readmission_Rate_Pct]]="",
    "",
    tblMergedCleaned[[#This Row],[Readmission_Rate_Pct]]-TX_Median_Readmission
)</f>
        <v>0.5</v>
      </c>
    </row>
    <row r="12" spans="1:45">
      <c r="A12" t="s">
        <v>89</v>
      </c>
      <c r="B12" t="s">
        <v>90</v>
      </c>
      <c r="C12" t="s">
        <v>91</v>
      </c>
      <c r="D12" t="s">
        <v>92</v>
      </c>
      <c r="E12" t="s">
        <v>18</v>
      </c>
      <c r="F12" t="s">
        <v>93</v>
      </c>
      <c r="G12" t="s">
        <v>94</v>
      </c>
      <c r="H12" t="s">
        <v>95</v>
      </c>
      <c r="I12" t="s">
        <v>21</v>
      </c>
      <c r="J12" t="s">
        <v>22</v>
      </c>
      <c r="K12" t="s">
        <v>23</v>
      </c>
      <c r="L12">
        <v>4</v>
      </c>
      <c r="M12" t="s">
        <v>34</v>
      </c>
      <c r="N12" t="s">
        <v>25</v>
      </c>
      <c r="O12" s="2">
        <v>74</v>
      </c>
      <c r="P12" s="2">
        <v>75</v>
      </c>
      <c r="Q12" s="2">
        <v>56</v>
      </c>
      <c r="R12" s="2">
        <v>80</v>
      </c>
      <c r="S12" s="2">
        <v>59</v>
      </c>
      <c r="T12" s="2">
        <v>59</v>
      </c>
      <c r="U12" t="s">
        <v>1659</v>
      </c>
      <c r="V12" s="2">
        <v>7</v>
      </c>
      <c r="W12" s="1">
        <v>45474</v>
      </c>
      <c r="X12" s="1">
        <v>45838</v>
      </c>
      <c r="Y12" s="2">
        <v>15.1</v>
      </c>
      <c r="Z12" t="s">
        <v>1884</v>
      </c>
      <c r="AA12">
        <v>1371</v>
      </c>
      <c r="AB12" s="2">
        <v>13.9</v>
      </c>
      <c r="AC12" s="2">
        <v>16.2</v>
      </c>
      <c r="AD12" t="s">
        <v>25</v>
      </c>
      <c r="AE12" s="1">
        <v>45108</v>
      </c>
      <c r="AF12" s="1">
        <v>45473</v>
      </c>
      <c r="AG12" t="b">
        <v>1</v>
      </c>
      <c r="AH12" t="b">
        <v>1</v>
      </c>
      <c r="AI12" t="b">
        <v>1</v>
      </c>
      <c r="AJ12" t="str">
        <f>IF(tblMergedCleaned[[#This Row],[Overall_Rating]]=
    "",
    "Unavailable",
    IF(tblMergedCleaned[[#This Row],[Overall_Rating]]&lt;=
        2,
        "Low (1-2)",
        IF(tblMergedCleaned[[#This Row],[Overall_Rating]]=
            3,
            "Middle (3)",
            "High (4-5)"
        )
    )
)</f>
        <v>High (4-5)</v>
      </c>
      <c r="AK12" cm="1">
        <f t="array" ref="AK12">IF(
    tblMergedCleaned[[#This Row],[Overall_Rating]]="",
    "",
    --(tblMergedCleaned[[#This Row],[Overall_Rating]]&lt;=2)
)</f>
        <v>0</v>
      </c>
      <c r="AL12">
        <f>IF(
    tblMergedCleaned[[#This Row],[Definitely_Recommend_Pct]]="",
    "",
    --(tblMergedCleaned[[#This Row],[Definitely_Recommend_Pct]]&lt;TX_Median_Recommend)
)</f>
        <v>1</v>
      </c>
      <c r="AM12">
        <f>IF(
    tblMergedCleaned[[#This Row],[Readmission_Comparison]]="",
    "",
    --(tblMergedCleaned[[#This Row],[Readmission_Comparison]]="Worse")
)</f>
        <v>0</v>
      </c>
      <c r="AN12">
        <f>COUNT(
    tblMergedCleaned[[#This Row],[Low_Rating_Flag]:[Worse_Readmission_Flag]]
)</f>
        <v>3</v>
      </c>
      <c r="AO12">
        <f>SUM(
    tblMergedCleaned[[#This Row],[Low_Rating_Flag]:[Worse_Readmission_Flag]]
)</f>
        <v>1</v>
      </c>
      <c r="AP1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2" s="2">
        <f>IF(
    tblMergedCleaned[[#This Row],[Definitely_Recommend_Pct]]="",
    "",
    tblMergedCleaned[[#This Row],[Definitely_Recommend_Pct]]-TX_Median_Recommend
)</f>
        <v>-12</v>
      </c>
      <c r="AS12" s="2">
        <f>IF(
    tblMergedCleaned[[#This Row],[Readmission_Rate_Pct]]="",
    "",
    tblMergedCleaned[[#This Row],[Readmission_Rate_Pct]]-TX_Median_Readmission
)</f>
        <v>0.19999999999999929</v>
      </c>
    </row>
    <row r="13" spans="1:45">
      <c r="A13" t="s">
        <v>96</v>
      </c>
      <c r="B13" t="s">
        <v>97</v>
      </c>
      <c r="C13" t="s">
        <v>98</v>
      </c>
      <c r="D13" t="s">
        <v>99</v>
      </c>
      <c r="E13" t="s">
        <v>18</v>
      </c>
      <c r="F13" t="s">
        <v>100</v>
      </c>
      <c r="G13" t="s">
        <v>101</v>
      </c>
      <c r="H13" t="s">
        <v>102</v>
      </c>
      <c r="I13" t="s">
        <v>21</v>
      </c>
      <c r="J13" t="s">
        <v>33</v>
      </c>
      <c r="K13" t="s">
        <v>23</v>
      </c>
      <c r="L13">
        <v>4</v>
      </c>
      <c r="M13" t="s">
        <v>34</v>
      </c>
      <c r="N13" t="s">
        <v>25</v>
      </c>
      <c r="O13" s="2">
        <v>81</v>
      </c>
      <c r="P13" s="2">
        <v>78</v>
      </c>
      <c r="Q13" s="2">
        <v>67</v>
      </c>
      <c r="R13" s="2">
        <v>85</v>
      </c>
      <c r="S13" s="2">
        <v>72</v>
      </c>
      <c r="T13" s="2">
        <v>71</v>
      </c>
      <c r="U13" t="s">
        <v>1660</v>
      </c>
      <c r="V13" s="2">
        <v>15</v>
      </c>
      <c r="W13" s="1">
        <v>45474</v>
      </c>
      <c r="X13" s="1">
        <v>45838</v>
      </c>
      <c r="Y13" s="2">
        <v>16.399999999999999</v>
      </c>
      <c r="Z13" t="s">
        <v>1886</v>
      </c>
      <c r="AA13">
        <v>2659</v>
      </c>
      <c r="AB13" s="2">
        <v>15.4</v>
      </c>
      <c r="AC13" s="2">
        <v>17.399999999999999</v>
      </c>
      <c r="AD13" t="s">
        <v>25</v>
      </c>
      <c r="AE13" s="1">
        <v>45108</v>
      </c>
      <c r="AF13" s="1">
        <v>45473</v>
      </c>
      <c r="AG13" t="b">
        <v>1</v>
      </c>
      <c r="AH13" t="b">
        <v>1</v>
      </c>
      <c r="AI13" t="b">
        <v>1</v>
      </c>
      <c r="AJ13" t="str">
        <f>IF(tblMergedCleaned[[#This Row],[Overall_Rating]]=
    "",
    "Unavailable",
    IF(tblMergedCleaned[[#This Row],[Overall_Rating]]&lt;=
        2,
        "Low (1-2)",
        IF(tblMergedCleaned[[#This Row],[Overall_Rating]]=
            3,
            "Middle (3)",
            "High (4-5)"
        )
    )
)</f>
        <v>High (4-5)</v>
      </c>
      <c r="AK13" cm="1">
        <f t="array" ref="AK13">IF(
    tblMergedCleaned[[#This Row],[Overall_Rating]]="",
    "",
    --(tblMergedCleaned[[#This Row],[Overall_Rating]]&lt;=2)
)</f>
        <v>0</v>
      </c>
      <c r="AL13">
        <f>IF(
    tblMergedCleaned[[#This Row],[Definitely_Recommend_Pct]]="",
    "",
    --(tblMergedCleaned[[#This Row],[Definitely_Recommend_Pct]]&lt;TX_Median_Recommend)
)</f>
        <v>0</v>
      </c>
      <c r="AM13">
        <f>IF(
    tblMergedCleaned[[#This Row],[Readmission_Comparison]]="",
    "",
    --(tblMergedCleaned[[#This Row],[Readmission_Comparison]]="Worse")
)</f>
        <v>1</v>
      </c>
      <c r="AN13">
        <f>COUNT(
    tblMergedCleaned[[#This Row],[Low_Rating_Flag]:[Worse_Readmission_Flag]]
)</f>
        <v>3</v>
      </c>
      <c r="AO13">
        <f>SUM(
    tblMergedCleaned[[#This Row],[Low_Rating_Flag]:[Worse_Readmission_Flag]]
)</f>
        <v>1</v>
      </c>
      <c r="AP1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3" s="2">
        <f>IF(
    tblMergedCleaned[[#This Row],[Definitely_Recommend_Pct]]="",
    "",
    tblMergedCleaned[[#This Row],[Definitely_Recommend_Pct]]-TX_Median_Recommend
)</f>
        <v>0</v>
      </c>
      <c r="AS13" s="2">
        <f>IF(
    tblMergedCleaned[[#This Row],[Readmission_Rate_Pct]]="",
    "",
    tblMergedCleaned[[#This Row],[Readmission_Rate_Pct]]-TX_Median_Readmission
)</f>
        <v>1.4999999999999982</v>
      </c>
    </row>
    <row r="14" spans="1:45">
      <c r="A14" t="s">
        <v>103</v>
      </c>
      <c r="B14" t="s">
        <v>104</v>
      </c>
      <c r="C14" t="s">
        <v>105</v>
      </c>
      <c r="D14" t="s">
        <v>106</v>
      </c>
      <c r="E14" t="s">
        <v>18</v>
      </c>
      <c r="F14" t="s">
        <v>107</v>
      </c>
      <c r="G14" t="s">
        <v>87</v>
      </c>
      <c r="H14" t="s">
        <v>108</v>
      </c>
      <c r="I14" t="s">
        <v>21</v>
      </c>
      <c r="J14" t="s">
        <v>22</v>
      </c>
      <c r="K14" t="s">
        <v>23</v>
      </c>
      <c r="L14">
        <v>2</v>
      </c>
      <c r="M14" t="s">
        <v>24</v>
      </c>
      <c r="N14" t="s">
        <v>25</v>
      </c>
      <c r="O14" s="2">
        <v>74</v>
      </c>
      <c r="P14" s="2">
        <v>75</v>
      </c>
      <c r="Q14" s="2">
        <v>62</v>
      </c>
      <c r="R14" s="2">
        <v>83</v>
      </c>
      <c r="S14" s="2">
        <v>63</v>
      </c>
      <c r="T14" s="2">
        <v>63</v>
      </c>
      <c r="U14" t="s">
        <v>1661</v>
      </c>
      <c r="V14" s="2">
        <v>11</v>
      </c>
      <c r="W14" s="1">
        <v>45474</v>
      </c>
      <c r="X14" s="1">
        <v>45838</v>
      </c>
      <c r="Y14" s="2">
        <v>14.6</v>
      </c>
      <c r="Z14" t="s">
        <v>1884</v>
      </c>
      <c r="AA14">
        <v>1371</v>
      </c>
      <c r="AB14" s="2">
        <v>13.5</v>
      </c>
      <c r="AC14" s="2">
        <v>15.9</v>
      </c>
      <c r="AD14" t="s">
        <v>25</v>
      </c>
      <c r="AE14" s="1">
        <v>45108</v>
      </c>
      <c r="AF14" s="1">
        <v>45473</v>
      </c>
      <c r="AG14" t="b">
        <v>1</v>
      </c>
      <c r="AH14" t="b">
        <v>1</v>
      </c>
      <c r="AI14" t="b">
        <v>1</v>
      </c>
      <c r="AJ14" t="str">
        <f>IF(tblMergedCleaned[[#This Row],[Overall_Rating]]=
    "",
    "Unavailable",
    IF(tblMergedCleaned[[#This Row],[Overall_Rating]]&lt;=
        2,
        "Low (1-2)",
        IF(tblMergedCleaned[[#This Row],[Overall_Rating]]=
            3,
            "Middle (3)",
            "High (4-5)"
        )
    )
)</f>
        <v>Low (1-2)</v>
      </c>
      <c r="AK14" cm="1">
        <f t="array" ref="AK14">IF(
    tblMergedCleaned[[#This Row],[Overall_Rating]]="",
    "",
    --(tblMergedCleaned[[#This Row],[Overall_Rating]]&lt;=2)
)</f>
        <v>1</v>
      </c>
      <c r="AL14">
        <f>IF(
    tblMergedCleaned[[#This Row],[Definitely_Recommend_Pct]]="",
    "",
    --(tblMergedCleaned[[#This Row],[Definitely_Recommend_Pct]]&lt;TX_Median_Recommend)
)</f>
        <v>1</v>
      </c>
      <c r="AM14">
        <f>IF(
    tblMergedCleaned[[#This Row],[Readmission_Comparison]]="",
    "",
    --(tblMergedCleaned[[#This Row],[Readmission_Comparison]]="Worse")
)</f>
        <v>0</v>
      </c>
      <c r="AN14">
        <f>COUNT(
    tblMergedCleaned[[#This Row],[Low_Rating_Flag]:[Worse_Readmission_Flag]]
)</f>
        <v>3</v>
      </c>
      <c r="AO14">
        <f>SUM(
    tblMergedCleaned[[#This Row],[Low_Rating_Flag]:[Worse_Readmission_Flag]]
)</f>
        <v>2</v>
      </c>
      <c r="AP1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4" s="2">
        <f>IF(
    tblMergedCleaned[[#This Row],[Definitely_Recommend_Pct]]="",
    "",
    tblMergedCleaned[[#This Row],[Definitely_Recommend_Pct]]-TX_Median_Recommend
)</f>
        <v>-8</v>
      </c>
      <c r="AS14" s="2">
        <f>IF(
    tblMergedCleaned[[#This Row],[Readmission_Rate_Pct]]="",
    "",
    tblMergedCleaned[[#This Row],[Readmission_Rate_Pct]]-TX_Median_Readmission
)</f>
        <v>-0.30000000000000071</v>
      </c>
    </row>
    <row r="15" spans="1:45">
      <c r="A15" t="s">
        <v>109</v>
      </c>
      <c r="B15" t="s">
        <v>110</v>
      </c>
      <c r="C15" t="s">
        <v>111</v>
      </c>
      <c r="D15" t="s">
        <v>112</v>
      </c>
      <c r="E15" t="s">
        <v>18</v>
      </c>
      <c r="F15" t="s">
        <v>113</v>
      </c>
      <c r="G15" t="s">
        <v>114</v>
      </c>
      <c r="H15" t="s">
        <v>115</v>
      </c>
      <c r="I15" t="s">
        <v>21</v>
      </c>
      <c r="J15" t="s">
        <v>33</v>
      </c>
      <c r="K15" t="s">
        <v>23</v>
      </c>
      <c r="L15">
        <v>4</v>
      </c>
      <c r="M15" t="s">
        <v>34</v>
      </c>
      <c r="N15" t="s">
        <v>25</v>
      </c>
      <c r="O15" s="2">
        <v>76</v>
      </c>
      <c r="P15" s="2">
        <v>76</v>
      </c>
      <c r="Q15" s="2">
        <v>60</v>
      </c>
      <c r="R15" s="2">
        <v>83</v>
      </c>
      <c r="S15" s="2">
        <v>66</v>
      </c>
      <c r="T15" s="2">
        <v>67</v>
      </c>
      <c r="U15" t="s">
        <v>1662</v>
      </c>
      <c r="V15" s="2">
        <v>13</v>
      </c>
      <c r="W15" s="1">
        <v>45474</v>
      </c>
      <c r="X15" s="1">
        <v>45838</v>
      </c>
      <c r="Y15" s="2">
        <v>15.1</v>
      </c>
      <c r="Z15" t="s">
        <v>1884</v>
      </c>
      <c r="AA15">
        <v>2272</v>
      </c>
      <c r="AB15" s="2">
        <v>14.1</v>
      </c>
      <c r="AC15" s="2">
        <v>16.2</v>
      </c>
      <c r="AD15" t="s">
        <v>25</v>
      </c>
      <c r="AE15" s="1">
        <v>45108</v>
      </c>
      <c r="AF15" s="1">
        <v>45473</v>
      </c>
      <c r="AG15" t="b">
        <v>1</v>
      </c>
      <c r="AH15" t="b">
        <v>1</v>
      </c>
      <c r="AI15" t="b">
        <v>1</v>
      </c>
      <c r="AJ15" t="str">
        <f>IF(tblMergedCleaned[[#This Row],[Overall_Rating]]=
    "",
    "Unavailable",
    IF(tblMergedCleaned[[#This Row],[Overall_Rating]]&lt;=
        2,
        "Low (1-2)",
        IF(tblMergedCleaned[[#This Row],[Overall_Rating]]=
            3,
            "Middle (3)",
            "High (4-5)"
        )
    )
)</f>
        <v>High (4-5)</v>
      </c>
      <c r="AK15" cm="1">
        <f t="array" ref="AK15">IF(
    tblMergedCleaned[[#This Row],[Overall_Rating]]="",
    "",
    --(tblMergedCleaned[[#This Row],[Overall_Rating]]&lt;=2)
)</f>
        <v>0</v>
      </c>
      <c r="AL15">
        <f>IF(
    tblMergedCleaned[[#This Row],[Definitely_Recommend_Pct]]="",
    "",
    --(tblMergedCleaned[[#This Row],[Definitely_Recommend_Pct]]&lt;TX_Median_Recommend)
)</f>
        <v>1</v>
      </c>
      <c r="AM15">
        <f>IF(
    tblMergedCleaned[[#This Row],[Readmission_Comparison]]="",
    "",
    --(tblMergedCleaned[[#This Row],[Readmission_Comparison]]="Worse")
)</f>
        <v>0</v>
      </c>
      <c r="AN15">
        <f>COUNT(
    tblMergedCleaned[[#This Row],[Low_Rating_Flag]:[Worse_Readmission_Flag]]
)</f>
        <v>3</v>
      </c>
      <c r="AO15">
        <f>SUM(
    tblMergedCleaned[[#This Row],[Low_Rating_Flag]:[Worse_Readmission_Flag]]
)</f>
        <v>1</v>
      </c>
      <c r="AP1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5" s="2">
        <f>IF(
    tblMergedCleaned[[#This Row],[Definitely_Recommend_Pct]]="",
    "",
    tblMergedCleaned[[#This Row],[Definitely_Recommend_Pct]]-TX_Median_Recommend
)</f>
        <v>-4</v>
      </c>
      <c r="AS15" s="2">
        <f>IF(
    tblMergedCleaned[[#This Row],[Readmission_Rate_Pct]]="",
    "",
    tblMergedCleaned[[#This Row],[Readmission_Rate_Pct]]-TX_Median_Readmission
)</f>
        <v>0.19999999999999929</v>
      </c>
    </row>
    <row r="16" spans="1:45">
      <c r="A16" t="s">
        <v>116</v>
      </c>
      <c r="B16" t="s">
        <v>117</v>
      </c>
      <c r="C16" t="s">
        <v>118</v>
      </c>
      <c r="D16" t="s">
        <v>119</v>
      </c>
      <c r="E16" t="s">
        <v>18</v>
      </c>
      <c r="F16" t="s">
        <v>120</v>
      </c>
      <c r="G16" t="s">
        <v>121</v>
      </c>
      <c r="H16" t="s">
        <v>122</v>
      </c>
      <c r="I16" t="s">
        <v>21</v>
      </c>
      <c r="J16" t="s">
        <v>81</v>
      </c>
      <c r="K16" t="s">
        <v>23</v>
      </c>
      <c r="L16">
        <v>3</v>
      </c>
      <c r="M16" t="s">
        <v>42</v>
      </c>
      <c r="N16" t="s">
        <v>25</v>
      </c>
      <c r="O16" s="2">
        <v>74</v>
      </c>
      <c r="P16" s="2">
        <v>74</v>
      </c>
      <c r="Q16" s="2">
        <v>56</v>
      </c>
      <c r="R16" s="2">
        <v>77</v>
      </c>
      <c r="S16" s="2">
        <v>60</v>
      </c>
      <c r="T16" s="2">
        <v>56</v>
      </c>
      <c r="U16" t="s">
        <v>1663</v>
      </c>
      <c r="V16" s="2">
        <v>5</v>
      </c>
      <c r="W16" s="1">
        <v>45474</v>
      </c>
      <c r="X16" s="1">
        <v>45838</v>
      </c>
      <c r="Y16" s="2">
        <v>15.2</v>
      </c>
      <c r="Z16" t="s">
        <v>1884</v>
      </c>
      <c r="AA16">
        <v>112</v>
      </c>
      <c r="AB16" s="2">
        <v>13.7</v>
      </c>
      <c r="AC16" s="2">
        <v>17</v>
      </c>
      <c r="AD16" t="s">
        <v>25</v>
      </c>
      <c r="AE16" s="1">
        <v>45108</v>
      </c>
      <c r="AF16" s="1">
        <v>45473</v>
      </c>
      <c r="AG16" t="b">
        <v>1</v>
      </c>
      <c r="AH16" t="b">
        <v>1</v>
      </c>
      <c r="AI16" t="b">
        <v>1</v>
      </c>
      <c r="AJ16" t="str">
        <f>IF(tblMergedCleaned[[#This Row],[Overall_Rating]]=
    "",
    "Unavailable",
    IF(tblMergedCleaned[[#This Row],[Overall_Rating]]&lt;=
        2,
        "Low (1-2)",
        IF(tblMergedCleaned[[#This Row],[Overall_Rating]]=
            3,
            "Middle (3)",
            "High (4-5)"
        )
    )
)</f>
        <v>Middle (3)</v>
      </c>
      <c r="AK16" cm="1">
        <f t="array" ref="AK16">IF(
    tblMergedCleaned[[#This Row],[Overall_Rating]]="",
    "",
    --(tblMergedCleaned[[#This Row],[Overall_Rating]]&lt;=2)
)</f>
        <v>0</v>
      </c>
      <c r="AL16">
        <f>IF(
    tblMergedCleaned[[#This Row],[Definitely_Recommend_Pct]]="",
    "",
    --(tblMergedCleaned[[#This Row],[Definitely_Recommend_Pct]]&lt;TX_Median_Recommend)
)</f>
        <v>1</v>
      </c>
      <c r="AM16">
        <f>IF(
    tblMergedCleaned[[#This Row],[Readmission_Comparison]]="",
    "",
    --(tblMergedCleaned[[#This Row],[Readmission_Comparison]]="Worse")
)</f>
        <v>0</v>
      </c>
      <c r="AN16">
        <f>COUNT(
    tblMergedCleaned[[#This Row],[Low_Rating_Flag]:[Worse_Readmission_Flag]]
)</f>
        <v>3</v>
      </c>
      <c r="AO16">
        <f>SUM(
    tblMergedCleaned[[#This Row],[Low_Rating_Flag]:[Worse_Readmission_Flag]]
)</f>
        <v>1</v>
      </c>
      <c r="AP1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6" s="2">
        <f>IF(
    tblMergedCleaned[[#This Row],[Definitely_Recommend_Pct]]="",
    "",
    tblMergedCleaned[[#This Row],[Definitely_Recommend_Pct]]-TX_Median_Recommend
)</f>
        <v>-15</v>
      </c>
      <c r="AS16" s="2">
        <f>IF(
    tblMergedCleaned[[#This Row],[Readmission_Rate_Pct]]="",
    "",
    tblMergedCleaned[[#This Row],[Readmission_Rate_Pct]]-TX_Median_Readmission
)</f>
        <v>0.29999999999999893</v>
      </c>
    </row>
    <row r="17" spans="1:45">
      <c r="A17" t="s">
        <v>123</v>
      </c>
      <c r="B17" t="s">
        <v>124</v>
      </c>
      <c r="C17" t="s">
        <v>125</v>
      </c>
      <c r="D17" t="s">
        <v>126</v>
      </c>
      <c r="E17" t="s">
        <v>18</v>
      </c>
      <c r="F17" t="s">
        <v>127</v>
      </c>
      <c r="G17" t="s">
        <v>128</v>
      </c>
      <c r="H17" t="s">
        <v>129</v>
      </c>
      <c r="I17" t="s">
        <v>21</v>
      </c>
      <c r="J17" t="s">
        <v>56</v>
      </c>
      <c r="K17" t="s">
        <v>23</v>
      </c>
      <c r="L17">
        <v>4</v>
      </c>
      <c r="M17" t="s">
        <v>34</v>
      </c>
      <c r="N17" t="s">
        <v>25</v>
      </c>
      <c r="O17" s="2">
        <v>75</v>
      </c>
      <c r="P17" s="2">
        <v>78</v>
      </c>
      <c r="Q17" s="2">
        <v>57</v>
      </c>
      <c r="R17" s="2">
        <v>84</v>
      </c>
      <c r="S17" s="2">
        <v>69</v>
      </c>
      <c r="T17" s="2">
        <v>70</v>
      </c>
      <c r="U17" t="s">
        <v>1664</v>
      </c>
      <c r="V17" s="2">
        <v>22</v>
      </c>
      <c r="W17" s="1">
        <v>45474</v>
      </c>
      <c r="X17" s="1">
        <v>45838</v>
      </c>
      <c r="Y17" s="2">
        <v>14.3</v>
      </c>
      <c r="Z17" t="s">
        <v>1884</v>
      </c>
      <c r="AA17">
        <v>702</v>
      </c>
      <c r="AB17" s="2">
        <v>13</v>
      </c>
      <c r="AC17" s="2">
        <v>15.7</v>
      </c>
      <c r="AD17" t="s">
        <v>25</v>
      </c>
      <c r="AE17" s="1">
        <v>45108</v>
      </c>
      <c r="AF17" s="1">
        <v>45473</v>
      </c>
      <c r="AG17" t="b">
        <v>1</v>
      </c>
      <c r="AH17" t="b">
        <v>1</v>
      </c>
      <c r="AI17" t="b">
        <v>1</v>
      </c>
      <c r="AJ17" t="str">
        <f>IF(tblMergedCleaned[[#This Row],[Overall_Rating]]=
    "",
    "Unavailable",
    IF(tblMergedCleaned[[#This Row],[Overall_Rating]]&lt;=
        2,
        "Low (1-2)",
        IF(tblMergedCleaned[[#This Row],[Overall_Rating]]=
            3,
            "Middle (3)",
            "High (4-5)"
        )
    )
)</f>
        <v>High (4-5)</v>
      </c>
      <c r="AK17" cm="1">
        <f t="array" ref="AK17">IF(
    tblMergedCleaned[[#This Row],[Overall_Rating]]="",
    "",
    --(tblMergedCleaned[[#This Row],[Overall_Rating]]&lt;=2)
)</f>
        <v>0</v>
      </c>
      <c r="AL17">
        <f>IF(
    tblMergedCleaned[[#This Row],[Definitely_Recommend_Pct]]="",
    "",
    --(tblMergedCleaned[[#This Row],[Definitely_Recommend_Pct]]&lt;TX_Median_Recommend)
)</f>
        <v>1</v>
      </c>
      <c r="AM17">
        <f>IF(
    tblMergedCleaned[[#This Row],[Readmission_Comparison]]="",
    "",
    --(tblMergedCleaned[[#This Row],[Readmission_Comparison]]="Worse")
)</f>
        <v>0</v>
      </c>
      <c r="AN17">
        <f>COUNT(
    tblMergedCleaned[[#This Row],[Low_Rating_Flag]:[Worse_Readmission_Flag]]
)</f>
        <v>3</v>
      </c>
      <c r="AO17">
        <f>SUM(
    tblMergedCleaned[[#This Row],[Low_Rating_Flag]:[Worse_Readmission_Flag]]
)</f>
        <v>1</v>
      </c>
      <c r="AP1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7" s="2">
        <f>IF(
    tblMergedCleaned[[#This Row],[Definitely_Recommend_Pct]]="",
    "",
    tblMergedCleaned[[#This Row],[Definitely_Recommend_Pct]]-TX_Median_Recommend
)</f>
        <v>-1</v>
      </c>
      <c r="AS17" s="2">
        <f>IF(
    tblMergedCleaned[[#This Row],[Readmission_Rate_Pct]]="",
    "",
    tblMergedCleaned[[#This Row],[Readmission_Rate_Pct]]-TX_Median_Readmission
)</f>
        <v>-0.59999999999999964</v>
      </c>
    </row>
    <row r="18" spans="1:45">
      <c r="A18" t="s">
        <v>130</v>
      </c>
      <c r="B18" t="s">
        <v>131</v>
      </c>
      <c r="C18" t="s">
        <v>132</v>
      </c>
      <c r="D18" t="s">
        <v>133</v>
      </c>
      <c r="E18" t="s">
        <v>18</v>
      </c>
      <c r="F18" t="s">
        <v>134</v>
      </c>
      <c r="G18" t="s">
        <v>133</v>
      </c>
      <c r="H18" t="s">
        <v>135</v>
      </c>
      <c r="I18" t="s">
        <v>21</v>
      </c>
      <c r="J18" t="s">
        <v>33</v>
      </c>
      <c r="K18" t="s">
        <v>23</v>
      </c>
      <c r="L18">
        <v>3</v>
      </c>
      <c r="M18" t="s">
        <v>42</v>
      </c>
      <c r="N18" t="s">
        <v>25</v>
      </c>
      <c r="O18" s="2">
        <v>76</v>
      </c>
      <c r="P18" s="2">
        <v>75</v>
      </c>
      <c r="Q18" s="2">
        <v>60</v>
      </c>
      <c r="R18" s="2">
        <v>85</v>
      </c>
      <c r="S18" s="2">
        <v>69</v>
      </c>
      <c r="T18" s="2">
        <v>70</v>
      </c>
      <c r="U18" t="s">
        <v>1665</v>
      </c>
      <c r="V18" s="2">
        <v>18</v>
      </c>
      <c r="W18" s="1">
        <v>45474</v>
      </c>
      <c r="X18" s="1">
        <v>45838</v>
      </c>
      <c r="Y18" s="2">
        <v>13.5</v>
      </c>
      <c r="Z18" t="s">
        <v>1885</v>
      </c>
      <c r="AA18">
        <v>3522</v>
      </c>
      <c r="AB18" s="2">
        <v>12.7</v>
      </c>
      <c r="AC18" s="2">
        <v>14.5</v>
      </c>
      <c r="AD18" t="s">
        <v>25</v>
      </c>
      <c r="AE18" s="1">
        <v>45108</v>
      </c>
      <c r="AF18" s="1">
        <v>45473</v>
      </c>
      <c r="AG18" t="b">
        <v>1</v>
      </c>
      <c r="AH18" t="b">
        <v>1</v>
      </c>
      <c r="AI18" t="b">
        <v>1</v>
      </c>
      <c r="AJ18" t="str">
        <f>IF(tblMergedCleaned[[#This Row],[Overall_Rating]]=
    "",
    "Unavailable",
    IF(tblMergedCleaned[[#This Row],[Overall_Rating]]&lt;=
        2,
        "Low (1-2)",
        IF(tblMergedCleaned[[#This Row],[Overall_Rating]]=
            3,
            "Middle (3)",
            "High (4-5)"
        )
    )
)</f>
        <v>Middle (3)</v>
      </c>
      <c r="AK18" cm="1">
        <f t="array" ref="AK18">IF(
    tblMergedCleaned[[#This Row],[Overall_Rating]]="",
    "",
    --(tblMergedCleaned[[#This Row],[Overall_Rating]]&lt;=2)
)</f>
        <v>0</v>
      </c>
      <c r="AL18">
        <f>IF(
    tblMergedCleaned[[#This Row],[Definitely_Recommend_Pct]]="",
    "",
    --(tblMergedCleaned[[#This Row],[Definitely_Recommend_Pct]]&lt;TX_Median_Recommend)
)</f>
        <v>1</v>
      </c>
      <c r="AM18">
        <f>IF(
    tblMergedCleaned[[#This Row],[Readmission_Comparison]]="",
    "",
    --(tblMergedCleaned[[#This Row],[Readmission_Comparison]]="Worse")
)</f>
        <v>0</v>
      </c>
      <c r="AN18">
        <f>COUNT(
    tblMergedCleaned[[#This Row],[Low_Rating_Flag]:[Worse_Readmission_Flag]]
)</f>
        <v>3</v>
      </c>
      <c r="AO18">
        <f>SUM(
    tblMergedCleaned[[#This Row],[Low_Rating_Flag]:[Worse_Readmission_Flag]]
)</f>
        <v>1</v>
      </c>
      <c r="AP1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8" s="2">
        <f>IF(
    tblMergedCleaned[[#This Row],[Definitely_Recommend_Pct]]="",
    "",
    tblMergedCleaned[[#This Row],[Definitely_Recommend_Pct]]-TX_Median_Recommend
)</f>
        <v>-1</v>
      </c>
      <c r="AS18" s="2">
        <f>IF(
    tblMergedCleaned[[#This Row],[Readmission_Rate_Pct]]="",
    "",
    tblMergedCleaned[[#This Row],[Readmission_Rate_Pct]]-TX_Median_Readmission
)</f>
        <v>-1.4000000000000004</v>
      </c>
    </row>
    <row r="19" spans="1:45">
      <c r="A19" t="s">
        <v>136</v>
      </c>
      <c r="B19" t="s">
        <v>137</v>
      </c>
      <c r="C19" t="s">
        <v>138</v>
      </c>
      <c r="D19" t="s">
        <v>139</v>
      </c>
      <c r="E19" t="s">
        <v>18</v>
      </c>
      <c r="F19" t="s">
        <v>140</v>
      </c>
      <c r="G19" t="s">
        <v>141</v>
      </c>
      <c r="H19" t="s">
        <v>142</v>
      </c>
      <c r="I19" t="s">
        <v>21</v>
      </c>
      <c r="J19" t="s">
        <v>33</v>
      </c>
      <c r="K19" t="s">
        <v>23</v>
      </c>
      <c r="L19">
        <v>2</v>
      </c>
      <c r="M19" t="s">
        <v>24</v>
      </c>
      <c r="N19" t="s">
        <v>143</v>
      </c>
      <c r="O19" s="2">
        <v>76</v>
      </c>
      <c r="P19" s="2">
        <v>80</v>
      </c>
      <c r="Q19" s="2">
        <v>61</v>
      </c>
      <c r="R19" s="2">
        <v>87</v>
      </c>
      <c r="S19" s="2">
        <v>73</v>
      </c>
      <c r="T19" s="2">
        <v>72</v>
      </c>
      <c r="U19" t="s">
        <v>1666</v>
      </c>
      <c r="V19" s="2">
        <v>15</v>
      </c>
      <c r="W19" s="1">
        <v>45474</v>
      </c>
      <c r="X19" s="1">
        <v>45838</v>
      </c>
      <c r="Y19" s="2">
        <v>14.2</v>
      </c>
      <c r="Z19" t="s">
        <v>1884</v>
      </c>
      <c r="AA19">
        <v>1091</v>
      </c>
      <c r="AB19" s="2">
        <v>13</v>
      </c>
      <c r="AC19" s="2">
        <v>15.1</v>
      </c>
      <c r="AD19" t="s">
        <v>143</v>
      </c>
      <c r="AE19" s="1">
        <v>45108</v>
      </c>
      <c r="AF19" s="1">
        <v>45473</v>
      </c>
      <c r="AG19" t="b">
        <v>1</v>
      </c>
      <c r="AH19" t="b">
        <v>1</v>
      </c>
      <c r="AI19" t="b">
        <v>1</v>
      </c>
      <c r="AJ19" t="str">
        <f>IF(tblMergedCleaned[[#This Row],[Overall_Rating]]=
    "",
    "Unavailable",
    IF(tblMergedCleaned[[#This Row],[Overall_Rating]]&lt;=
        2,
        "Low (1-2)",
        IF(tblMergedCleaned[[#This Row],[Overall_Rating]]=
            3,
            "Middle (3)",
            "High (4-5)"
        )
    )
)</f>
        <v>Low (1-2)</v>
      </c>
      <c r="AK19" cm="1">
        <f t="array" ref="AK19">IF(
    tblMergedCleaned[[#This Row],[Overall_Rating]]="",
    "",
    --(tblMergedCleaned[[#This Row],[Overall_Rating]]&lt;=2)
)</f>
        <v>1</v>
      </c>
      <c r="AL19">
        <f>IF(
    tblMergedCleaned[[#This Row],[Definitely_Recommend_Pct]]="",
    "",
    --(tblMergedCleaned[[#This Row],[Definitely_Recommend_Pct]]&lt;TX_Median_Recommend)
)</f>
        <v>0</v>
      </c>
      <c r="AM19">
        <f>IF(
    tblMergedCleaned[[#This Row],[Readmission_Comparison]]="",
    "",
    --(tblMergedCleaned[[#This Row],[Readmission_Comparison]]="Worse")
)</f>
        <v>0</v>
      </c>
      <c r="AN19">
        <f>COUNT(
    tblMergedCleaned[[#This Row],[Low_Rating_Flag]:[Worse_Readmission_Flag]]
)</f>
        <v>3</v>
      </c>
      <c r="AO19">
        <f>SUM(
    tblMergedCleaned[[#This Row],[Low_Rating_Flag]:[Worse_Readmission_Flag]]
)</f>
        <v>1</v>
      </c>
      <c r="AP1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9" s="2">
        <f>IF(
    tblMergedCleaned[[#This Row],[Definitely_Recommend_Pct]]="",
    "",
    tblMergedCleaned[[#This Row],[Definitely_Recommend_Pct]]-TX_Median_Recommend
)</f>
        <v>1</v>
      </c>
      <c r="AS19" s="2">
        <f>IF(
    tblMergedCleaned[[#This Row],[Readmission_Rate_Pct]]="",
    "",
    tblMergedCleaned[[#This Row],[Readmission_Rate_Pct]]-TX_Median_Readmission
)</f>
        <v>-0.70000000000000107</v>
      </c>
    </row>
    <row r="20" spans="1:45">
      <c r="A20" t="s">
        <v>144</v>
      </c>
      <c r="B20" t="s">
        <v>145</v>
      </c>
      <c r="C20" t="s">
        <v>146</v>
      </c>
      <c r="D20" t="s">
        <v>53</v>
      </c>
      <c r="E20" t="s">
        <v>18</v>
      </c>
      <c r="F20" t="s">
        <v>147</v>
      </c>
      <c r="G20" t="s">
        <v>53</v>
      </c>
      <c r="H20" t="s">
        <v>148</v>
      </c>
      <c r="I20" t="s">
        <v>21</v>
      </c>
      <c r="J20" t="s">
        <v>63</v>
      </c>
      <c r="K20" t="s">
        <v>23</v>
      </c>
      <c r="L20">
        <v>4</v>
      </c>
      <c r="M20" t="s">
        <v>34</v>
      </c>
      <c r="N20" t="s">
        <v>25</v>
      </c>
      <c r="O20" s="2">
        <v>80</v>
      </c>
      <c r="P20" s="2">
        <v>83</v>
      </c>
      <c r="Q20" s="2">
        <v>63</v>
      </c>
      <c r="R20" s="2">
        <v>90</v>
      </c>
      <c r="S20" s="2">
        <v>83</v>
      </c>
      <c r="T20" s="2">
        <v>85</v>
      </c>
      <c r="U20" t="s">
        <v>1667</v>
      </c>
      <c r="V20" s="2">
        <v>16</v>
      </c>
      <c r="W20" s="1">
        <v>45474</v>
      </c>
      <c r="X20" s="1">
        <v>45838</v>
      </c>
      <c r="Y20" s="2">
        <v>15.9</v>
      </c>
      <c r="Z20" t="s">
        <v>1886</v>
      </c>
      <c r="AA20">
        <v>5428</v>
      </c>
      <c r="AB20" s="2">
        <v>15.1</v>
      </c>
      <c r="AC20" s="2">
        <v>16.7</v>
      </c>
      <c r="AD20" t="s">
        <v>25</v>
      </c>
      <c r="AE20" s="1">
        <v>45108</v>
      </c>
      <c r="AF20" s="1">
        <v>45473</v>
      </c>
      <c r="AG20" t="b">
        <v>1</v>
      </c>
      <c r="AH20" t="b">
        <v>1</v>
      </c>
      <c r="AI20" t="b">
        <v>1</v>
      </c>
      <c r="AJ20" t="str">
        <f>IF(tblMergedCleaned[[#This Row],[Overall_Rating]]=
    "",
    "Unavailable",
    IF(tblMergedCleaned[[#This Row],[Overall_Rating]]&lt;=
        2,
        "Low (1-2)",
        IF(tblMergedCleaned[[#This Row],[Overall_Rating]]=
            3,
            "Middle (3)",
            "High (4-5)"
        )
    )
)</f>
        <v>High (4-5)</v>
      </c>
      <c r="AK20" cm="1">
        <f t="array" ref="AK20">IF(
    tblMergedCleaned[[#This Row],[Overall_Rating]]="",
    "",
    --(tblMergedCleaned[[#This Row],[Overall_Rating]]&lt;=2)
)</f>
        <v>0</v>
      </c>
      <c r="AL20">
        <f>IF(
    tblMergedCleaned[[#This Row],[Definitely_Recommend_Pct]]="",
    "",
    --(tblMergedCleaned[[#This Row],[Definitely_Recommend_Pct]]&lt;TX_Median_Recommend)
)</f>
        <v>0</v>
      </c>
      <c r="AM20">
        <f>IF(
    tblMergedCleaned[[#This Row],[Readmission_Comparison]]="",
    "",
    --(tblMergedCleaned[[#This Row],[Readmission_Comparison]]="Worse")
)</f>
        <v>1</v>
      </c>
      <c r="AN20">
        <f>COUNT(
    tblMergedCleaned[[#This Row],[Low_Rating_Flag]:[Worse_Readmission_Flag]]
)</f>
        <v>3</v>
      </c>
      <c r="AO20">
        <f>SUM(
    tblMergedCleaned[[#This Row],[Low_Rating_Flag]:[Worse_Readmission_Flag]]
)</f>
        <v>1</v>
      </c>
      <c r="AP2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2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0" s="2">
        <f>IF(
    tblMergedCleaned[[#This Row],[Definitely_Recommend_Pct]]="",
    "",
    tblMergedCleaned[[#This Row],[Definitely_Recommend_Pct]]-TX_Median_Recommend
)</f>
        <v>14</v>
      </c>
      <c r="AS20" s="2">
        <f>IF(
    tblMergedCleaned[[#This Row],[Readmission_Rate_Pct]]="",
    "",
    tblMergedCleaned[[#This Row],[Readmission_Rate_Pct]]-TX_Median_Readmission
)</f>
        <v>1</v>
      </c>
    </row>
    <row r="21" spans="1:45">
      <c r="A21" t="s">
        <v>149</v>
      </c>
      <c r="B21" t="s">
        <v>150</v>
      </c>
      <c r="C21" t="s">
        <v>151</v>
      </c>
      <c r="D21" t="s">
        <v>152</v>
      </c>
      <c r="E21" t="s">
        <v>18</v>
      </c>
      <c r="F21" t="s">
        <v>153</v>
      </c>
      <c r="G21" t="s">
        <v>154</v>
      </c>
      <c r="H21" t="s">
        <v>155</v>
      </c>
      <c r="I21" t="s">
        <v>21</v>
      </c>
      <c r="J21" t="s">
        <v>33</v>
      </c>
      <c r="K21" t="s">
        <v>23</v>
      </c>
      <c r="L21">
        <v>3</v>
      </c>
      <c r="M21" t="s">
        <v>42</v>
      </c>
      <c r="N21" t="s">
        <v>25</v>
      </c>
      <c r="O21" s="2">
        <v>74</v>
      </c>
      <c r="P21" s="2">
        <v>74</v>
      </c>
      <c r="Q21" s="2">
        <v>56</v>
      </c>
      <c r="R21" s="2">
        <v>82</v>
      </c>
      <c r="S21" s="2">
        <v>71</v>
      </c>
      <c r="T21" s="2">
        <v>72</v>
      </c>
      <c r="U21" t="s">
        <v>1668</v>
      </c>
      <c r="V21" s="2">
        <v>12</v>
      </c>
      <c r="W21" s="1">
        <v>45474</v>
      </c>
      <c r="X21" s="1">
        <v>45838</v>
      </c>
      <c r="Y21" s="2">
        <v>14.4</v>
      </c>
      <c r="Z21" t="s">
        <v>1884</v>
      </c>
      <c r="AA21">
        <v>2388</v>
      </c>
      <c r="AB21" s="2">
        <v>13.5</v>
      </c>
      <c r="AC21" s="2">
        <v>15.5</v>
      </c>
      <c r="AD21" t="s">
        <v>25</v>
      </c>
      <c r="AE21" s="1">
        <v>45108</v>
      </c>
      <c r="AF21" s="1">
        <v>45473</v>
      </c>
      <c r="AG21" t="b">
        <v>1</v>
      </c>
      <c r="AH21" t="b">
        <v>1</v>
      </c>
      <c r="AI21" t="b">
        <v>1</v>
      </c>
      <c r="AJ21" t="str">
        <f>IF(tblMergedCleaned[[#This Row],[Overall_Rating]]=
    "",
    "Unavailable",
    IF(tblMergedCleaned[[#This Row],[Overall_Rating]]&lt;=
        2,
        "Low (1-2)",
        IF(tblMergedCleaned[[#This Row],[Overall_Rating]]=
            3,
            "Middle (3)",
            "High (4-5)"
        )
    )
)</f>
        <v>Middle (3)</v>
      </c>
      <c r="AK21" cm="1">
        <f t="array" ref="AK21">IF(
    tblMergedCleaned[[#This Row],[Overall_Rating]]="",
    "",
    --(tblMergedCleaned[[#This Row],[Overall_Rating]]&lt;=2)
)</f>
        <v>0</v>
      </c>
      <c r="AL21">
        <f>IF(
    tblMergedCleaned[[#This Row],[Definitely_Recommend_Pct]]="",
    "",
    --(tblMergedCleaned[[#This Row],[Definitely_Recommend_Pct]]&lt;TX_Median_Recommend)
)</f>
        <v>0</v>
      </c>
      <c r="AM21">
        <f>IF(
    tblMergedCleaned[[#This Row],[Readmission_Comparison]]="",
    "",
    --(tblMergedCleaned[[#This Row],[Readmission_Comparison]]="Worse")
)</f>
        <v>0</v>
      </c>
      <c r="AN21">
        <f>COUNT(
    tblMergedCleaned[[#This Row],[Low_Rating_Flag]:[Worse_Readmission_Flag]]
)</f>
        <v>3</v>
      </c>
      <c r="AO21">
        <f>SUM(
    tblMergedCleaned[[#This Row],[Low_Rating_Flag]:[Worse_Readmission_Flag]]
)</f>
        <v>0</v>
      </c>
      <c r="AP2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1" s="2">
        <f>IF(
    tblMergedCleaned[[#This Row],[Definitely_Recommend_Pct]]="",
    "",
    tblMergedCleaned[[#This Row],[Definitely_Recommend_Pct]]-TX_Median_Recommend
)</f>
        <v>1</v>
      </c>
      <c r="AS21" s="2">
        <f>IF(
    tblMergedCleaned[[#This Row],[Readmission_Rate_Pct]]="",
    "",
    tblMergedCleaned[[#This Row],[Readmission_Rate_Pct]]-TX_Median_Readmission
)</f>
        <v>-0.5</v>
      </c>
    </row>
    <row r="22" spans="1:45">
      <c r="A22" t="s">
        <v>156</v>
      </c>
      <c r="B22" t="s">
        <v>157</v>
      </c>
      <c r="C22" t="s">
        <v>158</v>
      </c>
      <c r="D22" t="s">
        <v>53</v>
      </c>
      <c r="E22" t="s">
        <v>18</v>
      </c>
      <c r="F22" t="s">
        <v>159</v>
      </c>
      <c r="G22" t="s">
        <v>53</v>
      </c>
      <c r="H22" t="s">
        <v>160</v>
      </c>
      <c r="I22" t="s">
        <v>21</v>
      </c>
      <c r="J22" t="s">
        <v>75</v>
      </c>
      <c r="K22" t="s">
        <v>23</v>
      </c>
      <c r="L22">
        <v>3</v>
      </c>
      <c r="M22" t="s">
        <v>42</v>
      </c>
      <c r="N22" t="s">
        <v>25</v>
      </c>
      <c r="O22" s="2">
        <v>78</v>
      </c>
      <c r="P22" s="2">
        <v>78</v>
      </c>
      <c r="Q22" s="2">
        <v>60</v>
      </c>
      <c r="R22" s="2">
        <v>87</v>
      </c>
      <c r="S22" s="2">
        <v>76</v>
      </c>
      <c r="T22" s="2">
        <v>75</v>
      </c>
      <c r="U22" t="s">
        <v>1669</v>
      </c>
      <c r="V22" s="2">
        <v>13</v>
      </c>
      <c r="W22" s="1">
        <v>45474</v>
      </c>
      <c r="X22" s="1">
        <v>45838</v>
      </c>
      <c r="Y22" s="2">
        <v>14.1</v>
      </c>
      <c r="Z22" t="s">
        <v>1884</v>
      </c>
      <c r="AA22">
        <v>1227</v>
      </c>
      <c r="AB22" s="2">
        <v>13</v>
      </c>
      <c r="AC22" s="2">
        <v>15.3</v>
      </c>
      <c r="AD22" t="s">
        <v>25</v>
      </c>
      <c r="AE22" s="1">
        <v>45108</v>
      </c>
      <c r="AF22" s="1">
        <v>45473</v>
      </c>
      <c r="AG22" t="b">
        <v>1</v>
      </c>
      <c r="AH22" t="b">
        <v>1</v>
      </c>
      <c r="AI22" t="b">
        <v>1</v>
      </c>
      <c r="AJ22" t="str">
        <f>IF(tblMergedCleaned[[#This Row],[Overall_Rating]]=
    "",
    "Unavailable",
    IF(tblMergedCleaned[[#This Row],[Overall_Rating]]&lt;=
        2,
        "Low (1-2)",
        IF(tblMergedCleaned[[#This Row],[Overall_Rating]]=
            3,
            "Middle (3)",
            "High (4-5)"
        )
    )
)</f>
        <v>Middle (3)</v>
      </c>
      <c r="AK22" cm="1">
        <f t="array" ref="AK22">IF(
    tblMergedCleaned[[#This Row],[Overall_Rating]]="",
    "",
    --(tblMergedCleaned[[#This Row],[Overall_Rating]]&lt;=2)
)</f>
        <v>0</v>
      </c>
      <c r="AL22">
        <f>IF(
    tblMergedCleaned[[#This Row],[Definitely_Recommend_Pct]]="",
    "",
    --(tblMergedCleaned[[#This Row],[Definitely_Recommend_Pct]]&lt;TX_Median_Recommend)
)</f>
        <v>0</v>
      </c>
      <c r="AM22">
        <f>IF(
    tblMergedCleaned[[#This Row],[Readmission_Comparison]]="",
    "",
    --(tblMergedCleaned[[#This Row],[Readmission_Comparison]]="Worse")
)</f>
        <v>0</v>
      </c>
      <c r="AN22">
        <f>COUNT(
    tblMergedCleaned[[#This Row],[Low_Rating_Flag]:[Worse_Readmission_Flag]]
)</f>
        <v>3</v>
      </c>
      <c r="AO22">
        <f>SUM(
    tblMergedCleaned[[#This Row],[Low_Rating_Flag]:[Worse_Readmission_Flag]]
)</f>
        <v>0</v>
      </c>
      <c r="AP2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2" s="2">
        <f>IF(
    tblMergedCleaned[[#This Row],[Definitely_Recommend_Pct]]="",
    "",
    tblMergedCleaned[[#This Row],[Definitely_Recommend_Pct]]-TX_Median_Recommend
)</f>
        <v>4</v>
      </c>
      <c r="AS22" s="2">
        <f>IF(
    tblMergedCleaned[[#This Row],[Readmission_Rate_Pct]]="",
    "",
    tblMergedCleaned[[#This Row],[Readmission_Rate_Pct]]-TX_Median_Readmission
)</f>
        <v>-0.80000000000000071</v>
      </c>
    </row>
    <row r="23" spans="1:45">
      <c r="A23" t="s">
        <v>161</v>
      </c>
      <c r="B23" t="s">
        <v>162</v>
      </c>
      <c r="C23" t="s">
        <v>163</v>
      </c>
      <c r="D23" t="s">
        <v>164</v>
      </c>
      <c r="E23" t="s">
        <v>18</v>
      </c>
      <c r="F23" t="s">
        <v>165</v>
      </c>
      <c r="G23" t="s">
        <v>166</v>
      </c>
      <c r="H23" t="s">
        <v>167</v>
      </c>
      <c r="I23" t="s">
        <v>21</v>
      </c>
      <c r="J23" t="s">
        <v>33</v>
      </c>
      <c r="K23" t="s">
        <v>23</v>
      </c>
      <c r="L23">
        <v>5</v>
      </c>
      <c r="M23" t="s">
        <v>168</v>
      </c>
      <c r="N23" t="s">
        <v>25</v>
      </c>
      <c r="O23" s="2">
        <v>79</v>
      </c>
      <c r="P23" s="2">
        <v>80</v>
      </c>
      <c r="Q23" s="2">
        <v>62</v>
      </c>
      <c r="R23" s="2">
        <v>88</v>
      </c>
      <c r="S23" s="2">
        <v>74</v>
      </c>
      <c r="T23" s="2">
        <v>73</v>
      </c>
      <c r="U23" t="s">
        <v>1670</v>
      </c>
      <c r="V23" s="2">
        <v>15</v>
      </c>
      <c r="W23" s="1">
        <v>45474</v>
      </c>
      <c r="X23" s="1">
        <v>45838</v>
      </c>
      <c r="Y23" s="2">
        <v>14.9</v>
      </c>
      <c r="Z23" t="s">
        <v>1884</v>
      </c>
      <c r="AA23">
        <v>4120</v>
      </c>
      <c r="AB23" s="2">
        <v>14.2</v>
      </c>
      <c r="AC23" s="2">
        <v>15.9</v>
      </c>
      <c r="AD23" t="s">
        <v>25</v>
      </c>
      <c r="AE23" s="1">
        <v>45108</v>
      </c>
      <c r="AF23" s="1">
        <v>45473</v>
      </c>
      <c r="AG23" t="b">
        <v>1</v>
      </c>
      <c r="AH23" t="b">
        <v>1</v>
      </c>
      <c r="AI23" t="b">
        <v>1</v>
      </c>
      <c r="AJ23" t="str">
        <f>IF(tblMergedCleaned[[#This Row],[Overall_Rating]]=
    "",
    "Unavailable",
    IF(tblMergedCleaned[[#This Row],[Overall_Rating]]&lt;=
        2,
        "Low (1-2)",
        IF(tblMergedCleaned[[#This Row],[Overall_Rating]]=
            3,
            "Middle (3)",
            "High (4-5)"
        )
    )
)</f>
        <v>High (4-5)</v>
      </c>
      <c r="AK23" cm="1">
        <f t="array" ref="AK23">IF(
    tblMergedCleaned[[#This Row],[Overall_Rating]]="",
    "",
    --(tblMergedCleaned[[#This Row],[Overall_Rating]]&lt;=2)
)</f>
        <v>0</v>
      </c>
      <c r="AL23">
        <f>IF(
    tblMergedCleaned[[#This Row],[Definitely_Recommend_Pct]]="",
    "",
    --(tblMergedCleaned[[#This Row],[Definitely_Recommend_Pct]]&lt;TX_Median_Recommend)
)</f>
        <v>0</v>
      </c>
      <c r="AM23">
        <f>IF(
    tblMergedCleaned[[#This Row],[Readmission_Comparison]]="",
    "",
    --(tblMergedCleaned[[#This Row],[Readmission_Comparison]]="Worse")
)</f>
        <v>0</v>
      </c>
      <c r="AN23">
        <f>COUNT(
    tblMergedCleaned[[#This Row],[Low_Rating_Flag]:[Worse_Readmission_Flag]]
)</f>
        <v>3</v>
      </c>
      <c r="AO23">
        <f>SUM(
    tblMergedCleaned[[#This Row],[Low_Rating_Flag]:[Worse_Readmission_Flag]]
)</f>
        <v>0</v>
      </c>
      <c r="AP2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3" s="2">
        <f>IF(
    tblMergedCleaned[[#This Row],[Definitely_Recommend_Pct]]="",
    "",
    tblMergedCleaned[[#This Row],[Definitely_Recommend_Pct]]-TX_Median_Recommend
)</f>
        <v>2</v>
      </c>
      <c r="AS23" s="2">
        <f>IF(
    tblMergedCleaned[[#This Row],[Readmission_Rate_Pct]]="",
    "",
    tblMergedCleaned[[#This Row],[Readmission_Rate_Pct]]-TX_Median_Readmission
)</f>
        <v>0</v>
      </c>
    </row>
    <row r="24" spans="1:45">
      <c r="A24" t="s">
        <v>169</v>
      </c>
      <c r="B24" t="s">
        <v>170</v>
      </c>
      <c r="C24" t="s">
        <v>171</v>
      </c>
      <c r="D24" t="s">
        <v>172</v>
      </c>
      <c r="E24" t="s">
        <v>18</v>
      </c>
      <c r="F24" t="s">
        <v>173</v>
      </c>
      <c r="G24" t="s">
        <v>174</v>
      </c>
      <c r="H24" t="s">
        <v>175</v>
      </c>
      <c r="I24" t="s">
        <v>21</v>
      </c>
      <c r="J24" t="s">
        <v>56</v>
      </c>
      <c r="K24" t="s">
        <v>23</v>
      </c>
      <c r="M24" t="s">
        <v>176</v>
      </c>
      <c r="N24" t="s">
        <v>177</v>
      </c>
      <c r="O24" s="2">
        <v>82</v>
      </c>
      <c r="P24" s="2">
        <v>86</v>
      </c>
      <c r="Q24" s="2">
        <v>64</v>
      </c>
      <c r="R24" s="2">
        <v>87</v>
      </c>
      <c r="S24" s="2">
        <v>82</v>
      </c>
      <c r="T24" s="2">
        <v>74</v>
      </c>
      <c r="U24" t="s">
        <v>1671</v>
      </c>
      <c r="V24" s="2">
        <v>17</v>
      </c>
      <c r="W24" s="1">
        <v>45474</v>
      </c>
      <c r="X24" s="1">
        <v>45838</v>
      </c>
      <c r="Y24" s="2">
        <v>15.2</v>
      </c>
      <c r="Z24" t="s">
        <v>1884</v>
      </c>
      <c r="AA24">
        <v>132</v>
      </c>
      <c r="AB24" s="2">
        <v>13.5</v>
      </c>
      <c r="AC24" s="2">
        <v>17</v>
      </c>
      <c r="AD24" t="s">
        <v>25</v>
      </c>
      <c r="AE24" s="1">
        <v>45108</v>
      </c>
      <c r="AF24" s="1">
        <v>45473</v>
      </c>
      <c r="AG24" t="b">
        <v>0</v>
      </c>
      <c r="AH24" t="b">
        <v>1</v>
      </c>
      <c r="AI24" t="b">
        <v>1</v>
      </c>
      <c r="AJ24" t="str">
        <f>IF(tblMergedCleaned[[#This Row],[Overall_Rating]]=
    "",
    "Unavailable",
    IF(tblMergedCleaned[[#This Row],[Overall_Rating]]&lt;=
        2,
        "Low (1-2)",
        IF(tblMergedCleaned[[#This Row],[Overall_Rating]]=
            3,
            "Middle (3)",
            "High (4-5)"
        )
    )
)</f>
        <v>Unavailable</v>
      </c>
      <c r="AK24" t="str" cm="1">
        <f t="array" ref="AK24">IF(
    tblMergedCleaned[[#This Row],[Overall_Rating]]="",
    "",
    --(tblMergedCleaned[[#This Row],[Overall_Rating]]&lt;=2)
)</f>
        <v/>
      </c>
      <c r="AL24">
        <f>IF(
    tblMergedCleaned[[#This Row],[Definitely_Recommend_Pct]]="",
    "",
    --(tblMergedCleaned[[#This Row],[Definitely_Recommend_Pct]]&lt;TX_Median_Recommend)
)</f>
        <v>0</v>
      </c>
      <c r="AM24">
        <f>IF(
    tblMergedCleaned[[#This Row],[Readmission_Comparison]]="",
    "",
    --(tblMergedCleaned[[#This Row],[Readmission_Comparison]]="Worse")
)</f>
        <v>0</v>
      </c>
      <c r="AN24">
        <f>COUNT(
    tblMergedCleaned[[#This Row],[Low_Rating_Flag]:[Worse_Readmission_Flag]]
)</f>
        <v>2</v>
      </c>
      <c r="AO24">
        <f>SUM(
    tblMergedCleaned[[#This Row],[Low_Rating_Flag]:[Worse_Readmission_Flag]]
)</f>
        <v>0</v>
      </c>
      <c r="AP2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4" s="2">
        <f>IF(
    tblMergedCleaned[[#This Row],[Definitely_Recommend_Pct]]="",
    "",
    tblMergedCleaned[[#This Row],[Definitely_Recommend_Pct]]-TX_Median_Recommend
)</f>
        <v>3</v>
      </c>
      <c r="AS24" s="2">
        <f>IF(
    tblMergedCleaned[[#This Row],[Readmission_Rate_Pct]]="",
    "",
    tblMergedCleaned[[#This Row],[Readmission_Rate_Pct]]-TX_Median_Readmission
)</f>
        <v>0.29999999999999893</v>
      </c>
    </row>
    <row r="25" spans="1:45">
      <c r="A25" t="s">
        <v>178</v>
      </c>
      <c r="B25" t="s">
        <v>179</v>
      </c>
      <c r="C25" t="s">
        <v>180</v>
      </c>
      <c r="D25" t="s">
        <v>181</v>
      </c>
      <c r="E25" t="s">
        <v>18</v>
      </c>
      <c r="F25" t="s">
        <v>182</v>
      </c>
      <c r="G25" t="s">
        <v>183</v>
      </c>
      <c r="H25" t="s">
        <v>184</v>
      </c>
      <c r="I25" t="s">
        <v>21</v>
      </c>
      <c r="J25" t="s">
        <v>33</v>
      </c>
      <c r="K25" t="s">
        <v>23</v>
      </c>
      <c r="L25">
        <v>3</v>
      </c>
      <c r="M25" t="s">
        <v>42</v>
      </c>
      <c r="N25" t="s">
        <v>143</v>
      </c>
      <c r="O25" s="2">
        <v>77</v>
      </c>
      <c r="P25" s="2">
        <v>76</v>
      </c>
      <c r="Q25" s="2">
        <v>56</v>
      </c>
      <c r="R25" s="2">
        <v>83</v>
      </c>
      <c r="S25" s="2">
        <v>66</v>
      </c>
      <c r="T25" s="2">
        <v>67</v>
      </c>
      <c r="U25" t="s">
        <v>1672</v>
      </c>
      <c r="V25" s="2">
        <v>14</v>
      </c>
      <c r="W25" s="1">
        <v>45474</v>
      </c>
      <c r="X25" s="1">
        <v>45838</v>
      </c>
      <c r="Y25" s="2">
        <v>14.3</v>
      </c>
      <c r="Z25" t="s">
        <v>1884</v>
      </c>
      <c r="AA25">
        <v>1134</v>
      </c>
      <c r="AB25" s="2">
        <v>13</v>
      </c>
      <c r="AC25" s="2">
        <v>15.1</v>
      </c>
      <c r="AD25" t="s">
        <v>143</v>
      </c>
      <c r="AE25" s="1">
        <v>45108</v>
      </c>
      <c r="AF25" s="1">
        <v>45473</v>
      </c>
      <c r="AG25" t="b">
        <v>1</v>
      </c>
      <c r="AH25" t="b">
        <v>1</v>
      </c>
      <c r="AI25" t="b">
        <v>1</v>
      </c>
      <c r="AJ25" t="str">
        <f>IF(tblMergedCleaned[[#This Row],[Overall_Rating]]=
    "",
    "Unavailable",
    IF(tblMergedCleaned[[#This Row],[Overall_Rating]]&lt;=
        2,
        "Low (1-2)",
        IF(tblMergedCleaned[[#This Row],[Overall_Rating]]=
            3,
            "Middle (3)",
            "High (4-5)"
        )
    )
)</f>
        <v>Middle (3)</v>
      </c>
      <c r="AK25" cm="1">
        <f t="array" ref="AK25">IF(
    tblMergedCleaned[[#This Row],[Overall_Rating]]="",
    "",
    --(tblMergedCleaned[[#This Row],[Overall_Rating]]&lt;=2)
)</f>
        <v>0</v>
      </c>
      <c r="AL25">
        <f>IF(
    tblMergedCleaned[[#This Row],[Definitely_Recommend_Pct]]="",
    "",
    --(tblMergedCleaned[[#This Row],[Definitely_Recommend_Pct]]&lt;TX_Median_Recommend)
)</f>
        <v>1</v>
      </c>
      <c r="AM25">
        <f>IF(
    tblMergedCleaned[[#This Row],[Readmission_Comparison]]="",
    "",
    --(tblMergedCleaned[[#This Row],[Readmission_Comparison]]="Worse")
)</f>
        <v>0</v>
      </c>
      <c r="AN25">
        <f>COUNT(
    tblMergedCleaned[[#This Row],[Low_Rating_Flag]:[Worse_Readmission_Flag]]
)</f>
        <v>3</v>
      </c>
      <c r="AO25">
        <f>SUM(
    tblMergedCleaned[[#This Row],[Low_Rating_Flag]:[Worse_Readmission_Flag]]
)</f>
        <v>1</v>
      </c>
      <c r="AP2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2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25" s="2">
        <f>IF(
    tblMergedCleaned[[#This Row],[Definitely_Recommend_Pct]]="",
    "",
    tblMergedCleaned[[#This Row],[Definitely_Recommend_Pct]]-TX_Median_Recommend
)</f>
        <v>-4</v>
      </c>
      <c r="AS25" s="2">
        <f>IF(
    tblMergedCleaned[[#This Row],[Readmission_Rate_Pct]]="",
    "",
    tblMergedCleaned[[#This Row],[Readmission_Rate_Pct]]-TX_Median_Readmission
)</f>
        <v>-0.59999999999999964</v>
      </c>
    </row>
    <row r="26" spans="1:45">
      <c r="A26" t="s">
        <v>185</v>
      </c>
      <c r="B26" t="s">
        <v>186</v>
      </c>
      <c r="C26" t="s">
        <v>187</v>
      </c>
      <c r="D26" t="s">
        <v>188</v>
      </c>
      <c r="E26" t="s">
        <v>18</v>
      </c>
      <c r="F26" t="s">
        <v>189</v>
      </c>
      <c r="G26" t="s">
        <v>190</v>
      </c>
      <c r="H26" t="s">
        <v>191</v>
      </c>
      <c r="I26" t="s">
        <v>21</v>
      </c>
      <c r="J26" t="s">
        <v>22</v>
      </c>
      <c r="K26" t="s">
        <v>23</v>
      </c>
      <c r="L26">
        <v>3</v>
      </c>
      <c r="M26" t="s">
        <v>42</v>
      </c>
      <c r="N26" t="s">
        <v>25</v>
      </c>
      <c r="O26" s="2">
        <v>75</v>
      </c>
      <c r="P26" s="2">
        <v>75</v>
      </c>
      <c r="Q26" s="2">
        <v>59</v>
      </c>
      <c r="R26" s="2">
        <v>83</v>
      </c>
      <c r="S26" s="2">
        <v>66</v>
      </c>
      <c r="T26" s="2">
        <v>63</v>
      </c>
      <c r="U26" t="s">
        <v>1673</v>
      </c>
      <c r="V26" s="2">
        <v>12</v>
      </c>
      <c r="W26" s="1">
        <v>45474</v>
      </c>
      <c r="X26" s="1">
        <v>45838</v>
      </c>
      <c r="Y26" s="2">
        <v>14.3</v>
      </c>
      <c r="Z26" t="s">
        <v>1884</v>
      </c>
      <c r="AA26">
        <v>5603</v>
      </c>
      <c r="AB26" s="2">
        <v>13.5</v>
      </c>
      <c r="AC26" s="2">
        <v>15.1</v>
      </c>
      <c r="AD26" t="s">
        <v>25</v>
      </c>
      <c r="AE26" s="1">
        <v>45108</v>
      </c>
      <c r="AF26" s="1">
        <v>45473</v>
      </c>
      <c r="AG26" t="b">
        <v>1</v>
      </c>
      <c r="AH26" t="b">
        <v>1</v>
      </c>
      <c r="AI26" t="b">
        <v>1</v>
      </c>
      <c r="AJ26" t="str">
        <f>IF(tblMergedCleaned[[#This Row],[Overall_Rating]]=
    "",
    "Unavailable",
    IF(tblMergedCleaned[[#This Row],[Overall_Rating]]&lt;=
        2,
        "Low (1-2)",
        IF(tblMergedCleaned[[#This Row],[Overall_Rating]]=
            3,
            "Middle (3)",
            "High (4-5)"
        )
    )
)</f>
        <v>Middle (3)</v>
      </c>
      <c r="AK26" cm="1">
        <f t="array" ref="AK26">IF(
    tblMergedCleaned[[#This Row],[Overall_Rating]]="",
    "",
    --(tblMergedCleaned[[#This Row],[Overall_Rating]]&lt;=2)
)</f>
        <v>0</v>
      </c>
      <c r="AL26">
        <f>IF(
    tblMergedCleaned[[#This Row],[Definitely_Recommend_Pct]]="",
    "",
    --(tblMergedCleaned[[#This Row],[Definitely_Recommend_Pct]]&lt;TX_Median_Recommend)
)</f>
        <v>1</v>
      </c>
      <c r="AM26">
        <f>IF(
    tblMergedCleaned[[#This Row],[Readmission_Comparison]]="",
    "",
    --(tblMergedCleaned[[#This Row],[Readmission_Comparison]]="Worse")
)</f>
        <v>0</v>
      </c>
      <c r="AN26">
        <f>COUNT(
    tblMergedCleaned[[#This Row],[Low_Rating_Flag]:[Worse_Readmission_Flag]]
)</f>
        <v>3</v>
      </c>
      <c r="AO26">
        <f>SUM(
    tblMergedCleaned[[#This Row],[Low_Rating_Flag]:[Worse_Readmission_Flag]]
)</f>
        <v>1</v>
      </c>
      <c r="AP2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2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6" s="2">
        <f>IF(
    tblMergedCleaned[[#This Row],[Definitely_Recommend_Pct]]="",
    "",
    tblMergedCleaned[[#This Row],[Definitely_Recommend_Pct]]-TX_Median_Recommend
)</f>
        <v>-8</v>
      </c>
      <c r="AS26" s="2">
        <f>IF(
    tblMergedCleaned[[#This Row],[Readmission_Rate_Pct]]="",
    "",
    tblMergedCleaned[[#This Row],[Readmission_Rate_Pct]]-TX_Median_Readmission
)</f>
        <v>-0.59999999999999964</v>
      </c>
    </row>
    <row r="27" spans="1:45">
      <c r="A27" t="s">
        <v>192</v>
      </c>
      <c r="B27" t="s">
        <v>193</v>
      </c>
      <c r="C27" t="s">
        <v>194</v>
      </c>
      <c r="D27" t="s">
        <v>195</v>
      </c>
      <c r="E27" t="s">
        <v>18</v>
      </c>
      <c r="F27" t="s">
        <v>196</v>
      </c>
      <c r="G27" t="s">
        <v>128</v>
      </c>
      <c r="H27" t="s">
        <v>197</v>
      </c>
      <c r="I27" t="s">
        <v>21</v>
      </c>
      <c r="J27" t="s">
        <v>33</v>
      </c>
      <c r="K27" t="s">
        <v>23</v>
      </c>
      <c r="L27">
        <v>4</v>
      </c>
      <c r="M27" t="s">
        <v>34</v>
      </c>
      <c r="N27" t="s">
        <v>25</v>
      </c>
      <c r="O27" s="2">
        <v>76</v>
      </c>
      <c r="P27" s="2">
        <v>74</v>
      </c>
      <c r="Q27" s="2">
        <v>60</v>
      </c>
      <c r="R27" s="2">
        <v>86</v>
      </c>
      <c r="S27" s="2">
        <v>70</v>
      </c>
      <c r="T27" s="2">
        <v>71</v>
      </c>
      <c r="U27" t="s">
        <v>1674</v>
      </c>
      <c r="V27" s="2">
        <v>15</v>
      </c>
      <c r="W27" s="1">
        <v>45474</v>
      </c>
      <c r="X27" s="1">
        <v>45838</v>
      </c>
      <c r="Y27" s="2">
        <v>15.3</v>
      </c>
      <c r="Z27" t="s">
        <v>1884</v>
      </c>
      <c r="AA27">
        <v>1431</v>
      </c>
      <c r="AB27" s="2">
        <v>14.1</v>
      </c>
      <c r="AC27" s="2">
        <v>16.600000000000001</v>
      </c>
      <c r="AD27" t="s">
        <v>25</v>
      </c>
      <c r="AE27" s="1">
        <v>45108</v>
      </c>
      <c r="AF27" s="1">
        <v>45473</v>
      </c>
      <c r="AG27" t="b">
        <v>1</v>
      </c>
      <c r="AH27" t="b">
        <v>1</v>
      </c>
      <c r="AI27" t="b">
        <v>1</v>
      </c>
      <c r="AJ27" t="str">
        <f>IF(tblMergedCleaned[[#This Row],[Overall_Rating]]=
    "",
    "Unavailable",
    IF(tblMergedCleaned[[#This Row],[Overall_Rating]]&lt;=
        2,
        "Low (1-2)",
        IF(tblMergedCleaned[[#This Row],[Overall_Rating]]=
            3,
            "Middle (3)",
            "High (4-5)"
        )
    )
)</f>
        <v>High (4-5)</v>
      </c>
      <c r="AK27" cm="1">
        <f t="array" ref="AK27">IF(
    tblMergedCleaned[[#This Row],[Overall_Rating]]="",
    "",
    --(tblMergedCleaned[[#This Row],[Overall_Rating]]&lt;=2)
)</f>
        <v>0</v>
      </c>
      <c r="AL27">
        <f>IF(
    tblMergedCleaned[[#This Row],[Definitely_Recommend_Pct]]="",
    "",
    --(tblMergedCleaned[[#This Row],[Definitely_Recommend_Pct]]&lt;TX_Median_Recommend)
)</f>
        <v>0</v>
      </c>
      <c r="AM27">
        <f>IF(
    tblMergedCleaned[[#This Row],[Readmission_Comparison]]="",
    "",
    --(tblMergedCleaned[[#This Row],[Readmission_Comparison]]="Worse")
)</f>
        <v>0</v>
      </c>
      <c r="AN27">
        <f>COUNT(
    tblMergedCleaned[[#This Row],[Low_Rating_Flag]:[Worse_Readmission_Flag]]
)</f>
        <v>3</v>
      </c>
      <c r="AO27">
        <f>SUM(
    tblMergedCleaned[[#This Row],[Low_Rating_Flag]:[Worse_Readmission_Flag]]
)</f>
        <v>0</v>
      </c>
      <c r="AP2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27" s="2">
        <f>IF(
    tblMergedCleaned[[#This Row],[Definitely_Recommend_Pct]]="",
    "",
    tblMergedCleaned[[#This Row],[Definitely_Recommend_Pct]]-TX_Median_Recommend
)</f>
        <v>0</v>
      </c>
      <c r="AS27" s="2">
        <f>IF(
    tblMergedCleaned[[#This Row],[Readmission_Rate_Pct]]="",
    "",
    tblMergedCleaned[[#This Row],[Readmission_Rate_Pct]]-TX_Median_Readmission
)</f>
        <v>0.40000000000000036</v>
      </c>
    </row>
    <row r="28" spans="1:45">
      <c r="A28" t="s">
        <v>198</v>
      </c>
      <c r="B28" t="s">
        <v>199</v>
      </c>
      <c r="C28" t="s">
        <v>200</v>
      </c>
      <c r="D28" t="s">
        <v>119</v>
      </c>
      <c r="E28" t="s">
        <v>18</v>
      </c>
      <c r="F28" t="s">
        <v>201</v>
      </c>
      <c r="G28" t="s">
        <v>121</v>
      </c>
      <c r="H28" t="s">
        <v>202</v>
      </c>
      <c r="I28" t="s">
        <v>21</v>
      </c>
      <c r="J28" t="s">
        <v>33</v>
      </c>
      <c r="K28" t="s">
        <v>23</v>
      </c>
      <c r="L28">
        <v>4</v>
      </c>
      <c r="M28" t="s">
        <v>34</v>
      </c>
      <c r="N28" t="s">
        <v>25</v>
      </c>
      <c r="O28" s="2">
        <v>75</v>
      </c>
      <c r="P28" s="2">
        <v>75</v>
      </c>
      <c r="Q28" s="2">
        <v>57</v>
      </c>
      <c r="R28" s="2">
        <v>85</v>
      </c>
      <c r="S28" s="2">
        <v>72</v>
      </c>
      <c r="T28" s="2">
        <v>71</v>
      </c>
      <c r="U28" t="s">
        <v>1675</v>
      </c>
      <c r="V28" s="2">
        <v>13</v>
      </c>
      <c r="W28" s="1">
        <v>45474</v>
      </c>
      <c r="X28" s="1">
        <v>45838</v>
      </c>
      <c r="Y28" s="2">
        <v>14.6</v>
      </c>
      <c r="Z28" t="s">
        <v>1884</v>
      </c>
      <c r="AA28">
        <v>3979</v>
      </c>
      <c r="AB28" s="2">
        <v>13.7</v>
      </c>
      <c r="AC28" s="2">
        <v>15.5</v>
      </c>
      <c r="AD28" t="s">
        <v>25</v>
      </c>
      <c r="AE28" s="1">
        <v>45108</v>
      </c>
      <c r="AF28" s="1">
        <v>45473</v>
      </c>
      <c r="AG28" t="b">
        <v>1</v>
      </c>
      <c r="AH28" t="b">
        <v>1</v>
      </c>
      <c r="AI28" t="b">
        <v>1</v>
      </c>
      <c r="AJ28" t="str">
        <f>IF(tblMergedCleaned[[#This Row],[Overall_Rating]]=
    "",
    "Unavailable",
    IF(tblMergedCleaned[[#This Row],[Overall_Rating]]&lt;=
        2,
        "Low (1-2)",
        IF(tblMergedCleaned[[#This Row],[Overall_Rating]]=
            3,
            "Middle (3)",
            "High (4-5)"
        )
    )
)</f>
        <v>High (4-5)</v>
      </c>
      <c r="AK28" cm="1">
        <f t="array" ref="AK28">IF(
    tblMergedCleaned[[#This Row],[Overall_Rating]]="",
    "",
    --(tblMergedCleaned[[#This Row],[Overall_Rating]]&lt;=2)
)</f>
        <v>0</v>
      </c>
      <c r="AL28">
        <f>IF(
    tblMergedCleaned[[#This Row],[Definitely_Recommend_Pct]]="",
    "",
    --(tblMergedCleaned[[#This Row],[Definitely_Recommend_Pct]]&lt;TX_Median_Recommend)
)</f>
        <v>0</v>
      </c>
      <c r="AM28">
        <f>IF(
    tblMergedCleaned[[#This Row],[Readmission_Comparison]]="",
    "",
    --(tblMergedCleaned[[#This Row],[Readmission_Comparison]]="Worse")
)</f>
        <v>0</v>
      </c>
      <c r="AN28">
        <f>COUNT(
    tblMergedCleaned[[#This Row],[Low_Rating_Flag]:[Worse_Readmission_Flag]]
)</f>
        <v>3</v>
      </c>
      <c r="AO28">
        <f>SUM(
    tblMergedCleaned[[#This Row],[Low_Rating_Flag]:[Worse_Readmission_Flag]]
)</f>
        <v>0</v>
      </c>
      <c r="AP2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28" s="2">
        <f>IF(
    tblMergedCleaned[[#This Row],[Definitely_Recommend_Pct]]="",
    "",
    tblMergedCleaned[[#This Row],[Definitely_Recommend_Pct]]-TX_Median_Recommend
)</f>
        <v>0</v>
      </c>
      <c r="AS28" s="2">
        <f>IF(
    tblMergedCleaned[[#This Row],[Readmission_Rate_Pct]]="",
    "",
    tblMergedCleaned[[#This Row],[Readmission_Rate_Pct]]-TX_Median_Readmission
)</f>
        <v>-0.30000000000000071</v>
      </c>
    </row>
    <row r="29" spans="1:45">
      <c r="A29" t="s">
        <v>203</v>
      </c>
      <c r="B29" t="s">
        <v>204</v>
      </c>
      <c r="C29" t="s">
        <v>205</v>
      </c>
      <c r="D29" t="s">
        <v>206</v>
      </c>
      <c r="E29" t="s">
        <v>18</v>
      </c>
      <c r="F29" t="s">
        <v>207</v>
      </c>
      <c r="G29" t="s">
        <v>208</v>
      </c>
      <c r="H29" t="s">
        <v>209</v>
      </c>
      <c r="I29" t="s">
        <v>21</v>
      </c>
      <c r="J29" t="s">
        <v>33</v>
      </c>
      <c r="K29" t="s">
        <v>23</v>
      </c>
      <c r="L29">
        <v>4</v>
      </c>
      <c r="M29" t="s">
        <v>34</v>
      </c>
      <c r="N29" t="s">
        <v>25</v>
      </c>
      <c r="O29" s="2">
        <v>80</v>
      </c>
      <c r="P29" s="2">
        <v>82</v>
      </c>
      <c r="Q29" s="2">
        <v>65</v>
      </c>
      <c r="R29" s="2">
        <v>85</v>
      </c>
      <c r="S29" s="2">
        <v>70</v>
      </c>
      <c r="T29" s="2">
        <v>66</v>
      </c>
      <c r="U29" t="s">
        <v>1676</v>
      </c>
      <c r="V29" s="2">
        <v>14</v>
      </c>
      <c r="W29" s="1">
        <v>45474</v>
      </c>
      <c r="X29" s="1">
        <v>45838</v>
      </c>
      <c r="Y29" s="2">
        <v>15.1</v>
      </c>
      <c r="Z29" t="s">
        <v>1884</v>
      </c>
      <c r="AA29">
        <v>532</v>
      </c>
      <c r="AB29" s="2">
        <v>13.5</v>
      </c>
      <c r="AC29" s="2">
        <v>16.8</v>
      </c>
      <c r="AD29" t="s">
        <v>25</v>
      </c>
      <c r="AE29" s="1">
        <v>45108</v>
      </c>
      <c r="AF29" s="1">
        <v>45473</v>
      </c>
      <c r="AG29" t="b">
        <v>1</v>
      </c>
      <c r="AH29" t="b">
        <v>1</v>
      </c>
      <c r="AI29" t="b">
        <v>1</v>
      </c>
      <c r="AJ29" t="str">
        <f>IF(tblMergedCleaned[[#This Row],[Overall_Rating]]=
    "",
    "Unavailable",
    IF(tblMergedCleaned[[#This Row],[Overall_Rating]]&lt;=
        2,
        "Low (1-2)",
        IF(tblMergedCleaned[[#This Row],[Overall_Rating]]=
            3,
            "Middle (3)",
            "High (4-5)"
        )
    )
)</f>
        <v>High (4-5)</v>
      </c>
      <c r="AK29" cm="1">
        <f t="array" ref="AK29">IF(
    tblMergedCleaned[[#This Row],[Overall_Rating]]="",
    "",
    --(tblMergedCleaned[[#This Row],[Overall_Rating]]&lt;=2)
)</f>
        <v>0</v>
      </c>
      <c r="AL29">
        <f>IF(
    tblMergedCleaned[[#This Row],[Definitely_Recommend_Pct]]="",
    "",
    --(tblMergedCleaned[[#This Row],[Definitely_Recommend_Pct]]&lt;TX_Median_Recommend)
)</f>
        <v>1</v>
      </c>
      <c r="AM29">
        <f>IF(
    tblMergedCleaned[[#This Row],[Readmission_Comparison]]="",
    "",
    --(tblMergedCleaned[[#This Row],[Readmission_Comparison]]="Worse")
)</f>
        <v>0</v>
      </c>
      <c r="AN29">
        <f>COUNT(
    tblMergedCleaned[[#This Row],[Low_Rating_Flag]:[Worse_Readmission_Flag]]
)</f>
        <v>3</v>
      </c>
      <c r="AO29">
        <f>SUM(
    tblMergedCleaned[[#This Row],[Low_Rating_Flag]:[Worse_Readmission_Flag]]
)</f>
        <v>1</v>
      </c>
      <c r="AP2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2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9" s="2">
        <f>IF(
    tblMergedCleaned[[#This Row],[Definitely_Recommend_Pct]]="",
    "",
    tblMergedCleaned[[#This Row],[Definitely_Recommend_Pct]]-TX_Median_Recommend
)</f>
        <v>-5</v>
      </c>
      <c r="AS29" s="2">
        <f>IF(
    tblMergedCleaned[[#This Row],[Readmission_Rate_Pct]]="",
    "",
    tblMergedCleaned[[#This Row],[Readmission_Rate_Pct]]-TX_Median_Readmission
)</f>
        <v>0.19999999999999929</v>
      </c>
    </row>
    <row r="30" spans="1:45">
      <c r="A30" t="s">
        <v>210</v>
      </c>
      <c r="B30" t="s">
        <v>211</v>
      </c>
      <c r="C30" t="s">
        <v>212</v>
      </c>
      <c r="D30" t="s">
        <v>213</v>
      </c>
      <c r="E30" t="s">
        <v>18</v>
      </c>
      <c r="F30" t="s">
        <v>214</v>
      </c>
      <c r="G30" t="s">
        <v>53</v>
      </c>
      <c r="H30" t="s">
        <v>215</v>
      </c>
      <c r="I30" t="s">
        <v>21</v>
      </c>
      <c r="J30" t="s">
        <v>33</v>
      </c>
      <c r="K30" t="s">
        <v>23</v>
      </c>
      <c r="L30">
        <v>5</v>
      </c>
      <c r="M30" t="s">
        <v>168</v>
      </c>
      <c r="N30" t="s">
        <v>25</v>
      </c>
      <c r="O30" s="2">
        <v>78</v>
      </c>
      <c r="P30" s="2">
        <v>77</v>
      </c>
      <c r="Q30" s="2">
        <v>61</v>
      </c>
      <c r="R30" s="2">
        <v>88</v>
      </c>
      <c r="S30" s="2">
        <v>74</v>
      </c>
      <c r="T30" s="2">
        <v>77</v>
      </c>
      <c r="U30" t="s">
        <v>1677</v>
      </c>
      <c r="V30" s="2">
        <v>10</v>
      </c>
      <c r="W30" s="1">
        <v>45474</v>
      </c>
      <c r="X30" s="1">
        <v>45838</v>
      </c>
      <c r="Y30" s="2">
        <v>14.8</v>
      </c>
      <c r="Z30" t="s">
        <v>1884</v>
      </c>
      <c r="AA30">
        <v>1424</v>
      </c>
      <c r="AB30" s="2">
        <v>13.6</v>
      </c>
      <c r="AC30" s="2">
        <v>16</v>
      </c>
      <c r="AD30" t="s">
        <v>25</v>
      </c>
      <c r="AE30" s="1">
        <v>45108</v>
      </c>
      <c r="AF30" s="1">
        <v>45473</v>
      </c>
      <c r="AG30" t="b">
        <v>1</v>
      </c>
      <c r="AH30" t="b">
        <v>1</v>
      </c>
      <c r="AI30" t="b">
        <v>1</v>
      </c>
      <c r="AJ30" t="str">
        <f>IF(tblMergedCleaned[[#This Row],[Overall_Rating]]=
    "",
    "Unavailable",
    IF(tblMergedCleaned[[#This Row],[Overall_Rating]]&lt;=
        2,
        "Low (1-2)",
        IF(tblMergedCleaned[[#This Row],[Overall_Rating]]=
            3,
            "Middle (3)",
            "High (4-5)"
        )
    )
)</f>
        <v>High (4-5)</v>
      </c>
      <c r="AK30" cm="1">
        <f t="array" ref="AK30">IF(
    tblMergedCleaned[[#This Row],[Overall_Rating]]="",
    "",
    --(tblMergedCleaned[[#This Row],[Overall_Rating]]&lt;=2)
)</f>
        <v>0</v>
      </c>
      <c r="AL30">
        <f>IF(
    tblMergedCleaned[[#This Row],[Definitely_Recommend_Pct]]="",
    "",
    --(tblMergedCleaned[[#This Row],[Definitely_Recommend_Pct]]&lt;TX_Median_Recommend)
)</f>
        <v>0</v>
      </c>
      <c r="AM30">
        <f>IF(
    tblMergedCleaned[[#This Row],[Readmission_Comparison]]="",
    "",
    --(tblMergedCleaned[[#This Row],[Readmission_Comparison]]="Worse")
)</f>
        <v>0</v>
      </c>
      <c r="AN30">
        <f>COUNT(
    tblMergedCleaned[[#This Row],[Low_Rating_Flag]:[Worse_Readmission_Flag]]
)</f>
        <v>3</v>
      </c>
      <c r="AO30">
        <f>SUM(
    tblMergedCleaned[[#This Row],[Low_Rating_Flag]:[Worse_Readmission_Flag]]
)</f>
        <v>0</v>
      </c>
      <c r="AP3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3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30" s="2">
        <f>IF(
    tblMergedCleaned[[#This Row],[Definitely_Recommend_Pct]]="",
    "",
    tblMergedCleaned[[#This Row],[Definitely_Recommend_Pct]]-TX_Median_Recommend
)</f>
        <v>6</v>
      </c>
      <c r="AS30" s="2">
        <f>IF(
    tblMergedCleaned[[#This Row],[Readmission_Rate_Pct]]="",
    "",
    tblMergedCleaned[[#This Row],[Readmission_Rate_Pct]]-TX_Median_Readmission
)</f>
        <v>-9.9999999999999645E-2</v>
      </c>
    </row>
    <row r="31" spans="1:45">
      <c r="A31" t="s">
        <v>216</v>
      </c>
      <c r="B31" t="s">
        <v>217</v>
      </c>
      <c r="C31" t="s">
        <v>218</v>
      </c>
      <c r="D31" t="s">
        <v>219</v>
      </c>
      <c r="E31" t="s">
        <v>18</v>
      </c>
      <c r="F31" t="s">
        <v>220</v>
      </c>
      <c r="G31" t="s">
        <v>221</v>
      </c>
      <c r="H31" t="s">
        <v>222</v>
      </c>
      <c r="I31" t="s">
        <v>21</v>
      </c>
      <c r="J31" t="s">
        <v>56</v>
      </c>
      <c r="K31" t="s">
        <v>23</v>
      </c>
      <c r="L31">
        <v>3</v>
      </c>
      <c r="M31" t="s">
        <v>42</v>
      </c>
      <c r="N31" t="s">
        <v>25</v>
      </c>
      <c r="O31" s="2">
        <v>82</v>
      </c>
      <c r="P31" s="2">
        <v>82</v>
      </c>
      <c r="Q31" s="2">
        <v>64</v>
      </c>
      <c r="R31" s="2">
        <v>89</v>
      </c>
      <c r="S31" s="2">
        <v>68</v>
      </c>
      <c r="T31" s="2">
        <v>70</v>
      </c>
      <c r="U31" t="s">
        <v>1678</v>
      </c>
      <c r="V31" s="2">
        <v>20</v>
      </c>
      <c r="W31" s="1">
        <v>45474</v>
      </c>
      <c r="X31" s="1">
        <v>45838</v>
      </c>
      <c r="Y31" s="2">
        <v>15.2</v>
      </c>
      <c r="Z31" t="s">
        <v>1884</v>
      </c>
      <c r="AA31">
        <v>515</v>
      </c>
      <c r="AB31" s="2">
        <v>13.9</v>
      </c>
      <c r="AC31" s="2">
        <v>16.7</v>
      </c>
      <c r="AD31" t="s">
        <v>25</v>
      </c>
      <c r="AE31" s="1">
        <v>45108</v>
      </c>
      <c r="AF31" s="1">
        <v>45473</v>
      </c>
      <c r="AG31" t="b">
        <v>1</v>
      </c>
      <c r="AH31" t="b">
        <v>1</v>
      </c>
      <c r="AI31" t="b">
        <v>1</v>
      </c>
      <c r="AJ31" t="str">
        <f>IF(tblMergedCleaned[[#This Row],[Overall_Rating]]=
    "",
    "Unavailable",
    IF(tblMergedCleaned[[#This Row],[Overall_Rating]]&lt;=
        2,
        "Low (1-2)",
        IF(tblMergedCleaned[[#This Row],[Overall_Rating]]=
            3,
            "Middle (3)",
            "High (4-5)"
        )
    )
)</f>
        <v>Middle (3)</v>
      </c>
      <c r="AK31" cm="1">
        <f t="array" ref="AK31">IF(
    tblMergedCleaned[[#This Row],[Overall_Rating]]="",
    "",
    --(tblMergedCleaned[[#This Row],[Overall_Rating]]&lt;=2)
)</f>
        <v>0</v>
      </c>
      <c r="AL31">
        <f>IF(
    tblMergedCleaned[[#This Row],[Definitely_Recommend_Pct]]="",
    "",
    --(tblMergedCleaned[[#This Row],[Definitely_Recommend_Pct]]&lt;TX_Median_Recommend)
)</f>
        <v>1</v>
      </c>
      <c r="AM31">
        <f>IF(
    tblMergedCleaned[[#This Row],[Readmission_Comparison]]="",
    "",
    --(tblMergedCleaned[[#This Row],[Readmission_Comparison]]="Worse")
)</f>
        <v>0</v>
      </c>
      <c r="AN31">
        <f>COUNT(
    tblMergedCleaned[[#This Row],[Low_Rating_Flag]:[Worse_Readmission_Flag]]
)</f>
        <v>3</v>
      </c>
      <c r="AO31">
        <f>SUM(
    tblMergedCleaned[[#This Row],[Low_Rating_Flag]:[Worse_Readmission_Flag]]
)</f>
        <v>1</v>
      </c>
      <c r="AP3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3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31" s="2">
        <f>IF(
    tblMergedCleaned[[#This Row],[Definitely_Recommend_Pct]]="",
    "",
    tblMergedCleaned[[#This Row],[Definitely_Recommend_Pct]]-TX_Median_Recommend
)</f>
        <v>-1</v>
      </c>
      <c r="AS31" s="2">
        <f>IF(
    tblMergedCleaned[[#This Row],[Readmission_Rate_Pct]]="",
    "",
    tblMergedCleaned[[#This Row],[Readmission_Rate_Pct]]-TX_Median_Readmission
)</f>
        <v>0.29999999999999893</v>
      </c>
    </row>
    <row r="32" spans="1:45">
      <c r="A32" t="s">
        <v>223</v>
      </c>
      <c r="B32" t="s">
        <v>224</v>
      </c>
      <c r="C32" t="s">
        <v>225</v>
      </c>
      <c r="D32" t="s">
        <v>226</v>
      </c>
      <c r="E32" t="s">
        <v>18</v>
      </c>
      <c r="F32" t="s">
        <v>227</v>
      </c>
      <c r="G32" t="s">
        <v>228</v>
      </c>
      <c r="H32" t="s">
        <v>229</v>
      </c>
      <c r="I32" t="s">
        <v>21</v>
      </c>
      <c r="J32" t="s">
        <v>33</v>
      </c>
      <c r="K32" t="s">
        <v>23</v>
      </c>
      <c r="L32">
        <v>2</v>
      </c>
      <c r="M32" t="s">
        <v>24</v>
      </c>
      <c r="N32" t="s">
        <v>25</v>
      </c>
      <c r="O32" s="2">
        <v>78</v>
      </c>
      <c r="P32" s="2">
        <v>71</v>
      </c>
      <c r="Q32" s="2">
        <v>54</v>
      </c>
      <c r="R32" s="2">
        <v>87</v>
      </c>
      <c r="S32" s="2">
        <v>60</v>
      </c>
      <c r="T32" s="2">
        <v>56</v>
      </c>
      <c r="U32" t="s">
        <v>1679</v>
      </c>
      <c r="V32" s="2">
        <v>13</v>
      </c>
      <c r="W32" s="1">
        <v>45474</v>
      </c>
      <c r="X32" s="1">
        <v>45838</v>
      </c>
      <c r="Y32" s="2">
        <v>15.4</v>
      </c>
      <c r="Z32" t="s">
        <v>1884</v>
      </c>
      <c r="AA32">
        <v>152</v>
      </c>
      <c r="AB32" s="2">
        <v>13.7</v>
      </c>
      <c r="AC32" s="2">
        <v>17.3</v>
      </c>
      <c r="AD32" t="s">
        <v>25</v>
      </c>
      <c r="AE32" s="1">
        <v>45108</v>
      </c>
      <c r="AF32" s="1">
        <v>45473</v>
      </c>
      <c r="AG32" t="b">
        <v>1</v>
      </c>
      <c r="AH32" t="b">
        <v>1</v>
      </c>
      <c r="AI32" t="b">
        <v>1</v>
      </c>
      <c r="AJ32" t="str">
        <f>IF(tblMergedCleaned[[#This Row],[Overall_Rating]]=
    "",
    "Unavailable",
    IF(tblMergedCleaned[[#This Row],[Overall_Rating]]&lt;=
        2,
        "Low (1-2)",
        IF(tblMergedCleaned[[#This Row],[Overall_Rating]]=
            3,
            "Middle (3)",
            "High (4-5)"
        )
    )
)</f>
        <v>Low (1-2)</v>
      </c>
      <c r="AK32" cm="1">
        <f t="array" ref="AK32">IF(
    tblMergedCleaned[[#This Row],[Overall_Rating]]="",
    "",
    --(tblMergedCleaned[[#This Row],[Overall_Rating]]&lt;=2)
)</f>
        <v>1</v>
      </c>
      <c r="AL32">
        <f>IF(
    tblMergedCleaned[[#This Row],[Definitely_Recommend_Pct]]="",
    "",
    --(tblMergedCleaned[[#This Row],[Definitely_Recommend_Pct]]&lt;TX_Median_Recommend)
)</f>
        <v>1</v>
      </c>
      <c r="AM32">
        <f>IF(
    tblMergedCleaned[[#This Row],[Readmission_Comparison]]="",
    "",
    --(tblMergedCleaned[[#This Row],[Readmission_Comparison]]="Worse")
)</f>
        <v>0</v>
      </c>
      <c r="AN32">
        <f>COUNT(
    tblMergedCleaned[[#This Row],[Low_Rating_Flag]:[Worse_Readmission_Flag]]
)</f>
        <v>3</v>
      </c>
      <c r="AO32">
        <f>SUM(
    tblMergedCleaned[[#This Row],[Low_Rating_Flag]:[Worse_Readmission_Flag]]
)</f>
        <v>2</v>
      </c>
      <c r="AP3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3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32" s="2">
        <f>IF(
    tblMergedCleaned[[#This Row],[Definitely_Recommend_Pct]]="",
    "",
    tblMergedCleaned[[#This Row],[Definitely_Recommend_Pct]]-TX_Median_Recommend
)</f>
        <v>-15</v>
      </c>
      <c r="AS32" s="2">
        <f>IF(
    tblMergedCleaned[[#This Row],[Readmission_Rate_Pct]]="",
    "",
    tblMergedCleaned[[#This Row],[Readmission_Rate_Pct]]-TX_Median_Readmission
)</f>
        <v>0.5</v>
      </c>
    </row>
    <row r="33" spans="1:45">
      <c r="A33" t="s">
        <v>230</v>
      </c>
      <c r="B33" t="s">
        <v>231</v>
      </c>
      <c r="C33" t="s">
        <v>232</v>
      </c>
      <c r="D33" t="s">
        <v>233</v>
      </c>
      <c r="E33" t="s">
        <v>18</v>
      </c>
      <c r="F33" t="s">
        <v>234</v>
      </c>
      <c r="G33" t="s">
        <v>235</v>
      </c>
      <c r="H33" t="s">
        <v>236</v>
      </c>
      <c r="I33" t="s">
        <v>21</v>
      </c>
      <c r="J33" t="s">
        <v>22</v>
      </c>
      <c r="K33" t="s">
        <v>23</v>
      </c>
      <c r="L33">
        <v>2</v>
      </c>
      <c r="M33" t="s">
        <v>24</v>
      </c>
      <c r="N33" t="s">
        <v>25</v>
      </c>
      <c r="O33" s="2">
        <v>74</v>
      </c>
      <c r="P33" s="2">
        <v>74</v>
      </c>
      <c r="Q33" s="2">
        <v>54</v>
      </c>
      <c r="R33" s="2">
        <v>84</v>
      </c>
      <c r="S33" s="2">
        <v>65</v>
      </c>
      <c r="T33" s="2">
        <v>67</v>
      </c>
      <c r="U33" t="s">
        <v>1680</v>
      </c>
      <c r="V33" s="2">
        <v>17</v>
      </c>
      <c r="W33" s="1">
        <v>45474</v>
      </c>
      <c r="X33" s="1">
        <v>45838</v>
      </c>
      <c r="Y33" s="2">
        <v>15.4</v>
      </c>
      <c r="Z33" t="s">
        <v>1884</v>
      </c>
      <c r="AA33">
        <v>4047</v>
      </c>
      <c r="AB33" s="2">
        <v>14.5</v>
      </c>
      <c r="AC33" s="2">
        <v>16.3</v>
      </c>
      <c r="AD33" t="s">
        <v>25</v>
      </c>
      <c r="AE33" s="1">
        <v>45108</v>
      </c>
      <c r="AF33" s="1">
        <v>45473</v>
      </c>
      <c r="AG33" t="b">
        <v>1</v>
      </c>
      <c r="AH33" t="b">
        <v>1</v>
      </c>
      <c r="AI33" t="b">
        <v>1</v>
      </c>
      <c r="AJ33" t="str">
        <f>IF(tblMergedCleaned[[#This Row],[Overall_Rating]]=
    "",
    "Unavailable",
    IF(tblMergedCleaned[[#This Row],[Overall_Rating]]&lt;=
        2,
        "Low (1-2)",
        IF(tblMergedCleaned[[#This Row],[Overall_Rating]]=
            3,
            "Middle (3)",
            "High (4-5)"
        )
    )
)</f>
        <v>Low (1-2)</v>
      </c>
      <c r="AK33" cm="1">
        <f t="array" ref="AK33">IF(
    tblMergedCleaned[[#This Row],[Overall_Rating]]="",
    "",
    --(tblMergedCleaned[[#This Row],[Overall_Rating]]&lt;=2)
)</f>
        <v>1</v>
      </c>
      <c r="AL33">
        <f>IF(
    tblMergedCleaned[[#This Row],[Definitely_Recommend_Pct]]="",
    "",
    --(tblMergedCleaned[[#This Row],[Definitely_Recommend_Pct]]&lt;TX_Median_Recommend)
)</f>
        <v>1</v>
      </c>
      <c r="AM33">
        <f>IF(
    tblMergedCleaned[[#This Row],[Readmission_Comparison]]="",
    "",
    --(tblMergedCleaned[[#This Row],[Readmission_Comparison]]="Worse")
)</f>
        <v>0</v>
      </c>
      <c r="AN33">
        <f>COUNT(
    tblMergedCleaned[[#This Row],[Low_Rating_Flag]:[Worse_Readmission_Flag]]
)</f>
        <v>3</v>
      </c>
      <c r="AO33">
        <f>SUM(
    tblMergedCleaned[[#This Row],[Low_Rating_Flag]:[Worse_Readmission_Flag]]
)</f>
        <v>2</v>
      </c>
      <c r="AP3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3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33" s="2">
        <f>IF(
    tblMergedCleaned[[#This Row],[Definitely_Recommend_Pct]]="",
    "",
    tblMergedCleaned[[#This Row],[Definitely_Recommend_Pct]]-TX_Median_Recommend
)</f>
        <v>-4</v>
      </c>
      <c r="AS33" s="2">
        <f>IF(
    tblMergedCleaned[[#This Row],[Readmission_Rate_Pct]]="",
    "",
    tblMergedCleaned[[#This Row],[Readmission_Rate_Pct]]-TX_Median_Readmission
)</f>
        <v>0.5</v>
      </c>
    </row>
    <row r="34" spans="1:45">
      <c r="A34" t="s">
        <v>237</v>
      </c>
      <c r="B34" t="s">
        <v>238</v>
      </c>
      <c r="C34" t="s">
        <v>239</v>
      </c>
      <c r="D34" t="s">
        <v>240</v>
      </c>
      <c r="E34" t="s">
        <v>18</v>
      </c>
      <c r="F34" t="s">
        <v>241</v>
      </c>
      <c r="G34" t="s">
        <v>128</v>
      </c>
      <c r="H34" t="s">
        <v>242</v>
      </c>
      <c r="I34" t="s">
        <v>21</v>
      </c>
      <c r="J34" t="s">
        <v>22</v>
      </c>
      <c r="K34" t="s">
        <v>23</v>
      </c>
      <c r="L34">
        <v>2</v>
      </c>
      <c r="M34" t="s">
        <v>24</v>
      </c>
      <c r="N34" t="s">
        <v>25</v>
      </c>
      <c r="O34" s="2">
        <v>75</v>
      </c>
      <c r="P34" s="2">
        <v>71</v>
      </c>
      <c r="Q34" s="2">
        <v>58</v>
      </c>
      <c r="R34" s="2">
        <v>77</v>
      </c>
      <c r="S34" s="2">
        <v>68</v>
      </c>
      <c r="T34" s="2">
        <v>67</v>
      </c>
      <c r="U34" t="s">
        <v>1681</v>
      </c>
      <c r="V34" s="2">
        <v>15</v>
      </c>
      <c r="W34" s="1">
        <v>45474</v>
      </c>
      <c r="X34" s="1">
        <v>45838</v>
      </c>
      <c r="Y34" s="2">
        <v>15.3</v>
      </c>
      <c r="Z34" t="s">
        <v>1884</v>
      </c>
      <c r="AA34">
        <v>1041</v>
      </c>
      <c r="AB34" s="2">
        <v>14.1</v>
      </c>
      <c r="AC34" s="2">
        <v>16.8</v>
      </c>
      <c r="AD34" t="s">
        <v>25</v>
      </c>
      <c r="AE34" s="1">
        <v>45108</v>
      </c>
      <c r="AF34" s="1">
        <v>45473</v>
      </c>
      <c r="AG34" t="b">
        <v>1</v>
      </c>
      <c r="AH34" t="b">
        <v>1</v>
      </c>
      <c r="AI34" t="b">
        <v>1</v>
      </c>
      <c r="AJ34" t="str">
        <f>IF(tblMergedCleaned[[#This Row],[Overall_Rating]]=
    "",
    "Unavailable",
    IF(tblMergedCleaned[[#This Row],[Overall_Rating]]&lt;=
        2,
        "Low (1-2)",
        IF(tblMergedCleaned[[#This Row],[Overall_Rating]]=
            3,
            "Middle (3)",
            "High (4-5)"
        )
    )
)</f>
        <v>Low (1-2)</v>
      </c>
      <c r="AK34" cm="1">
        <f t="array" ref="AK34">IF(
    tblMergedCleaned[[#This Row],[Overall_Rating]]="",
    "",
    --(tblMergedCleaned[[#This Row],[Overall_Rating]]&lt;=2)
)</f>
        <v>1</v>
      </c>
      <c r="AL34">
        <f>IF(
    tblMergedCleaned[[#This Row],[Definitely_Recommend_Pct]]="",
    "",
    --(tblMergedCleaned[[#This Row],[Definitely_Recommend_Pct]]&lt;TX_Median_Recommend)
)</f>
        <v>1</v>
      </c>
      <c r="AM34">
        <f>IF(
    tblMergedCleaned[[#This Row],[Readmission_Comparison]]="",
    "",
    --(tblMergedCleaned[[#This Row],[Readmission_Comparison]]="Worse")
)</f>
        <v>0</v>
      </c>
      <c r="AN34">
        <f>COUNT(
    tblMergedCleaned[[#This Row],[Low_Rating_Flag]:[Worse_Readmission_Flag]]
)</f>
        <v>3</v>
      </c>
      <c r="AO34">
        <f>SUM(
    tblMergedCleaned[[#This Row],[Low_Rating_Flag]:[Worse_Readmission_Flag]]
)</f>
        <v>2</v>
      </c>
      <c r="AP3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3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34" s="2">
        <f>IF(
    tblMergedCleaned[[#This Row],[Definitely_Recommend_Pct]]="",
    "",
    tblMergedCleaned[[#This Row],[Definitely_Recommend_Pct]]-TX_Median_Recommend
)</f>
        <v>-4</v>
      </c>
      <c r="AS34" s="2">
        <f>IF(
    tblMergedCleaned[[#This Row],[Readmission_Rate_Pct]]="",
    "",
    tblMergedCleaned[[#This Row],[Readmission_Rate_Pct]]-TX_Median_Readmission
)</f>
        <v>0.40000000000000036</v>
      </c>
    </row>
    <row r="35" spans="1:45">
      <c r="A35" t="s">
        <v>243</v>
      </c>
      <c r="B35" t="s">
        <v>244</v>
      </c>
      <c r="C35" t="s">
        <v>245</v>
      </c>
      <c r="D35" t="s">
        <v>246</v>
      </c>
      <c r="E35" t="s">
        <v>18</v>
      </c>
      <c r="F35" t="s">
        <v>247</v>
      </c>
      <c r="G35" t="s">
        <v>248</v>
      </c>
      <c r="H35" t="s">
        <v>249</v>
      </c>
      <c r="I35" t="s">
        <v>21</v>
      </c>
      <c r="J35" t="s">
        <v>33</v>
      </c>
      <c r="K35" t="s">
        <v>23</v>
      </c>
      <c r="L35">
        <v>4</v>
      </c>
      <c r="M35" t="s">
        <v>34</v>
      </c>
      <c r="N35" t="s">
        <v>25</v>
      </c>
      <c r="O35" s="2">
        <v>83</v>
      </c>
      <c r="P35" s="2">
        <v>75</v>
      </c>
      <c r="Q35" s="2">
        <v>65</v>
      </c>
      <c r="R35" s="2">
        <v>88</v>
      </c>
      <c r="S35" s="2">
        <v>68</v>
      </c>
      <c r="T35" s="2">
        <v>69</v>
      </c>
      <c r="U35" t="s">
        <v>1682</v>
      </c>
      <c r="V35" s="2">
        <v>28</v>
      </c>
      <c r="W35" s="1">
        <v>45474</v>
      </c>
      <c r="X35" s="1">
        <v>45838</v>
      </c>
      <c r="Y35" s="2">
        <v>14.9</v>
      </c>
      <c r="Z35" t="s">
        <v>1884</v>
      </c>
      <c r="AA35">
        <v>412</v>
      </c>
      <c r="AB35" s="2">
        <v>13.3</v>
      </c>
      <c r="AC35" s="2">
        <v>16.5</v>
      </c>
      <c r="AD35" t="s">
        <v>25</v>
      </c>
      <c r="AE35" s="1">
        <v>45108</v>
      </c>
      <c r="AF35" s="1">
        <v>45473</v>
      </c>
      <c r="AG35" t="b">
        <v>1</v>
      </c>
      <c r="AH35" t="b">
        <v>1</v>
      </c>
      <c r="AI35" t="b">
        <v>1</v>
      </c>
      <c r="AJ35" t="str">
        <f>IF(tblMergedCleaned[[#This Row],[Overall_Rating]]=
    "",
    "Unavailable",
    IF(tblMergedCleaned[[#This Row],[Overall_Rating]]&lt;=
        2,
        "Low (1-2)",
        IF(tblMergedCleaned[[#This Row],[Overall_Rating]]=
            3,
            "Middle (3)",
            "High (4-5)"
        )
    )
)</f>
        <v>High (4-5)</v>
      </c>
      <c r="AK35" cm="1">
        <f t="array" ref="AK35">IF(
    tblMergedCleaned[[#This Row],[Overall_Rating]]="",
    "",
    --(tblMergedCleaned[[#This Row],[Overall_Rating]]&lt;=2)
)</f>
        <v>0</v>
      </c>
      <c r="AL35">
        <f>IF(
    tblMergedCleaned[[#This Row],[Definitely_Recommend_Pct]]="",
    "",
    --(tblMergedCleaned[[#This Row],[Definitely_Recommend_Pct]]&lt;TX_Median_Recommend)
)</f>
        <v>1</v>
      </c>
      <c r="AM35">
        <f>IF(
    tblMergedCleaned[[#This Row],[Readmission_Comparison]]="",
    "",
    --(tblMergedCleaned[[#This Row],[Readmission_Comparison]]="Worse")
)</f>
        <v>0</v>
      </c>
      <c r="AN35">
        <f>COUNT(
    tblMergedCleaned[[#This Row],[Low_Rating_Flag]:[Worse_Readmission_Flag]]
)</f>
        <v>3</v>
      </c>
      <c r="AO35">
        <f>SUM(
    tblMergedCleaned[[#This Row],[Low_Rating_Flag]:[Worse_Readmission_Flag]]
)</f>
        <v>1</v>
      </c>
      <c r="AP3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3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35" s="2">
        <f>IF(
    tblMergedCleaned[[#This Row],[Definitely_Recommend_Pct]]="",
    "",
    tblMergedCleaned[[#This Row],[Definitely_Recommend_Pct]]-TX_Median_Recommend
)</f>
        <v>-2</v>
      </c>
      <c r="AS35" s="2">
        <f>IF(
    tblMergedCleaned[[#This Row],[Readmission_Rate_Pct]]="",
    "",
    tblMergedCleaned[[#This Row],[Readmission_Rate_Pct]]-TX_Median_Readmission
)</f>
        <v>0</v>
      </c>
    </row>
    <row r="36" spans="1:45">
      <c r="A36" t="s">
        <v>250</v>
      </c>
      <c r="B36" t="s">
        <v>251</v>
      </c>
      <c r="C36" t="s">
        <v>252</v>
      </c>
      <c r="D36" t="s">
        <v>253</v>
      </c>
      <c r="E36" t="s">
        <v>18</v>
      </c>
      <c r="F36" t="s">
        <v>254</v>
      </c>
      <c r="G36" t="s">
        <v>255</v>
      </c>
      <c r="H36" t="s">
        <v>256</v>
      </c>
      <c r="I36" t="s">
        <v>21</v>
      </c>
      <c r="J36" t="s">
        <v>22</v>
      </c>
      <c r="K36" t="s">
        <v>23</v>
      </c>
      <c r="L36">
        <v>3</v>
      </c>
      <c r="M36" t="s">
        <v>42</v>
      </c>
      <c r="N36" t="s">
        <v>25</v>
      </c>
      <c r="O36" s="2">
        <v>75</v>
      </c>
      <c r="P36" s="2">
        <v>78</v>
      </c>
      <c r="Q36" s="2">
        <v>59</v>
      </c>
      <c r="R36" s="2">
        <v>83</v>
      </c>
      <c r="S36" s="2">
        <v>61</v>
      </c>
      <c r="T36" s="2">
        <v>57</v>
      </c>
      <c r="U36" t="s">
        <v>1683</v>
      </c>
      <c r="V36" s="2">
        <v>5</v>
      </c>
      <c r="W36" s="1">
        <v>45474</v>
      </c>
      <c r="X36" s="1">
        <v>45838</v>
      </c>
      <c r="Y36" s="2">
        <v>15</v>
      </c>
      <c r="Z36" t="s">
        <v>1884</v>
      </c>
      <c r="AA36">
        <v>229</v>
      </c>
      <c r="AB36" s="2">
        <v>13.4</v>
      </c>
      <c r="AC36" s="2">
        <v>17</v>
      </c>
      <c r="AD36" t="s">
        <v>25</v>
      </c>
      <c r="AE36" s="1">
        <v>45108</v>
      </c>
      <c r="AF36" s="1">
        <v>45473</v>
      </c>
      <c r="AG36" t="b">
        <v>1</v>
      </c>
      <c r="AH36" t="b">
        <v>1</v>
      </c>
      <c r="AI36" t="b">
        <v>1</v>
      </c>
      <c r="AJ36" t="str">
        <f>IF(tblMergedCleaned[[#This Row],[Overall_Rating]]=
    "",
    "Unavailable",
    IF(tblMergedCleaned[[#This Row],[Overall_Rating]]&lt;=
        2,
        "Low (1-2)",
        IF(tblMergedCleaned[[#This Row],[Overall_Rating]]=
            3,
            "Middle (3)",
            "High (4-5)"
        )
    )
)</f>
        <v>Middle (3)</v>
      </c>
      <c r="AK36" cm="1">
        <f t="array" ref="AK36">IF(
    tblMergedCleaned[[#This Row],[Overall_Rating]]="",
    "",
    --(tblMergedCleaned[[#This Row],[Overall_Rating]]&lt;=2)
)</f>
        <v>0</v>
      </c>
      <c r="AL36">
        <f>IF(
    tblMergedCleaned[[#This Row],[Definitely_Recommend_Pct]]="",
    "",
    --(tblMergedCleaned[[#This Row],[Definitely_Recommend_Pct]]&lt;TX_Median_Recommend)
)</f>
        <v>1</v>
      </c>
      <c r="AM36">
        <f>IF(
    tblMergedCleaned[[#This Row],[Readmission_Comparison]]="",
    "",
    --(tblMergedCleaned[[#This Row],[Readmission_Comparison]]="Worse")
)</f>
        <v>0</v>
      </c>
      <c r="AN36">
        <f>COUNT(
    tblMergedCleaned[[#This Row],[Low_Rating_Flag]:[Worse_Readmission_Flag]]
)</f>
        <v>3</v>
      </c>
      <c r="AO36">
        <f>SUM(
    tblMergedCleaned[[#This Row],[Low_Rating_Flag]:[Worse_Readmission_Flag]]
)</f>
        <v>1</v>
      </c>
      <c r="AP3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3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36" s="2">
        <f>IF(
    tblMergedCleaned[[#This Row],[Definitely_Recommend_Pct]]="",
    "",
    tblMergedCleaned[[#This Row],[Definitely_Recommend_Pct]]-TX_Median_Recommend
)</f>
        <v>-14</v>
      </c>
      <c r="AS36" s="2">
        <f>IF(
    tblMergedCleaned[[#This Row],[Readmission_Rate_Pct]]="",
    "",
    tblMergedCleaned[[#This Row],[Readmission_Rate_Pct]]-TX_Median_Readmission
)</f>
        <v>9.9999999999999645E-2</v>
      </c>
    </row>
    <row r="37" spans="1:45">
      <c r="A37" t="s">
        <v>257</v>
      </c>
      <c r="B37" t="s">
        <v>258</v>
      </c>
      <c r="C37" t="s">
        <v>259</v>
      </c>
      <c r="D37" t="s">
        <v>260</v>
      </c>
      <c r="E37" t="s">
        <v>18</v>
      </c>
      <c r="F37" t="s">
        <v>261</v>
      </c>
      <c r="G37" t="s">
        <v>121</v>
      </c>
      <c r="H37" t="s">
        <v>262</v>
      </c>
      <c r="I37" t="s">
        <v>21</v>
      </c>
      <c r="J37" t="s">
        <v>22</v>
      </c>
      <c r="K37" t="s">
        <v>23</v>
      </c>
      <c r="L37">
        <v>3</v>
      </c>
      <c r="M37" t="s">
        <v>42</v>
      </c>
      <c r="N37" t="s">
        <v>25</v>
      </c>
      <c r="O37" s="2">
        <v>74</v>
      </c>
      <c r="P37" s="2">
        <v>72</v>
      </c>
      <c r="Q37" s="2">
        <v>54</v>
      </c>
      <c r="R37" s="2">
        <v>80</v>
      </c>
      <c r="S37" s="2">
        <v>66</v>
      </c>
      <c r="T37" s="2">
        <v>62</v>
      </c>
      <c r="U37" t="s">
        <v>1684</v>
      </c>
      <c r="V37" s="2">
        <v>9</v>
      </c>
      <c r="W37" s="1">
        <v>45474</v>
      </c>
      <c r="X37" s="1">
        <v>45838</v>
      </c>
      <c r="Y37" s="2">
        <v>15.6</v>
      </c>
      <c r="Z37" t="s">
        <v>1884</v>
      </c>
      <c r="AA37">
        <v>775</v>
      </c>
      <c r="AB37" s="2">
        <v>14.3</v>
      </c>
      <c r="AC37" s="2">
        <v>17.100000000000001</v>
      </c>
      <c r="AD37" t="s">
        <v>25</v>
      </c>
      <c r="AE37" s="1">
        <v>45108</v>
      </c>
      <c r="AF37" s="1">
        <v>45473</v>
      </c>
      <c r="AG37" t="b">
        <v>1</v>
      </c>
      <c r="AH37" t="b">
        <v>1</v>
      </c>
      <c r="AI37" t="b">
        <v>1</v>
      </c>
      <c r="AJ37" t="str">
        <f>IF(tblMergedCleaned[[#This Row],[Overall_Rating]]=
    "",
    "Unavailable",
    IF(tblMergedCleaned[[#This Row],[Overall_Rating]]&lt;=
        2,
        "Low (1-2)",
        IF(tblMergedCleaned[[#This Row],[Overall_Rating]]=
            3,
            "Middle (3)",
            "High (4-5)"
        )
    )
)</f>
        <v>Middle (3)</v>
      </c>
      <c r="AK37" cm="1">
        <f t="array" ref="AK37">IF(
    tblMergedCleaned[[#This Row],[Overall_Rating]]="",
    "",
    --(tblMergedCleaned[[#This Row],[Overall_Rating]]&lt;=2)
)</f>
        <v>0</v>
      </c>
      <c r="AL37">
        <f>IF(
    tblMergedCleaned[[#This Row],[Definitely_Recommend_Pct]]="",
    "",
    --(tblMergedCleaned[[#This Row],[Definitely_Recommend_Pct]]&lt;TX_Median_Recommend)
)</f>
        <v>1</v>
      </c>
      <c r="AM37">
        <f>IF(
    tblMergedCleaned[[#This Row],[Readmission_Comparison]]="",
    "",
    --(tblMergedCleaned[[#This Row],[Readmission_Comparison]]="Worse")
)</f>
        <v>0</v>
      </c>
      <c r="AN37">
        <f>COUNT(
    tblMergedCleaned[[#This Row],[Low_Rating_Flag]:[Worse_Readmission_Flag]]
)</f>
        <v>3</v>
      </c>
      <c r="AO37">
        <f>SUM(
    tblMergedCleaned[[#This Row],[Low_Rating_Flag]:[Worse_Readmission_Flag]]
)</f>
        <v>1</v>
      </c>
      <c r="AP3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3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37" s="2">
        <f>IF(
    tblMergedCleaned[[#This Row],[Definitely_Recommend_Pct]]="",
    "",
    tblMergedCleaned[[#This Row],[Definitely_Recommend_Pct]]-TX_Median_Recommend
)</f>
        <v>-9</v>
      </c>
      <c r="AS37" s="2">
        <f>IF(
    tblMergedCleaned[[#This Row],[Readmission_Rate_Pct]]="",
    "",
    tblMergedCleaned[[#This Row],[Readmission_Rate_Pct]]-TX_Median_Readmission
)</f>
        <v>0.69999999999999929</v>
      </c>
    </row>
    <row r="38" spans="1:45">
      <c r="A38" t="s">
        <v>263</v>
      </c>
      <c r="B38" t="s">
        <v>264</v>
      </c>
      <c r="C38" t="s">
        <v>265</v>
      </c>
      <c r="D38" t="s">
        <v>139</v>
      </c>
      <c r="E38" t="s">
        <v>18</v>
      </c>
      <c r="F38" t="s">
        <v>140</v>
      </c>
      <c r="G38" t="s">
        <v>141</v>
      </c>
      <c r="H38" t="s">
        <v>266</v>
      </c>
      <c r="I38" t="s">
        <v>21</v>
      </c>
      <c r="J38" t="s">
        <v>33</v>
      </c>
      <c r="K38" t="s">
        <v>23</v>
      </c>
      <c r="L38">
        <v>4</v>
      </c>
      <c r="M38" t="s">
        <v>34</v>
      </c>
      <c r="N38" t="s">
        <v>25</v>
      </c>
      <c r="O38" s="2">
        <v>83</v>
      </c>
      <c r="P38" s="2">
        <v>83</v>
      </c>
      <c r="Q38" s="2">
        <v>65</v>
      </c>
      <c r="R38" s="2">
        <v>89</v>
      </c>
      <c r="S38" s="2">
        <v>79</v>
      </c>
      <c r="T38" s="2">
        <v>78</v>
      </c>
      <c r="U38" t="s">
        <v>1685</v>
      </c>
      <c r="V38" s="2">
        <v>14</v>
      </c>
      <c r="W38" s="1">
        <v>45474</v>
      </c>
      <c r="X38" s="1">
        <v>45838</v>
      </c>
      <c r="Y38" s="2">
        <v>14.7</v>
      </c>
      <c r="Z38" t="s">
        <v>1884</v>
      </c>
      <c r="AA38">
        <v>2080</v>
      </c>
      <c r="AB38" s="2">
        <v>13.8</v>
      </c>
      <c r="AC38" s="2">
        <v>16</v>
      </c>
      <c r="AD38" t="s">
        <v>25</v>
      </c>
      <c r="AE38" s="1">
        <v>45108</v>
      </c>
      <c r="AF38" s="1">
        <v>45473</v>
      </c>
      <c r="AG38" t="b">
        <v>1</v>
      </c>
      <c r="AH38" t="b">
        <v>1</v>
      </c>
      <c r="AI38" t="b">
        <v>1</v>
      </c>
      <c r="AJ38" t="str">
        <f>IF(tblMergedCleaned[[#This Row],[Overall_Rating]]=
    "",
    "Unavailable",
    IF(tblMergedCleaned[[#This Row],[Overall_Rating]]&lt;=
        2,
        "Low (1-2)",
        IF(tblMergedCleaned[[#This Row],[Overall_Rating]]=
            3,
            "Middle (3)",
            "High (4-5)"
        )
    )
)</f>
        <v>High (4-5)</v>
      </c>
      <c r="AK38" cm="1">
        <f t="array" ref="AK38">IF(
    tblMergedCleaned[[#This Row],[Overall_Rating]]="",
    "",
    --(tblMergedCleaned[[#This Row],[Overall_Rating]]&lt;=2)
)</f>
        <v>0</v>
      </c>
      <c r="AL38">
        <f>IF(
    tblMergedCleaned[[#This Row],[Definitely_Recommend_Pct]]="",
    "",
    --(tblMergedCleaned[[#This Row],[Definitely_Recommend_Pct]]&lt;TX_Median_Recommend)
)</f>
        <v>0</v>
      </c>
      <c r="AM38">
        <f>IF(
    tblMergedCleaned[[#This Row],[Readmission_Comparison]]="",
    "",
    --(tblMergedCleaned[[#This Row],[Readmission_Comparison]]="Worse")
)</f>
        <v>0</v>
      </c>
      <c r="AN38">
        <f>COUNT(
    tblMergedCleaned[[#This Row],[Low_Rating_Flag]:[Worse_Readmission_Flag]]
)</f>
        <v>3</v>
      </c>
      <c r="AO38">
        <f>SUM(
    tblMergedCleaned[[#This Row],[Low_Rating_Flag]:[Worse_Readmission_Flag]]
)</f>
        <v>0</v>
      </c>
      <c r="AP3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3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38" s="2">
        <f>IF(
    tblMergedCleaned[[#This Row],[Definitely_Recommend_Pct]]="",
    "",
    tblMergedCleaned[[#This Row],[Definitely_Recommend_Pct]]-TX_Median_Recommend
)</f>
        <v>7</v>
      </c>
      <c r="AS38" s="2">
        <f>IF(
    tblMergedCleaned[[#This Row],[Readmission_Rate_Pct]]="",
    "",
    tblMergedCleaned[[#This Row],[Readmission_Rate_Pct]]-TX_Median_Readmission
)</f>
        <v>-0.20000000000000107</v>
      </c>
    </row>
    <row r="39" spans="1:45">
      <c r="A39" t="s">
        <v>267</v>
      </c>
      <c r="B39" t="s">
        <v>268</v>
      </c>
      <c r="C39" t="s">
        <v>269</v>
      </c>
      <c r="D39" t="s">
        <v>233</v>
      </c>
      <c r="E39" t="s">
        <v>18</v>
      </c>
      <c r="F39" t="s">
        <v>234</v>
      </c>
      <c r="G39" t="s">
        <v>235</v>
      </c>
      <c r="H39" t="s">
        <v>270</v>
      </c>
      <c r="I39" t="s">
        <v>21</v>
      </c>
      <c r="J39" t="s">
        <v>33</v>
      </c>
      <c r="K39" t="s">
        <v>23</v>
      </c>
      <c r="L39">
        <v>4</v>
      </c>
      <c r="M39" t="s">
        <v>34</v>
      </c>
      <c r="N39" t="s">
        <v>25</v>
      </c>
      <c r="O39" s="2">
        <v>76</v>
      </c>
      <c r="P39" s="2">
        <v>75</v>
      </c>
      <c r="Q39" s="2">
        <v>58</v>
      </c>
      <c r="R39" s="2">
        <v>85</v>
      </c>
      <c r="S39" s="2">
        <v>72</v>
      </c>
      <c r="T39" s="2">
        <v>74</v>
      </c>
      <c r="U39" t="s">
        <v>1686</v>
      </c>
      <c r="V39" s="2">
        <v>18</v>
      </c>
      <c r="W39" s="1">
        <v>45474</v>
      </c>
      <c r="X39" s="1">
        <v>45838</v>
      </c>
      <c r="Y39" s="2">
        <v>13.6</v>
      </c>
      <c r="Z39" t="s">
        <v>1885</v>
      </c>
      <c r="AA39">
        <v>5245</v>
      </c>
      <c r="AB39" s="2">
        <v>12.8</v>
      </c>
      <c r="AC39" s="2">
        <v>14.4</v>
      </c>
      <c r="AD39" t="s">
        <v>25</v>
      </c>
      <c r="AE39" s="1">
        <v>45108</v>
      </c>
      <c r="AF39" s="1">
        <v>45473</v>
      </c>
      <c r="AG39" t="b">
        <v>1</v>
      </c>
      <c r="AH39" t="b">
        <v>1</v>
      </c>
      <c r="AI39" t="b">
        <v>1</v>
      </c>
      <c r="AJ39" t="str">
        <f>IF(tblMergedCleaned[[#This Row],[Overall_Rating]]=
    "",
    "Unavailable",
    IF(tblMergedCleaned[[#This Row],[Overall_Rating]]&lt;=
        2,
        "Low (1-2)",
        IF(tblMergedCleaned[[#This Row],[Overall_Rating]]=
            3,
            "Middle (3)",
            "High (4-5)"
        )
    )
)</f>
        <v>High (4-5)</v>
      </c>
      <c r="AK39" cm="1">
        <f t="array" ref="AK39">IF(
    tblMergedCleaned[[#This Row],[Overall_Rating]]="",
    "",
    --(tblMergedCleaned[[#This Row],[Overall_Rating]]&lt;=2)
)</f>
        <v>0</v>
      </c>
      <c r="AL39">
        <f>IF(
    tblMergedCleaned[[#This Row],[Definitely_Recommend_Pct]]="",
    "",
    --(tblMergedCleaned[[#This Row],[Definitely_Recommend_Pct]]&lt;TX_Median_Recommend)
)</f>
        <v>0</v>
      </c>
      <c r="AM39">
        <f>IF(
    tblMergedCleaned[[#This Row],[Readmission_Comparison]]="",
    "",
    --(tblMergedCleaned[[#This Row],[Readmission_Comparison]]="Worse")
)</f>
        <v>0</v>
      </c>
      <c r="AN39">
        <f>COUNT(
    tblMergedCleaned[[#This Row],[Low_Rating_Flag]:[Worse_Readmission_Flag]]
)</f>
        <v>3</v>
      </c>
      <c r="AO39">
        <f>SUM(
    tblMergedCleaned[[#This Row],[Low_Rating_Flag]:[Worse_Readmission_Flag]]
)</f>
        <v>0</v>
      </c>
      <c r="AP3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3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39" s="2">
        <f>IF(
    tblMergedCleaned[[#This Row],[Definitely_Recommend_Pct]]="",
    "",
    tblMergedCleaned[[#This Row],[Definitely_Recommend_Pct]]-TX_Median_Recommend
)</f>
        <v>3</v>
      </c>
      <c r="AS39" s="2">
        <f>IF(
    tblMergedCleaned[[#This Row],[Readmission_Rate_Pct]]="",
    "",
    tblMergedCleaned[[#This Row],[Readmission_Rate_Pct]]-TX_Median_Readmission
)</f>
        <v>-1.3000000000000007</v>
      </c>
    </row>
    <row r="40" spans="1:45">
      <c r="A40" t="s">
        <v>271</v>
      </c>
      <c r="B40" t="s">
        <v>272</v>
      </c>
      <c r="C40" t="s">
        <v>273</v>
      </c>
      <c r="D40" t="s">
        <v>274</v>
      </c>
      <c r="E40" t="s">
        <v>18</v>
      </c>
      <c r="F40" t="s">
        <v>275</v>
      </c>
      <c r="G40" t="s">
        <v>276</v>
      </c>
      <c r="H40" t="s">
        <v>277</v>
      </c>
      <c r="I40" t="s">
        <v>21</v>
      </c>
      <c r="J40" t="s">
        <v>278</v>
      </c>
      <c r="K40" t="s">
        <v>23</v>
      </c>
      <c r="L40">
        <v>2</v>
      </c>
      <c r="M40" t="s">
        <v>24</v>
      </c>
      <c r="N40" t="s">
        <v>25</v>
      </c>
      <c r="O40" s="2">
        <v>86</v>
      </c>
      <c r="P40" s="2">
        <v>84</v>
      </c>
      <c r="Q40" s="2">
        <v>68</v>
      </c>
      <c r="R40" s="2">
        <v>89</v>
      </c>
      <c r="S40" s="2">
        <v>84</v>
      </c>
      <c r="T40" s="2">
        <v>81</v>
      </c>
      <c r="U40" t="s">
        <v>1687</v>
      </c>
      <c r="V40" s="2">
        <v>16</v>
      </c>
      <c r="W40" s="1">
        <v>45474</v>
      </c>
      <c r="X40" s="1">
        <v>45838</v>
      </c>
      <c r="Y40" s="2">
        <v>16</v>
      </c>
      <c r="Z40" t="s">
        <v>1884</v>
      </c>
      <c r="AA40">
        <v>870</v>
      </c>
      <c r="AB40" s="2">
        <v>14.6</v>
      </c>
      <c r="AC40" s="2">
        <v>17.600000000000001</v>
      </c>
      <c r="AD40" t="s">
        <v>25</v>
      </c>
      <c r="AE40" s="1">
        <v>45108</v>
      </c>
      <c r="AF40" s="1">
        <v>45473</v>
      </c>
      <c r="AG40" t="b">
        <v>1</v>
      </c>
      <c r="AH40" t="b">
        <v>1</v>
      </c>
      <c r="AI40" t="b">
        <v>1</v>
      </c>
      <c r="AJ40" t="str">
        <f>IF(tblMergedCleaned[[#This Row],[Overall_Rating]]=
    "",
    "Unavailable",
    IF(tblMergedCleaned[[#This Row],[Overall_Rating]]&lt;=
        2,
        "Low (1-2)",
        IF(tblMergedCleaned[[#This Row],[Overall_Rating]]=
            3,
            "Middle (3)",
            "High (4-5)"
        )
    )
)</f>
        <v>Low (1-2)</v>
      </c>
      <c r="AK40" cm="1">
        <f t="array" ref="AK40">IF(
    tblMergedCleaned[[#This Row],[Overall_Rating]]="",
    "",
    --(tblMergedCleaned[[#This Row],[Overall_Rating]]&lt;=2)
)</f>
        <v>1</v>
      </c>
      <c r="AL40">
        <f>IF(
    tblMergedCleaned[[#This Row],[Definitely_Recommend_Pct]]="",
    "",
    --(tblMergedCleaned[[#This Row],[Definitely_Recommend_Pct]]&lt;TX_Median_Recommend)
)</f>
        <v>0</v>
      </c>
      <c r="AM40">
        <f>IF(
    tblMergedCleaned[[#This Row],[Readmission_Comparison]]="",
    "",
    --(tblMergedCleaned[[#This Row],[Readmission_Comparison]]="Worse")
)</f>
        <v>0</v>
      </c>
      <c r="AN40">
        <f>COUNT(
    tblMergedCleaned[[#This Row],[Low_Rating_Flag]:[Worse_Readmission_Flag]]
)</f>
        <v>3</v>
      </c>
      <c r="AO40">
        <f>SUM(
    tblMergedCleaned[[#This Row],[Low_Rating_Flag]:[Worse_Readmission_Flag]]
)</f>
        <v>1</v>
      </c>
      <c r="AP4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4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40" s="2">
        <f>IF(
    tblMergedCleaned[[#This Row],[Definitely_Recommend_Pct]]="",
    "",
    tblMergedCleaned[[#This Row],[Definitely_Recommend_Pct]]-TX_Median_Recommend
)</f>
        <v>10</v>
      </c>
      <c r="AS40" s="2">
        <f>IF(
    tblMergedCleaned[[#This Row],[Readmission_Rate_Pct]]="",
    "",
    tblMergedCleaned[[#This Row],[Readmission_Rate_Pct]]-TX_Median_Readmission
)</f>
        <v>1.0999999999999996</v>
      </c>
    </row>
    <row r="41" spans="1:45">
      <c r="A41" t="s">
        <v>279</v>
      </c>
      <c r="B41" t="s">
        <v>280</v>
      </c>
      <c r="C41" t="s">
        <v>281</v>
      </c>
      <c r="D41" t="s">
        <v>17</v>
      </c>
      <c r="E41" t="s">
        <v>18</v>
      </c>
      <c r="F41" t="s">
        <v>19</v>
      </c>
      <c r="G41" t="s">
        <v>17</v>
      </c>
      <c r="H41" t="s">
        <v>282</v>
      </c>
      <c r="I41" t="s">
        <v>21</v>
      </c>
      <c r="J41" t="s">
        <v>22</v>
      </c>
      <c r="K41" t="s">
        <v>23</v>
      </c>
      <c r="L41">
        <v>2</v>
      </c>
      <c r="M41" t="s">
        <v>24</v>
      </c>
      <c r="N41" t="s">
        <v>25</v>
      </c>
      <c r="O41" s="2">
        <v>75</v>
      </c>
      <c r="P41" s="2">
        <v>71</v>
      </c>
      <c r="Q41" s="2">
        <v>54</v>
      </c>
      <c r="R41" s="2">
        <v>82</v>
      </c>
      <c r="S41" s="2">
        <v>65</v>
      </c>
      <c r="T41" s="2">
        <v>60</v>
      </c>
      <c r="U41" t="s">
        <v>1688</v>
      </c>
      <c r="V41" s="2">
        <v>13</v>
      </c>
      <c r="W41" s="1">
        <v>45474</v>
      </c>
      <c r="X41" s="1">
        <v>45838</v>
      </c>
      <c r="Y41" s="2">
        <v>15.5</v>
      </c>
      <c r="Z41" t="s">
        <v>1884</v>
      </c>
      <c r="AA41">
        <v>1844</v>
      </c>
      <c r="AB41" s="2">
        <v>14.4</v>
      </c>
      <c r="AC41" s="2">
        <v>16.7</v>
      </c>
      <c r="AD41" t="s">
        <v>25</v>
      </c>
      <c r="AE41" s="1">
        <v>45108</v>
      </c>
      <c r="AF41" s="1">
        <v>45473</v>
      </c>
      <c r="AG41" t="b">
        <v>1</v>
      </c>
      <c r="AH41" t="b">
        <v>1</v>
      </c>
      <c r="AI41" t="b">
        <v>1</v>
      </c>
      <c r="AJ41" t="str">
        <f>IF(tblMergedCleaned[[#This Row],[Overall_Rating]]=
    "",
    "Unavailable",
    IF(tblMergedCleaned[[#This Row],[Overall_Rating]]&lt;=
        2,
        "Low (1-2)",
        IF(tblMergedCleaned[[#This Row],[Overall_Rating]]=
            3,
            "Middle (3)",
            "High (4-5)"
        )
    )
)</f>
        <v>Low (1-2)</v>
      </c>
      <c r="AK41" cm="1">
        <f t="array" ref="AK41">IF(
    tblMergedCleaned[[#This Row],[Overall_Rating]]="",
    "",
    --(tblMergedCleaned[[#This Row],[Overall_Rating]]&lt;=2)
)</f>
        <v>1</v>
      </c>
      <c r="AL41">
        <f>IF(
    tblMergedCleaned[[#This Row],[Definitely_Recommend_Pct]]="",
    "",
    --(tblMergedCleaned[[#This Row],[Definitely_Recommend_Pct]]&lt;TX_Median_Recommend)
)</f>
        <v>1</v>
      </c>
      <c r="AM41">
        <f>IF(
    tblMergedCleaned[[#This Row],[Readmission_Comparison]]="",
    "",
    --(tblMergedCleaned[[#This Row],[Readmission_Comparison]]="Worse")
)</f>
        <v>0</v>
      </c>
      <c r="AN41">
        <f>COUNT(
    tblMergedCleaned[[#This Row],[Low_Rating_Flag]:[Worse_Readmission_Flag]]
)</f>
        <v>3</v>
      </c>
      <c r="AO41">
        <f>SUM(
    tblMergedCleaned[[#This Row],[Low_Rating_Flag]:[Worse_Readmission_Flag]]
)</f>
        <v>2</v>
      </c>
      <c r="AP4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4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41" s="2">
        <f>IF(
    tblMergedCleaned[[#This Row],[Definitely_Recommend_Pct]]="",
    "",
    tblMergedCleaned[[#This Row],[Definitely_Recommend_Pct]]-TX_Median_Recommend
)</f>
        <v>-11</v>
      </c>
      <c r="AS41" s="2">
        <f>IF(
    tblMergedCleaned[[#This Row],[Readmission_Rate_Pct]]="",
    "",
    tblMergedCleaned[[#This Row],[Readmission_Rate_Pct]]-TX_Median_Readmission
)</f>
        <v>0.59999999999999964</v>
      </c>
    </row>
    <row r="42" spans="1:45">
      <c r="A42" t="s">
        <v>283</v>
      </c>
      <c r="B42" t="s">
        <v>284</v>
      </c>
      <c r="C42" t="s">
        <v>285</v>
      </c>
      <c r="D42" t="s">
        <v>286</v>
      </c>
      <c r="E42" t="s">
        <v>18</v>
      </c>
      <c r="F42" t="s">
        <v>287</v>
      </c>
      <c r="G42" t="s">
        <v>288</v>
      </c>
      <c r="H42" t="s">
        <v>289</v>
      </c>
      <c r="I42" t="s">
        <v>21</v>
      </c>
      <c r="J42" t="s">
        <v>56</v>
      </c>
      <c r="K42" t="s">
        <v>23</v>
      </c>
      <c r="L42">
        <v>3</v>
      </c>
      <c r="M42" t="s">
        <v>42</v>
      </c>
      <c r="N42" t="s">
        <v>25</v>
      </c>
      <c r="O42" s="2">
        <v>93</v>
      </c>
      <c r="P42" s="2">
        <v>94</v>
      </c>
      <c r="Q42" s="2">
        <v>80</v>
      </c>
      <c r="R42" s="2">
        <v>89</v>
      </c>
      <c r="S42" s="2">
        <v>90</v>
      </c>
      <c r="T42" s="2">
        <v>82</v>
      </c>
      <c r="U42" t="s">
        <v>1689</v>
      </c>
      <c r="V42" s="2">
        <v>32</v>
      </c>
      <c r="W42" s="1">
        <v>45474</v>
      </c>
      <c r="X42" s="1">
        <v>45838</v>
      </c>
      <c r="Y42" s="2">
        <v>15.3</v>
      </c>
      <c r="Z42" t="s">
        <v>1884</v>
      </c>
      <c r="AA42">
        <v>102</v>
      </c>
      <c r="AB42" s="2">
        <v>13.5</v>
      </c>
      <c r="AC42" s="2">
        <v>17.3</v>
      </c>
      <c r="AD42" t="s">
        <v>25</v>
      </c>
      <c r="AE42" s="1">
        <v>45108</v>
      </c>
      <c r="AF42" s="1">
        <v>45473</v>
      </c>
      <c r="AG42" t="b">
        <v>1</v>
      </c>
      <c r="AH42" t="b">
        <v>1</v>
      </c>
      <c r="AI42" t="b">
        <v>1</v>
      </c>
      <c r="AJ42" t="str">
        <f>IF(tblMergedCleaned[[#This Row],[Overall_Rating]]=
    "",
    "Unavailable",
    IF(tblMergedCleaned[[#This Row],[Overall_Rating]]&lt;=
        2,
        "Low (1-2)",
        IF(tblMergedCleaned[[#This Row],[Overall_Rating]]=
            3,
            "Middle (3)",
            "High (4-5)"
        )
    )
)</f>
        <v>Middle (3)</v>
      </c>
      <c r="AK42" cm="1">
        <f t="array" ref="AK42">IF(
    tblMergedCleaned[[#This Row],[Overall_Rating]]="",
    "",
    --(tblMergedCleaned[[#This Row],[Overall_Rating]]&lt;=2)
)</f>
        <v>0</v>
      </c>
      <c r="AL42">
        <f>IF(
    tblMergedCleaned[[#This Row],[Definitely_Recommend_Pct]]="",
    "",
    --(tblMergedCleaned[[#This Row],[Definitely_Recommend_Pct]]&lt;TX_Median_Recommend)
)</f>
        <v>0</v>
      </c>
      <c r="AM42">
        <f>IF(
    tblMergedCleaned[[#This Row],[Readmission_Comparison]]="",
    "",
    --(tblMergedCleaned[[#This Row],[Readmission_Comparison]]="Worse")
)</f>
        <v>0</v>
      </c>
      <c r="AN42">
        <f>COUNT(
    tblMergedCleaned[[#This Row],[Low_Rating_Flag]:[Worse_Readmission_Flag]]
)</f>
        <v>3</v>
      </c>
      <c r="AO42">
        <f>SUM(
    tblMergedCleaned[[#This Row],[Low_Rating_Flag]:[Worse_Readmission_Flag]]
)</f>
        <v>0</v>
      </c>
      <c r="AP4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4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42" s="2">
        <f>IF(
    tblMergedCleaned[[#This Row],[Definitely_Recommend_Pct]]="",
    "",
    tblMergedCleaned[[#This Row],[Definitely_Recommend_Pct]]-TX_Median_Recommend
)</f>
        <v>11</v>
      </c>
      <c r="AS42" s="2">
        <f>IF(
    tblMergedCleaned[[#This Row],[Readmission_Rate_Pct]]="",
    "",
    tblMergedCleaned[[#This Row],[Readmission_Rate_Pct]]-TX_Median_Readmission
)</f>
        <v>0.40000000000000036</v>
      </c>
    </row>
    <row r="43" spans="1:45">
      <c r="A43" t="s">
        <v>290</v>
      </c>
      <c r="B43" t="s">
        <v>291</v>
      </c>
      <c r="C43" t="s">
        <v>292</v>
      </c>
      <c r="D43" t="s">
        <v>293</v>
      </c>
      <c r="E43" t="s">
        <v>18</v>
      </c>
      <c r="F43" t="s">
        <v>294</v>
      </c>
      <c r="G43" t="s">
        <v>295</v>
      </c>
      <c r="H43" t="s">
        <v>296</v>
      </c>
      <c r="I43" t="s">
        <v>21</v>
      </c>
      <c r="J43" t="s">
        <v>22</v>
      </c>
      <c r="K43" t="s">
        <v>23</v>
      </c>
      <c r="L43">
        <v>4</v>
      </c>
      <c r="M43" t="s">
        <v>34</v>
      </c>
      <c r="N43" t="s">
        <v>25</v>
      </c>
      <c r="O43" s="2">
        <v>75</v>
      </c>
      <c r="P43" s="2">
        <v>73</v>
      </c>
      <c r="Q43" s="2">
        <v>56</v>
      </c>
      <c r="R43" s="2">
        <v>82</v>
      </c>
      <c r="S43" s="2">
        <v>68</v>
      </c>
      <c r="T43" s="2">
        <v>68</v>
      </c>
      <c r="U43" t="s">
        <v>1690</v>
      </c>
      <c r="V43" s="2">
        <v>10</v>
      </c>
      <c r="W43" s="1">
        <v>45474</v>
      </c>
      <c r="X43" s="1">
        <v>45838</v>
      </c>
      <c r="Y43" s="2">
        <v>15.9</v>
      </c>
      <c r="Z43" t="s">
        <v>1884</v>
      </c>
      <c r="AA43">
        <v>1524</v>
      </c>
      <c r="AB43" s="2">
        <v>14.8</v>
      </c>
      <c r="AC43" s="2">
        <v>17.2</v>
      </c>
      <c r="AD43" t="s">
        <v>25</v>
      </c>
      <c r="AE43" s="1">
        <v>45108</v>
      </c>
      <c r="AF43" s="1">
        <v>45473</v>
      </c>
      <c r="AG43" t="b">
        <v>1</v>
      </c>
      <c r="AH43" t="b">
        <v>1</v>
      </c>
      <c r="AI43" t="b">
        <v>1</v>
      </c>
      <c r="AJ43" t="str">
        <f>IF(tblMergedCleaned[[#This Row],[Overall_Rating]]=
    "",
    "Unavailable",
    IF(tblMergedCleaned[[#This Row],[Overall_Rating]]&lt;=
        2,
        "Low (1-2)",
        IF(tblMergedCleaned[[#This Row],[Overall_Rating]]=
            3,
            "Middle (3)",
            "High (4-5)"
        )
    )
)</f>
        <v>High (4-5)</v>
      </c>
      <c r="AK43" cm="1">
        <f t="array" ref="AK43">IF(
    tblMergedCleaned[[#This Row],[Overall_Rating]]="",
    "",
    --(tblMergedCleaned[[#This Row],[Overall_Rating]]&lt;=2)
)</f>
        <v>0</v>
      </c>
      <c r="AL43">
        <f>IF(
    tblMergedCleaned[[#This Row],[Definitely_Recommend_Pct]]="",
    "",
    --(tblMergedCleaned[[#This Row],[Definitely_Recommend_Pct]]&lt;TX_Median_Recommend)
)</f>
        <v>1</v>
      </c>
      <c r="AM43">
        <f>IF(
    tblMergedCleaned[[#This Row],[Readmission_Comparison]]="",
    "",
    --(tblMergedCleaned[[#This Row],[Readmission_Comparison]]="Worse")
)</f>
        <v>0</v>
      </c>
      <c r="AN43">
        <f>COUNT(
    tblMergedCleaned[[#This Row],[Low_Rating_Flag]:[Worse_Readmission_Flag]]
)</f>
        <v>3</v>
      </c>
      <c r="AO43">
        <f>SUM(
    tblMergedCleaned[[#This Row],[Low_Rating_Flag]:[Worse_Readmission_Flag]]
)</f>
        <v>1</v>
      </c>
      <c r="AP4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4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43" s="2">
        <f>IF(
    tblMergedCleaned[[#This Row],[Definitely_Recommend_Pct]]="",
    "",
    tblMergedCleaned[[#This Row],[Definitely_Recommend_Pct]]-TX_Median_Recommend
)</f>
        <v>-3</v>
      </c>
      <c r="AS43" s="2">
        <f>IF(
    tblMergedCleaned[[#This Row],[Readmission_Rate_Pct]]="",
    "",
    tblMergedCleaned[[#This Row],[Readmission_Rate_Pct]]-TX_Median_Readmission
)</f>
        <v>1</v>
      </c>
    </row>
    <row r="44" spans="1:45">
      <c r="A44" t="s">
        <v>297</v>
      </c>
      <c r="B44" t="s">
        <v>298</v>
      </c>
      <c r="C44" t="s">
        <v>299</v>
      </c>
      <c r="D44" t="s">
        <v>181</v>
      </c>
      <c r="E44" t="s">
        <v>18</v>
      </c>
      <c r="F44" t="s">
        <v>300</v>
      </c>
      <c r="G44" t="s">
        <v>183</v>
      </c>
      <c r="H44" t="s">
        <v>301</v>
      </c>
      <c r="I44" t="s">
        <v>21</v>
      </c>
      <c r="J44" t="s">
        <v>33</v>
      </c>
      <c r="K44" t="s">
        <v>302</v>
      </c>
      <c r="L44">
        <v>4</v>
      </c>
      <c r="M44" t="s">
        <v>34</v>
      </c>
      <c r="N44" t="s">
        <v>143</v>
      </c>
      <c r="O44" s="2">
        <v>82</v>
      </c>
      <c r="P44" s="2">
        <v>82</v>
      </c>
      <c r="Q44" s="2">
        <v>65</v>
      </c>
      <c r="R44" s="2">
        <v>84</v>
      </c>
      <c r="S44" s="2">
        <v>79</v>
      </c>
      <c r="T44" s="2">
        <v>79</v>
      </c>
      <c r="U44" t="s">
        <v>1691</v>
      </c>
      <c r="V44" s="2">
        <v>9</v>
      </c>
      <c r="W44" s="1">
        <v>45474</v>
      </c>
      <c r="X44" s="1">
        <v>45838</v>
      </c>
      <c r="Y44" s="2">
        <v>14.9</v>
      </c>
      <c r="Z44" t="s">
        <v>1884</v>
      </c>
      <c r="AA44">
        <v>464</v>
      </c>
      <c r="AB44" s="2">
        <v>13.5</v>
      </c>
      <c r="AC44" s="2">
        <v>16.3</v>
      </c>
      <c r="AD44" t="s">
        <v>143</v>
      </c>
      <c r="AE44" s="1">
        <v>45108</v>
      </c>
      <c r="AF44" s="1">
        <v>45473</v>
      </c>
      <c r="AG44" t="b">
        <v>1</v>
      </c>
      <c r="AH44" t="b">
        <v>1</v>
      </c>
      <c r="AI44" t="b">
        <v>1</v>
      </c>
      <c r="AJ44" t="str">
        <f>IF(tblMergedCleaned[[#This Row],[Overall_Rating]]=
    "",
    "Unavailable",
    IF(tblMergedCleaned[[#This Row],[Overall_Rating]]&lt;=
        2,
        "Low (1-2)",
        IF(tblMergedCleaned[[#This Row],[Overall_Rating]]=
            3,
            "Middle (3)",
            "High (4-5)"
        )
    )
)</f>
        <v>High (4-5)</v>
      </c>
      <c r="AK44" cm="1">
        <f t="array" ref="AK44">IF(
    tblMergedCleaned[[#This Row],[Overall_Rating]]="",
    "",
    --(tblMergedCleaned[[#This Row],[Overall_Rating]]&lt;=2)
)</f>
        <v>0</v>
      </c>
      <c r="AL44">
        <f>IF(
    tblMergedCleaned[[#This Row],[Definitely_Recommend_Pct]]="",
    "",
    --(tblMergedCleaned[[#This Row],[Definitely_Recommend_Pct]]&lt;TX_Median_Recommend)
)</f>
        <v>0</v>
      </c>
      <c r="AM44">
        <f>IF(
    tblMergedCleaned[[#This Row],[Readmission_Comparison]]="",
    "",
    --(tblMergedCleaned[[#This Row],[Readmission_Comparison]]="Worse")
)</f>
        <v>0</v>
      </c>
      <c r="AN44">
        <f>COUNT(
    tblMergedCleaned[[#This Row],[Low_Rating_Flag]:[Worse_Readmission_Flag]]
)</f>
        <v>3</v>
      </c>
      <c r="AO44">
        <f>SUM(
    tblMergedCleaned[[#This Row],[Low_Rating_Flag]:[Worse_Readmission_Flag]]
)</f>
        <v>0</v>
      </c>
      <c r="AP4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4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44" s="2">
        <f>IF(
    tblMergedCleaned[[#This Row],[Definitely_Recommend_Pct]]="",
    "",
    tblMergedCleaned[[#This Row],[Definitely_Recommend_Pct]]-TX_Median_Recommend
)</f>
        <v>8</v>
      </c>
      <c r="AS44" s="2">
        <f>IF(
    tblMergedCleaned[[#This Row],[Readmission_Rate_Pct]]="",
    "",
    tblMergedCleaned[[#This Row],[Readmission_Rate_Pct]]-TX_Median_Readmission
)</f>
        <v>0</v>
      </c>
    </row>
    <row r="45" spans="1:45">
      <c r="A45" t="s">
        <v>303</v>
      </c>
      <c r="B45" t="s">
        <v>304</v>
      </c>
      <c r="C45" t="s">
        <v>305</v>
      </c>
      <c r="D45" t="s">
        <v>306</v>
      </c>
      <c r="E45" t="s">
        <v>18</v>
      </c>
      <c r="F45" t="s">
        <v>307</v>
      </c>
      <c r="G45" t="s">
        <v>295</v>
      </c>
      <c r="H45" t="s">
        <v>308</v>
      </c>
      <c r="I45" t="s">
        <v>21</v>
      </c>
      <c r="J45" t="s">
        <v>33</v>
      </c>
      <c r="K45" t="s">
        <v>23</v>
      </c>
      <c r="L45">
        <v>5</v>
      </c>
      <c r="M45" t="s">
        <v>168</v>
      </c>
      <c r="N45" t="s">
        <v>25</v>
      </c>
      <c r="O45" s="2">
        <v>73</v>
      </c>
      <c r="P45" s="2">
        <v>76</v>
      </c>
      <c r="Q45" s="2">
        <v>56</v>
      </c>
      <c r="R45" s="2">
        <v>84</v>
      </c>
      <c r="S45" s="2">
        <v>66</v>
      </c>
      <c r="T45" s="2">
        <v>63</v>
      </c>
      <c r="U45" t="s">
        <v>1692</v>
      </c>
      <c r="V45" s="2">
        <v>30</v>
      </c>
      <c r="W45" s="1">
        <v>45474</v>
      </c>
      <c r="X45" s="1">
        <v>45838</v>
      </c>
      <c r="Y45" s="2">
        <v>14.4</v>
      </c>
      <c r="Z45" t="s">
        <v>1884</v>
      </c>
      <c r="AA45">
        <v>468</v>
      </c>
      <c r="AB45" s="2">
        <v>12.9</v>
      </c>
      <c r="AC45" s="2">
        <v>15.9</v>
      </c>
      <c r="AD45" t="s">
        <v>25</v>
      </c>
      <c r="AE45" s="1">
        <v>45108</v>
      </c>
      <c r="AF45" s="1">
        <v>45473</v>
      </c>
      <c r="AG45" t="b">
        <v>1</v>
      </c>
      <c r="AH45" t="b">
        <v>1</v>
      </c>
      <c r="AI45" t="b">
        <v>1</v>
      </c>
      <c r="AJ45" t="str">
        <f>IF(tblMergedCleaned[[#This Row],[Overall_Rating]]=
    "",
    "Unavailable",
    IF(tblMergedCleaned[[#This Row],[Overall_Rating]]&lt;=
        2,
        "Low (1-2)",
        IF(tblMergedCleaned[[#This Row],[Overall_Rating]]=
            3,
            "Middle (3)",
            "High (4-5)"
        )
    )
)</f>
        <v>High (4-5)</v>
      </c>
      <c r="AK45" cm="1">
        <f t="array" ref="AK45">IF(
    tblMergedCleaned[[#This Row],[Overall_Rating]]="",
    "",
    --(tblMergedCleaned[[#This Row],[Overall_Rating]]&lt;=2)
)</f>
        <v>0</v>
      </c>
      <c r="AL45">
        <f>IF(
    tblMergedCleaned[[#This Row],[Definitely_Recommend_Pct]]="",
    "",
    --(tblMergedCleaned[[#This Row],[Definitely_Recommend_Pct]]&lt;TX_Median_Recommend)
)</f>
        <v>1</v>
      </c>
      <c r="AM45">
        <f>IF(
    tblMergedCleaned[[#This Row],[Readmission_Comparison]]="",
    "",
    --(tblMergedCleaned[[#This Row],[Readmission_Comparison]]="Worse")
)</f>
        <v>0</v>
      </c>
      <c r="AN45">
        <f>COUNT(
    tblMergedCleaned[[#This Row],[Low_Rating_Flag]:[Worse_Readmission_Flag]]
)</f>
        <v>3</v>
      </c>
      <c r="AO45">
        <f>SUM(
    tblMergedCleaned[[#This Row],[Low_Rating_Flag]:[Worse_Readmission_Flag]]
)</f>
        <v>1</v>
      </c>
      <c r="AP4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4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45" s="2">
        <f>IF(
    tblMergedCleaned[[#This Row],[Definitely_Recommend_Pct]]="",
    "",
    tblMergedCleaned[[#This Row],[Definitely_Recommend_Pct]]-TX_Median_Recommend
)</f>
        <v>-8</v>
      </c>
      <c r="AS45" s="2">
        <f>IF(
    tblMergedCleaned[[#This Row],[Readmission_Rate_Pct]]="",
    "",
    tblMergedCleaned[[#This Row],[Readmission_Rate_Pct]]-TX_Median_Readmission
)</f>
        <v>-0.5</v>
      </c>
    </row>
    <row r="46" spans="1:45">
      <c r="A46" t="s">
        <v>309</v>
      </c>
      <c r="B46" t="s">
        <v>310</v>
      </c>
      <c r="C46" t="s">
        <v>311</v>
      </c>
      <c r="D46" t="s">
        <v>312</v>
      </c>
      <c r="E46" t="s">
        <v>18</v>
      </c>
      <c r="F46" t="s">
        <v>313</v>
      </c>
      <c r="G46" t="s">
        <v>314</v>
      </c>
      <c r="H46" t="s">
        <v>315</v>
      </c>
      <c r="I46" t="s">
        <v>21</v>
      </c>
      <c r="J46" t="s">
        <v>56</v>
      </c>
      <c r="K46" t="s">
        <v>23</v>
      </c>
      <c r="L46">
        <v>3</v>
      </c>
      <c r="M46" t="s">
        <v>42</v>
      </c>
      <c r="N46" t="s">
        <v>25</v>
      </c>
      <c r="O46" s="2">
        <v>78</v>
      </c>
      <c r="P46" s="2">
        <v>76</v>
      </c>
      <c r="Q46" s="2">
        <v>61</v>
      </c>
      <c r="R46" s="2">
        <v>84</v>
      </c>
      <c r="S46" s="2">
        <v>69</v>
      </c>
      <c r="T46" s="2">
        <v>71</v>
      </c>
      <c r="U46" t="s">
        <v>1693</v>
      </c>
      <c r="V46" s="2">
        <v>23</v>
      </c>
      <c r="W46" s="1">
        <v>45474</v>
      </c>
      <c r="X46" s="1">
        <v>45838</v>
      </c>
      <c r="Y46" s="2">
        <v>15</v>
      </c>
      <c r="Z46" t="s">
        <v>1884</v>
      </c>
      <c r="AA46">
        <v>1808</v>
      </c>
      <c r="AB46" s="2">
        <v>13.9</v>
      </c>
      <c r="AC46" s="2">
        <v>16.100000000000001</v>
      </c>
      <c r="AD46" t="s">
        <v>25</v>
      </c>
      <c r="AE46" s="1">
        <v>45108</v>
      </c>
      <c r="AF46" s="1">
        <v>45473</v>
      </c>
      <c r="AG46" t="b">
        <v>1</v>
      </c>
      <c r="AH46" t="b">
        <v>1</v>
      </c>
      <c r="AI46" t="b">
        <v>1</v>
      </c>
      <c r="AJ46" t="str">
        <f>IF(tblMergedCleaned[[#This Row],[Overall_Rating]]=
    "",
    "Unavailable",
    IF(tblMergedCleaned[[#This Row],[Overall_Rating]]&lt;=
        2,
        "Low (1-2)",
        IF(tblMergedCleaned[[#This Row],[Overall_Rating]]=
            3,
            "Middle (3)",
            "High (4-5)"
        )
    )
)</f>
        <v>Middle (3)</v>
      </c>
      <c r="AK46" cm="1">
        <f t="array" ref="AK46">IF(
    tblMergedCleaned[[#This Row],[Overall_Rating]]="",
    "",
    --(tblMergedCleaned[[#This Row],[Overall_Rating]]&lt;=2)
)</f>
        <v>0</v>
      </c>
      <c r="AL46">
        <f>IF(
    tblMergedCleaned[[#This Row],[Definitely_Recommend_Pct]]="",
    "",
    --(tblMergedCleaned[[#This Row],[Definitely_Recommend_Pct]]&lt;TX_Median_Recommend)
)</f>
        <v>0</v>
      </c>
      <c r="AM46">
        <f>IF(
    tblMergedCleaned[[#This Row],[Readmission_Comparison]]="",
    "",
    --(tblMergedCleaned[[#This Row],[Readmission_Comparison]]="Worse")
)</f>
        <v>0</v>
      </c>
      <c r="AN46">
        <f>COUNT(
    tblMergedCleaned[[#This Row],[Low_Rating_Flag]:[Worse_Readmission_Flag]]
)</f>
        <v>3</v>
      </c>
      <c r="AO46">
        <f>SUM(
    tblMergedCleaned[[#This Row],[Low_Rating_Flag]:[Worse_Readmission_Flag]]
)</f>
        <v>0</v>
      </c>
      <c r="AP4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4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46" s="2">
        <f>IF(
    tblMergedCleaned[[#This Row],[Definitely_Recommend_Pct]]="",
    "",
    tblMergedCleaned[[#This Row],[Definitely_Recommend_Pct]]-TX_Median_Recommend
)</f>
        <v>0</v>
      </c>
      <c r="AS46" s="2">
        <f>IF(
    tblMergedCleaned[[#This Row],[Readmission_Rate_Pct]]="",
    "",
    tblMergedCleaned[[#This Row],[Readmission_Rate_Pct]]-TX_Median_Readmission
)</f>
        <v>9.9999999999999645E-2</v>
      </c>
    </row>
    <row r="47" spans="1:45">
      <c r="A47" t="s">
        <v>316</v>
      </c>
      <c r="B47" t="s">
        <v>317</v>
      </c>
      <c r="C47" t="s">
        <v>318</v>
      </c>
      <c r="D47" t="s">
        <v>319</v>
      </c>
      <c r="E47" t="s">
        <v>18</v>
      </c>
      <c r="F47" t="s">
        <v>320</v>
      </c>
      <c r="G47" t="s">
        <v>319</v>
      </c>
      <c r="H47" t="s">
        <v>321</v>
      </c>
      <c r="I47" t="s">
        <v>21</v>
      </c>
      <c r="J47" t="s">
        <v>56</v>
      </c>
      <c r="K47" t="s">
        <v>23</v>
      </c>
      <c r="L47">
        <v>1</v>
      </c>
      <c r="M47" t="s">
        <v>322</v>
      </c>
      <c r="N47" t="s">
        <v>25</v>
      </c>
      <c r="O47" s="2">
        <v>73</v>
      </c>
      <c r="P47" s="2">
        <v>74</v>
      </c>
      <c r="Q47" s="2">
        <v>57</v>
      </c>
      <c r="R47" s="2">
        <v>86</v>
      </c>
      <c r="S47" s="2">
        <v>63</v>
      </c>
      <c r="T47" s="2">
        <v>66</v>
      </c>
      <c r="U47" t="s">
        <v>1694</v>
      </c>
      <c r="V47" s="2">
        <v>23</v>
      </c>
      <c r="W47" s="1">
        <v>45474</v>
      </c>
      <c r="X47" s="1">
        <v>45838</v>
      </c>
      <c r="Y47" s="2">
        <v>14.9</v>
      </c>
      <c r="Z47" t="s">
        <v>1884</v>
      </c>
      <c r="AA47">
        <v>1564</v>
      </c>
      <c r="AB47" s="2">
        <v>13.7</v>
      </c>
      <c r="AC47" s="2">
        <v>16</v>
      </c>
      <c r="AD47" t="s">
        <v>25</v>
      </c>
      <c r="AE47" s="1">
        <v>45108</v>
      </c>
      <c r="AF47" s="1">
        <v>45473</v>
      </c>
      <c r="AG47" t="b">
        <v>1</v>
      </c>
      <c r="AH47" t="b">
        <v>1</v>
      </c>
      <c r="AI47" t="b">
        <v>1</v>
      </c>
      <c r="AJ47" t="str">
        <f>IF(tblMergedCleaned[[#This Row],[Overall_Rating]]=
    "",
    "Unavailable",
    IF(tblMergedCleaned[[#This Row],[Overall_Rating]]&lt;=
        2,
        "Low (1-2)",
        IF(tblMergedCleaned[[#This Row],[Overall_Rating]]=
            3,
            "Middle (3)",
            "High (4-5)"
        )
    )
)</f>
        <v>Low (1-2)</v>
      </c>
      <c r="AK47" cm="1">
        <f t="array" ref="AK47">IF(
    tblMergedCleaned[[#This Row],[Overall_Rating]]="",
    "",
    --(tblMergedCleaned[[#This Row],[Overall_Rating]]&lt;=2)
)</f>
        <v>1</v>
      </c>
      <c r="AL47">
        <f>IF(
    tblMergedCleaned[[#This Row],[Definitely_Recommend_Pct]]="",
    "",
    --(tblMergedCleaned[[#This Row],[Definitely_Recommend_Pct]]&lt;TX_Median_Recommend)
)</f>
        <v>1</v>
      </c>
      <c r="AM47">
        <f>IF(
    tblMergedCleaned[[#This Row],[Readmission_Comparison]]="",
    "",
    --(tblMergedCleaned[[#This Row],[Readmission_Comparison]]="Worse")
)</f>
        <v>0</v>
      </c>
      <c r="AN47">
        <f>COUNT(
    tblMergedCleaned[[#This Row],[Low_Rating_Flag]:[Worse_Readmission_Flag]]
)</f>
        <v>3</v>
      </c>
      <c r="AO47">
        <f>SUM(
    tblMergedCleaned[[#This Row],[Low_Rating_Flag]:[Worse_Readmission_Flag]]
)</f>
        <v>2</v>
      </c>
      <c r="AP4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4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47" s="2">
        <f>IF(
    tblMergedCleaned[[#This Row],[Definitely_Recommend_Pct]]="",
    "",
    tblMergedCleaned[[#This Row],[Definitely_Recommend_Pct]]-TX_Median_Recommend
)</f>
        <v>-5</v>
      </c>
      <c r="AS47" s="2">
        <f>IF(
    tblMergedCleaned[[#This Row],[Readmission_Rate_Pct]]="",
    "",
    tblMergedCleaned[[#This Row],[Readmission_Rate_Pct]]-TX_Median_Readmission
)</f>
        <v>0</v>
      </c>
    </row>
    <row r="48" spans="1:45">
      <c r="A48" t="s">
        <v>323</v>
      </c>
      <c r="B48" t="s">
        <v>324</v>
      </c>
      <c r="C48" t="s">
        <v>325</v>
      </c>
      <c r="D48" t="s">
        <v>126</v>
      </c>
      <c r="E48" t="s">
        <v>18</v>
      </c>
      <c r="F48" t="s">
        <v>127</v>
      </c>
      <c r="G48" t="s">
        <v>128</v>
      </c>
      <c r="H48" t="s">
        <v>326</v>
      </c>
      <c r="I48" t="s">
        <v>21</v>
      </c>
      <c r="J48" t="s">
        <v>33</v>
      </c>
      <c r="K48" t="s">
        <v>23</v>
      </c>
      <c r="L48">
        <v>4</v>
      </c>
      <c r="M48" t="s">
        <v>34</v>
      </c>
      <c r="N48" t="s">
        <v>25</v>
      </c>
      <c r="O48" s="2">
        <v>78</v>
      </c>
      <c r="P48" s="2">
        <v>76</v>
      </c>
      <c r="Q48" s="2">
        <v>59</v>
      </c>
      <c r="R48" s="2">
        <v>88</v>
      </c>
      <c r="S48" s="2">
        <v>74</v>
      </c>
      <c r="T48" s="2">
        <v>76</v>
      </c>
      <c r="U48" t="s">
        <v>1695</v>
      </c>
      <c r="V48" s="2">
        <v>16</v>
      </c>
      <c r="W48" s="1">
        <v>45474</v>
      </c>
      <c r="X48" s="1">
        <v>45838</v>
      </c>
      <c r="Y48" s="2">
        <v>14.4</v>
      </c>
      <c r="Z48" t="s">
        <v>1884</v>
      </c>
      <c r="AA48">
        <v>5590</v>
      </c>
      <c r="AB48" s="2">
        <v>13.7</v>
      </c>
      <c r="AC48" s="2">
        <v>15.2</v>
      </c>
      <c r="AD48" t="s">
        <v>25</v>
      </c>
      <c r="AE48" s="1">
        <v>45108</v>
      </c>
      <c r="AF48" s="1">
        <v>45473</v>
      </c>
      <c r="AG48" t="b">
        <v>1</v>
      </c>
      <c r="AH48" t="b">
        <v>1</v>
      </c>
      <c r="AI48" t="b">
        <v>1</v>
      </c>
      <c r="AJ48" t="str">
        <f>IF(tblMergedCleaned[[#This Row],[Overall_Rating]]=
    "",
    "Unavailable",
    IF(tblMergedCleaned[[#This Row],[Overall_Rating]]&lt;=
        2,
        "Low (1-2)",
        IF(tblMergedCleaned[[#This Row],[Overall_Rating]]=
            3,
            "Middle (3)",
            "High (4-5)"
        )
    )
)</f>
        <v>High (4-5)</v>
      </c>
      <c r="AK48" cm="1">
        <f t="array" ref="AK48">IF(
    tblMergedCleaned[[#This Row],[Overall_Rating]]="",
    "",
    --(tblMergedCleaned[[#This Row],[Overall_Rating]]&lt;=2)
)</f>
        <v>0</v>
      </c>
      <c r="AL48">
        <f>IF(
    tblMergedCleaned[[#This Row],[Definitely_Recommend_Pct]]="",
    "",
    --(tblMergedCleaned[[#This Row],[Definitely_Recommend_Pct]]&lt;TX_Median_Recommend)
)</f>
        <v>0</v>
      </c>
      <c r="AM48">
        <f>IF(
    tblMergedCleaned[[#This Row],[Readmission_Comparison]]="",
    "",
    --(tblMergedCleaned[[#This Row],[Readmission_Comparison]]="Worse")
)</f>
        <v>0</v>
      </c>
      <c r="AN48">
        <f>COUNT(
    tblMergedCleaned[[#This Row],[Low_Rating_Flag]:[Worse_Readmission_Flag]]
)</f>
        <v>3</v>
      </c>
      <c r="AO48">
        <f>SUM(
    tblMergedCleaned[[#This Row],[Low_Rating_Flag]:[Worse_Readmission_Flag]]
)</f>
        <v>0</v>
      </c>
      <c r="AP4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4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48" s="2">
        <f>IF(
    tblMergedCleaned[[#This Row],[Definitely_Recommend_Pct]]="",
    "",
    tblMergedCleaned[[#This Row],[Definitely_Recommend_Pct]]-TX_Median_Recommend
)</f>
        <v>5</v>
      </c>
      <c r="AS48" s="2">
        <f>IF(
    tblMergedCleaned[[#This Row],[Readmission_Rate_Pct]]="",
    "",
    tblMergedCleaned[[#This Row],[Readmission_Rate_Pct]]-TX_Median_Readmission
)</f>
        <v>-0.5</v>
      </c>
    </row>
    <row r="49" spans="1:45">
      <c r="A49" t="s">
        <v>327</v>
      </c>
      <c r="B49" t="s">
        <v>328</v>
      </c>
      <c r="C49" t="s">
        <v>329</v>
      </c>
      <c r="D49" t="s">
        <v>126</v>
      </c>
      <c r="E49" t="s">
        <v>18</v>
      </c>
      <c r="F49" t="s">
        <v>127</v>
      </c>
      <c r="G49" t="s">
        <v>128</v>
      </c>
      <c r="H49" t="s">
        <v>330</v>
      </c>
      <c r="I49" t="s">
        <v>21</v>
      </c>
      <c r="J49" t="s">
        <v>33</v>
      </c>
      <c r="K49" t="s">
        <v>302</v>
      </c>
      <c r="L49">
        <v>4</v>
      </c>
      <c r="M49" t="s">
        <v>34</v>
      </c>
      <c r="N49" t="s">
        <v>25</v>
      </c>
      <c r="O49" s="2">
        <v>79</v>
      </c>
      <c r="P49" s="2">
        <v>78</v>
      </c>
      <c r="Q49" s="2">
        <v>62</v>
      </c>
      <c r="R49" s="2">
        <v>87</v>
      </c>
      <c r="S49" s="2">
        <v>72</v>
      </c>
      <c r="T49" s="2">
        <v>73</v>
      </c>
      <c r="U49" t="s">
        <v>1696</v>
      </c>
      <c r="V49" s="2">
        <v>11</v>
      </c>
      <c r="W49" s="1">
        <v>45474</v>
      </c>
      <c r="X49" s="1">
        <v>45838</v>
      </c>
      <c r="Y49" s="2">
        <v>15.8</v>
      </c>
      <c r="Z49" t="s">
        <v>1884</v>
      </c>
      <c r="AA49">
        <v>2563</v>
      </c>
      <c r="AB49" s="2">
        <v>14.9</v>
      </c>
      <c r="AC49" s="2">
        <v>16.8</v>
      </c>
      <c r="AD49" t="s">
        <v>25</v>
      </c>
      <c r="AE49" s="1">
        <v>45108</v>
      </c>
      <c r="AF49" s="1">
        <v>45473</v>
      </c>
      <c r="AG49" t="b">
        <v>1</v>
      </c>
      <c r="AH49" t="b">
        <v>1</v>
      </c>
      <c r="AI49" t="b">
        <v>1</v>
      </c>
      <c r="AJ49" t="str">
        <f>IF(tblMergedCleaned[[#This Row],[Overall_Rating]]=
    "",
    "Unavailable",
    IF(tblMergedCleaned[[#This Row],[Overall_Rating]]&lt;=
        2,
        "Low (1-2)",
        IF(tblMergedCleaned[[#This Row],[Overall_Rating]]=
            3,
            "Middle (3)",
            "High (4-5)"
        )
    )
)</f>
        <v>High (4-5)</v>
      </c>
      <c r="AK49" cm="1">
        <f t="array" ref="AK49">IF(
    tblMergedCleaned[[#This Row],[Overall_Rating]]="",
    "",
    --(tblMergedCleaned[[#This Row],[Overall_Rating]]&lt;=2)
)</f>
        <v>0</v>
      </c>
      <c r="AL49">
        <f>IF(
    tblMergedCleaned[[#This Row],[Definitely_Recommend_Pct]]="",
    "",
    --(tblMergedCleaned[[#This Row],[Definitely_Recommend_Pct]]&lt;TX_Median_Recommend)
)</f>
        <v>0</v>
      </c>
      <c r="AM49">
        <f>IF(
    tblMergedCleaned[[#This Row],[Readmission_Comparison]]="",
    "",
    --(tblMergedCleaned[[#This Row],[Readmission_Comparison]]="Worse")
)</f>
        <v>0</v>
      </c>
      <c r="AN49">
        <f>COUNT(
    tblMergedCleaned[[#This Row],[Low_Rating_Flag]:[Worse_Readmission_Flag]]
)</f>
        <v>3</v>
      </c>
      <c r="AO49">
        <f>SUM(
    tblMergedCleaned[[#This Row],[Low_Rating_Flag]:[Worse_Readmission_Flag]]
)</f>
        <v>0</v>
      </c>
      <c r="AP4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4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49" s="2">
        <f>IF(
    tblMergedCleaned[[#This Row],[Definitely_Recommend_Pct]]="",
    "",
    tblMergedCleaned[[#This Row],[Definitely_Recommend_Pct]]-TX_Median_Recommend
)</f>
        <v>2</v>
      </c>
      <c r="AS49" s="2">
        <f>IF(
    tblMergedCleaned[[#This Row],[Readmission_Rate_Pct]]="",
    "",
    tblMergedCleaned[[#This Row],[Readmission_Rate_Pct]]-TX_Median_Readmission
)</f>
        <v>0.90000000000000036</v>
      </c>
    </row>
    <row r="50" spans="1:45">
      <c r="A50" t="s">
        <v>331</v>
      </c>
      <c r="B50" t="s">
        <v>332</v>
      </c>
      <c r="C50" t="s">
        <v>333</v>
      </c>
      <c r="D50" t="s">
        <v>334</v>
      </c>
      <c r="E50" t="s">
        <v>18</v>
      </c>
      <c r="F50" t="s">
        <v>335</v>
      </c>
      <c r="G50" t="s">
        <v>334</v>
      </c>
      <c r="H50" t="s">
        <v>336</v>
      </c>
      <c r="I50" t="s">
        <v>21</v>
      </c>
      <c r="J50" t="s">
        <v>56</v>
      </c>
      <c r="K50" t="s">
        <v>23</v>
      </c>
      <c r="M50" t="s">
        <v>176</v>
      </c>
      <c r="N50" t="s">
        <v>177</v>
      </c>
      <c r="O50" s="2">
        <v>85</v>
      </c>
      <c r="P50" s="2">
        <v>83</v>
      </c>
      <c r="Q50" s="2">
        <v>67</v>
      </c>
      <c r="R50" s="2">
        <v>91</v>
      </c>
      <c r="S50" s="2">
        <v>88</v>
      </c>
      <c r="T50" s="2">
        <v>84</v>
      </c>
      <c r="U50" t="s">
        <v>1697</v>
      </c>
      <c r="V50" s="2">
        <v>23</v>
      </c>
      <c r="W50" s="1">
        <v>45474</v>
      </c>
      <c r="X50" s="1">
        <v>45838</v>
      </c>
      <c r="Y50" s="2">
        <v>15</v>
      </c>
      <c r="Z50" t="s">
        <v>1884</v>
      </c>
      <c r="AA50">
        <v>32</v>
      </c>
      <c r="AB50" s="2">
        <v>13.2</v>
      </c>
      <c r="AC50" s="2">
        <v>17.100000000000001</v>
      </c>
      <c r="AD50" t="s">
        <v>25</v>
      </c>
      <c r="AE50" s="1">
        <v>45108</v>
      </c>
      <c r="AF50" s="1">
        <v>45473</v>
      </c>
      <c r="AG50" t="b">
        <v>0</v>
      </c>
      <c r="AH50" t="b">
        <v>1</v>
      </c>
      <c r="AI50" t="b">
        <v>1</v>
      </c>
      <c r="AJ50" t="str">
        <f>IF(tblMergedCleaned[[#This Row],[Overall_Rating]]=
    "",
    "Unavailable",
    IF(tblMergedCleaned[[#This Row],[Overall_Rating]]&lt;=
        2,
        "Low (1-2)",
        IF(tblMergedCleaned[[#This Row],[Overall_Rating]]=
            3,
            "Middle (3)",
            "High (4-5)"
        )
    )
)</f>
        <v>Unavailable</v>
      </c>
      <c r="AK50" t="str" cm="1">
        <f t="array" ref="AK50">IF(
    tblMergedCleaned[[#This Row],[Overall_Rating]]="",
    "",
    --(tblMergedCleaned[[#This Row],[Overall_Rating]]&lt;=2)
)</f>
        <v/>
      </c>
      <c r="AL50">
        <f>IF(
    tblMergedCleaned[[#This Row],[Definitely_Recommend_Pct]]="",
    "",
    --(tblMergedCleaned[[#This Row],[Definitely_Recommend_Pct]]&lt;TX_Median_Recommend)
)</f>
        <v>0</v>
      </c>
      <c r="AM50">
        <f>IF(
    tblMergedCleaned[[#This Row],[Readmission_Comparison]]="",
    "",
    --(tblMergedCleaned[[#This Row],[Readmission_Comparison]]="Worse")
)</f>
        <v>0</v>
      </c>
      <c r="AN50">
        <f>COUNT(
    tblMergedCleaned[[#This Row],[Low_Rating_Flag]:[Worse_Readmission_Flag]]
)</f>
        <v>2</v>
      </c>
      <c r="AO50">
        <f>SUM(
    tblMergedCleaned[[#This Row],[Low_Rating_Flag]:[Worse_Readmission_Flag]]
)</f>
        <v>0</v>
      </c>
      <c r="AP5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5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50" s="2">
        <f>IF(
    tblMergedCleaned[[#This Row],[Definitely_Recommend_Pct]]="",
    "",
    tblMergedCleaned[[#This Row],[Definitely_Recommend_Pct]]-TX_Median_Recommend
)</f>
        <v>13</v>
      </c>
      <c r="AS50" s="2">
        <f>IF(
    tblMergedCleaned[[#This Row],[Readmission_Rate_Pct]]="",
    "",
    tblMergedCleaned[[#This Row],[Readmission_Rate_Pct]]-TX_Median_Readmission
)</f>
        <v>9.9999999999999645E-2</v>
      </c>
    </row>
    <row r="51" spans="1:45">
      <c r="A51" t="s">
        <v>337</v>
      </c>
      <c r="B51" t="s">
        <v>338</v>
      </c>
      <c r="C51" t="s">
        <v>339</v>
      </c>
      <c r="D51" t="s">
        <v>72</v>
      </c>
      <c r="E51" t="s">
        <v>18</v>
      </c>
      <c r="F51" t="s">
        <v>73</v>
      </c>
      <c r="G51" t="s">
        <v>72</v>
      </c>
      <c r="H51" t="s">
        <v>340</v>
      </c>
      <c r="I51" t="s">
        <v>21</v>
      </c>
      <c r="J51" t="s">
        <v>22</v>
      </c>
      <c r="K51" t="s">
        <v>23</v>
      </c>
      <c r="L51">
        <v>2</v>
      </c>
      <c r="M51" t="s">
        <v>24</v>
      </c>
      <c r="N51" t="s">
        <v>25</v>
      </c>
      <c r="O51" s="2">
        <v>74</v>
      </c>
      <c r="P51" s="2">
        <v>75</v>
      </c>
      <c r="Q51" s="2">
        <v>60</v>
      </c>
      <c r="R51" s="2">
        <v>85</v>
      </c>
      <c r="S51" s="2">
        <v>64</v>
      </c>
      <c r="T51" s="2">
        <v>65</v>
      </c>
      <c r="U51" t="s">
        <v>1698</v>
      </c>
      <c r="V51" s="2">
        <v>16</v>
      </c>
      <c r="W51" s="1">
        <v>45474</v>
      </c>
      <c r="X51" s="1">
        <v>45838</v>
      </c>
      <c r="Y51" s="2">
        <v>14.5</v>
      </c>
      <c r="Z51" t="s">
        <v>1884</v>
      </c>
      <c r="AA51">
        <v>1178</v>
      </c>
      <c r="AB51" s="2">
        <v>13.3</v>
      </c>
      <c r="AC51" s="2">
        <v>15.8</v>
      </c>
      <c r="AD51" t="s">
        <v>25</v>
      </c>
      <c r="AE51" s="1">
        <v>45108</v>
      </c>
      <c r="AF51" s="1">
        <v>45473</v>
      </c>
      <c r="AG51" t="b">
        <v>1</v>
      </c>
      <c r="AH51" t="b">
        <v>1</v>
      </c>
      <c r="AI51" t="b">
        <v>1</v>
      </c>
      <c r="AJ51" t="str">
        <f>IF(tblMergedCleaned[[#This Row],[Overall_Rating]]=
    "",
    "Unavailable",
    IF(tblMergedCleaned[[#This Row],[Overall_Rating]]&lt;=
        2,
        "Low (1-2)",
        IF(tblMergedCleaned[[#This Row],[Overall_Rating]]=
            3,
            "Middle (3)",
            "High (4-5)"
        )
    )
)</f>
        <v>Low (1-2)</v>
      </c>
      <c r="AK51" cm="1">
        <f t="array" ref="AK51">IF(
    tblMergedCleaned[[#This Row],[Overall_Rating]]="",
    "",
    --(tblMergedCleaned[[#This Row],[Overall_Rating]]&lt;=2)
)</f>
        <v>1</v>
      </c>
      <c r="AL51">
        <f>IF(
    tblMergedCleaned[[#This Row],[Definitely_Recommend_Pct]]="",
    "",
    --(tblMergedCleaned[[#This Row],[Definitely_Recommend_Pct]]&lt;TX_Median_Recommend)
)</f>
        <v>1</v>
      </c>
      <c r="AM51">
        <f>IF(
    tblMergedCleaned[[#This Row],[Readmission_Comparison]]="",
    "",
    --(tblMergedCleaned[[#This Row],[Readmission_Comparison]]="Worse")
)</f>
        <v>0</v>
      </c>
      <c r="AN51">
        <f>COUNT(
    tblMergedCleaned[[#This Row],[Low_Rating_Flag]:[Worse_Readmission_Flag]]
)</f>
        <v>3</v>
      </c>
      <c r="AO51">
        <f>SUM(
    tblMergedCleaned[[#This Row],[Low_Rating_Flag]:[Worse_Readmission_Flag]]
)</f>
        <v>2</v>
      </c>
      <c r="AP5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5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51" s="2">
        <f>IF(
    tblMergedCleaned[[#This Row],[Definitely_Recommend_Pct]]="",
    "",
    tblMergedCleaned[[#This Row],[Definitely_Recommend_Pct]]-TX_Median_Recommend
)</f>
        <v>-6</v>
      </c>
      <c r="AS51" s="2">
        <f>IF(
    tblMergedCleaned[[#This Row],[Readmission_Rate_Pct]]="",
    "",
    tblMergedCleaned[[#This Row],[Readmission_Rate_Pct]]-TX_Median_Readmission
)</f>
        <v>-0.40000000000000036</v>
      </c>
    </row>
    <row r="52" spans="1:45">
      <c r="A52" t="s">
        <v>341</v>
      </c>
      <c r="B52" t="s">
        <v>342</v>
      </c>
      <c r="C52" t="s">
        <v>343</v>
      </c>
      <c r="D52" t="s">
        <v>344</v>
      </c>
      <c r="E52" t="s">
        <v>18</v>
      </c>
      <c r="F52" t="s">
        <v>345</v>
      </c>
      <c r="G52" t="s">
        <v>346</v>
      </c>
      <c r="H52" t="s">
        <v>347</v>
      </c>
      <c r="I52" t="s">
        <v>21</v>
      </c>
      <c r="J52" t="s">
        <v>33</v>
      </c>
      <c r="K52" t="s">
        <v>23</v>
      </c>
      <c r="L52">
        <v>5</v>
      </c>
      <c r="M52" t="s">
        <v>168</v>
      </c>
      <c r="N52" t="s">
        <v>25</v>
      </c>
      <c r="O52" s="2">
        <v>82</v>
      </c>
      <c r="P52" s="2">
        <v>78</v>
      </c>
      <c r="Q52" s="2">
        <v>61</v>
      </c>
      <c r="R52" s="2">
        <v>90</v>
      </c>
      <c r="S52" s="2">
        <v>74</v>
      </c>
      <c r="T52" s="2">
        <v>72</v>
      </c>
      <c r="U52" t="s">
        <v>1699</v>
      </c>
      <c r="V52" s="2">
        <v>18</v>
      </c>
      <c r="W52" s="1">
        <v>45474</v>
      </c>
      <c r="X52" s="1">
        <v>45838</v>
      </c>
      <c r="Y52" s="2">
        <v>14.5</v>
      </c>
      <c r="Z52" t="s">
        <v>1884</v>
      </c>
      <c r="AA52">
        <v>361</v>
      </c>
      <c r="AB52" s="2">
        <v>12.9</v>
      </c>
      <c r="AC52" s="2">
        <v>16.2</v>
      </c>
      <c r="AD52" t="s">
        <v>25</v>
      </c>
      <c r="AE52" s="1">
        <v>45108</v>
      </c>
      <c r="AF52" s="1">
        <v>45473</v>
      </c>
      <c r="AG52" t="b">
        <v>1</v>
      </c>
      <c r="AH52" t="b">
        <v>1</v>
      </c>
      <c r="AI52" t="b">
        <v>1</v>
      </c>
      <c r="AJ52" t="str">
        <f>IF(tblMergedCleaned[[#This Row],[Overall_Rating]]=
    "",
    "Unavailable",
    IF(tblMergedCleaned[[#This Row],[Overall_Rating]]&lt;=
        2,
        "Low (1-2)",
        IF(tblMergedCleaned[[#This Row],[Overall_Rating]]=
            3,
            "Middle (3)",
            "High (4-5)"
        )
    )
)</f>
        <v>High (4-5)</v>
      </c>
      <c r="AK52" cm="1">
        <f t="array" ref="AK52">IF(
    tblMergedCleaned[[#This Row],[Overall_Rating]]="",
    "",
    --(tblMergedCleaned[[#This Row],[Overall_Rating]]&lt;=2)
)</f>
        <v>0</v>
      </c>
      <c r="AL52">
        <f>IF(
    tblMergedCleaned[[#This Row],[Definitely_Recommend_Pct]]="",
    "",
    --(tblMergedCleaned[[#This Row],[Definitely_Recommend_Pct]]&lt;TX_Median_Recommend)
)</f>
        <v>0</v>
      </c>
      <c r="AM52">
        <f>IF(
    tblMergedCleaned[[#This Row],[Readmission_Comparison]]="",
    "",
    --(tblMergedCleaned[[#This Row],[Readmission_Comparison]]="Worse")
)</f>
        <v>0</v>
      </c>
      <c r="AN52">
        <f>COUNT(
    tblMergedCleaned[[#This Row],[Low_Rating_Flag]:[Worse_Readmission_Flag]]
)</f>
        <v>3</v>
      </c>
      <c r="AO52">
        <f>SUM(
    tblMergedCleaned[[#This Row],[Low_Rating_Flag]:[Worse_Readmission_Flag]]
)</f>
        <v>0</v>
      </c>
      <c r="AP5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5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52" s="2">
        <f>IF(
    tblMergedCleaned[[#This Row],[Definitely_Recommend_Pct]]="",
    "",
    tblMergedCleaned[[#This Row],[Definitely_Recommend_Pct]]-TX_Median_Recommend
)</f>
        <v>1</v>
      </c>
      <c r="AS52" s="2">
        <f>IF(
    tblMergedCleaned[[#This Row],[Readmission_Rate_Pct]]="",
    "",
    tblMergedCleaned[[#This Row],[Readmission_Rate_Pct]]-TX_Median_Readmission
)</f>
        <v>-0.40000000000000036</v>
      </c>
    </row>
    <row r="53" spans="1:45">
      <c r="A53" t="s">
        <v>348</v>
      </c>
      <c r="B53" t="s">
        <v>349</v>
      </c>
      <c r="C53" t="s">
        <v>350</v>
      </c>
      <c r="D53" t="s">
        <v>351</v>
      </c>
      <c r="E53" t="s">
        <v>18</v>
      </c>
      <c r="F53" t="s">
        <v>352</v>
      </c>
      <c r="G53" t="s">
        <v>166</v>
      </c>
      <c r="H53" t="s">
        <v>353</v>
      </c>
      <c r="I53" t="s">
        <v>21</v>
      </c>
      <c r="J53" t="s">
        <v>354</v>
      </c>
      <c r="K53" t="s">
        <v>23</v>
      </c>
      <c r="L53">
        <v>3</v>
      </c>
      <c r="M53" t="s">
        <v>42</v>
      </c>
      <c r="N53" t="s">
        <v>25</v>
      </c>
      <c r="O53" s="2">
        <v>82</v>
      </c>
      <c r="P53" s="2">
        <v>82</v>
      </c>
      <c r="Q53" s="2">
        <v>66</v>
      </c>
      <c r="R53" s="2">
        <v>89</v>
      </c>
      <c r="S53" s="2">
        <v>78</v>
      </c>
      <c r="T53" s="2">
        <v>68</v>
      </c>
      <c r="U53" t="s">
        <v>1700</v>
      </c>
      <c r="V53" s="2">
        <v>10</v>
      </c>
      <c r="W53" s="1">
        <v>45474</v>
      </c>
      <c r="X53" s="1">
        <v>45838</v>
      </c>
      <c r="Y53" s="2">
        <v>15.9</v>
      </c>
      <c r="Z53" t="s">
        <v>1884</v>
      </c>
      <c r="AA53">
        <v>970</v>
      </c>
      <c r="AB53" s="2">
        <v>14.7</v>
      </c>
      <c r="AC53" s="2">
        <v>17.399999999999999</v>
      </c>
      <c r="AD53" t="s">
        <v>25</v>
      </c>
      <c r="AE53" s="1">
        <v>45108</v>
      </c>
      <c r="AF53" s="1">
        <v>45473</v>
      </c>
      <c r="AG53" t="b">
        <v>1</v>
      </c>
      <c r="AH53" t="b">
        <v>1</v>
      </c>
      <c r="AI53" t="b">
        <v>1</v>
      </c>
      <c r="AJ53" t="str">
        <f>IF(tblMergedCleaned[[#This Row],[Overall_Rating]]=
    "",
    "Unavailable",
    IF(tblMergedCleaned[[#This Row],[Overall_Rating]]&lt;=
        2,
        "Low (1-2)",
        IF(tblMergedCleaned[[#This Row],[Overall_Rating]]=
            3,
            "Middle (3)",
            "High (4-5)"
        )
    )
)</f>
        <v>Middle (3)</v>
      </c>
      <c r="AK53" cm="1">
        <f t="array" ref="AK53">IF(
    tblMergedCleaned[[#This Row],[Overall_Rating]]="",
    "",
    --(tblMergedCleaned[[#This Row],[Overall_Rating]]&lt;=2)
)</f>
        <v>0</v>
      </c>
      <c r="AL53">
        <f>IF(
    tblMergedCleaned[[#This Row],[Definitely_Recommend_Pct]]="",
    "",
    --(tblMergedCleaned[[#This Row],[Definitely_Recommend_Pct]]&lt;TX_Median_Recommend)
)</f>
        <v>1</v>
      </c>
      <c r="AM53">
        <f>IF(
    tblMergedCleaned[[#This Row],[Readmission_Comparison]]="",
    "",
    --(tblMergedCleaned[[#This Row],[Readmission_Comparison]]="Worse")
)</f>
        <v>0</v>
      </c>
      <c r="AN53">
        <f>COUNT(
    tblMergedCleaned[[#This Row],[Low_Rating_Flag]:[Worse_Readmission_Flag]]
)</f>
        <v>3</v>
      </c>
      <c r="AO53">
        <f>SUM(
    tblMergedCleaned[[#This Row],[Low_Rating_Flag]:[Worse_Readmission_Flag]]
)</f>
        <v>1</v>
      </c>
      <c r="AP5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5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53" s="2">
        <f>IF(
    tblMergedCleaned[[#This Row],[Definitely_Recommend_Pct]]="",
    "",
    tblMergedCleaned[[#This Row],[Definitely_Recommend_Pct]]-TX_Median_Recommend
)</f>
        <v>-3</v>
      </c>
      <c r="AS53" s="2">
        <f>IF(
    tblMergedCleaned[[#This Row],[Readmission_Rate_Pct]]="",
    "",
    tblMergedCleaned[[#This Row],[Readmission_Rate_Pct]]-TX_Median_Readmission
)</f>
        <v>1</v>
      </c>
    </row>
    <row r="54" spans="1:45">
      <c r="A54" t="s">
        <v>355</v>
      </c>
      <c r="B54" t="s">
        <v>356</v>
      </c>
      <c r="C54" t="s">
        <v>357</v>
      </c>
      <c r="D54" t="s">
        <v>358</v>
      </c>
      <c r="E54" t="s">
        <v>18</v>
      </c>
      <c r="F54" t="s">
        <v>359</v>
      </c>
      <c r="G54" t="s">
        <v>360</v>
      </c>
      <c r="H54" t="s">
        <v>361</v>
      </c>
      <c r="I54" t="s">
        <v>21</v>
      </c>
      <c r="J54" t="s">
        <v>56</v>
      </c>
      <c r="K54" t="s">
        <v>23</v>
      </c>
      <c r="L54">
        <v>3</v>
      </c>
      <c r="M54" t="s">
        <v>42</v>
      </c>
      <c r="N54" t="s">
        <v>25</v>
      </c>
      <c r="O54" s="2">
        <v>78</v>
      </c>
      <c r="P54" s="2">
        <v>81</v>
      </c>
      <c r="Q54" s="2">
        <v>73</v>
      </c>
      <c r="R54" s="2">
        <v>83</v>
      </c>
      <c r="S54" s="2">
        <v>63</v>
      </c>
      <c r="T54" s="2">
        <v>60</v>
      </c>
      <c r="U54" t="s">
        <v>1701</v>
      </c>
      <c r="V54" s="2">
        <v>8</v>
      </c>
      <c r="W54" s="1">
        <v>45474</v>
      </c>
      <c r="X54" s="1">
        <v>45838</v>
      </c>
      <c r="Y54" s="2">
        <v>14.7</v>
      </c>
      <c r="Z54" t="s">
        <v>1884</v>
      </c>
      <c r="AA54">
        <v>239</v>
      </c>
      <c r="AB54" s="2">
        <v>13</v>
      </c>
      <c r="AC54" s="2">
        <v>16.600000000000001</v>
      </c>
      <c r="AD54" t="s">
        <v>25</v>
      </c>
      <c r="AE54" s="1">
        <v>45108</v>
      </c>
      <c r="AF54" s="1">
        <v>45473</v>
      </c>
      <c r="AG54" t="b">
        <v>1</v>
      </c>
      <c r="AH54" t="b">
        <v>1</v>
      </c>
      <c r="AI54" t="b">
        <v>1</v>
      </c>
      <c r="AJ54" t="str">
        <f>IF(tblMergedCleaned[[#This Row],[Overall_Rating]]=
    "",
    "Unavailable",
    IF(tblMergedCleaned[[#This Row],[Overall_Rating]]&lt;=
        2,
        "Low (1-2)",
        IF(tblMergedCleaned[[#This Row],[Overall_Rating]]=
            3,
            "Middle (3)",
            "High (4-5)"
        )
    )
)</f>
        <v>Middle (3)</v>
      </c>
      <c r="AK54" cm="1">
        <f t="array" ref="AK54">IF(
    tblMergedCleaned[[#This Row],[Overall_Rating]]="",
    "",
    --(tblMergedCleaned[[#This Row],[Overall_Rating]]&lt;=2)
)</f>
        <v>0</v>
      </c>
      <c r="AL54">
        <f>IF(
    tblMergedCleaned[[#This Row],[Definitely_Recommend_Pct]]="",
    "",
    --(tblMergedCleaned[[#This Row],[Definitely_Recommend_Pct]]&lt;TX_Median_Recommend)
)</f>
        <v>1</v>
      </c>
      <c r="AM54">
        <f>IF(
    tblMergedCleaned[[#This Row],[Readmission_Comparison]]="",
    "",
    --(tblMergedCleaned[[#This Row],[Readmission_Comparison]]="Worse")
)</f>
        <v>0</v>
      </c>
      <c r="AN54">
        <f>COUNT(
    tblMergedCleaned[[#This Row],[Low_Rating_Flag]:[Worse_Readmission_Flag]]
)</f>
        <v>3</v>
      </c>
      <c r="AO54">
        <f>SUM(
    tblMergedCleaned[[#This Row],[Low_Rating_Flag]:[Worse_Readmission_Flag]]
)</f>
        <v>1</v>
      </c>
      <c r="AP5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5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54" s="2">
        <f>IF(
    tblMergedCleaned[[#This Row],[Definitely_Recommend_Pct]]="",
    "",
    tblMergedCleaned[[#This Row],[Definitely_Recommend_Pct]]-TX_Median_Recommend
)</f>
        <v>-11</v>
      </c>
      <c r="AS54" s="2">
        <f>IF(
    tblMergedCleaned[[#This Row],[Readmission_Rate_Pct]]="",
    "",
    tblMergedCleaned[[#This Row],[Readmission_Rate_Pct]]-TX_Median_Readmission
)</f>
        <v>-0.20000000000000107</v>
      </c>
    </row>
    <row r="55" spans="1:45">
      <c r="A55" t="s">
        <v>362</v>
      </c>
      <c r="B55" t="s">
        <v>363</v>
      </c>
      <c r="C55" t="s">
        <v>364</v>
      </c>
      <c r="D55" t="s">
        <v>365</v>
      </c>
      <c r="E55" t="s">
        <v>18</v>
      </c>
      <c r="F55" t="s">
        <v>366</v>
      </c>
      <c r="G55" t="s">
        <v>367</v>
      </c>
      <c r="H55" t="s">
        <v>368</v>
      </c>
      <c r="I55" t="s">
        <v>21</v>
      </c>
      <c r="J55" t="s">
        <v>56</v>
      </c>
      <c r="K55" t="s">
        <v>23</v>
      </c>
      <c r="M55" t="s">
        <v>176</v>
      </c>
      <c r="N55" t="s">
        <v>177</v>
      </c>
      <c r="O55" s="2">
        <v>79</v>
      </c>
      <c r="P55" s="2">
        <v>83</v>
      </c>
      <c r="Q55" s="2">
        <v>57</v>
      </c>
      <c r="R55" s="2">
        <v>93</v>
      </c>
      <c r="S55" s="2">
        <v>82</v>
      </c>
      <c r="T55" s="2">
        <v>77</v>
      </c>
      <c r="U55" t="s">
        <v>1702</v>
      </c>
      <c r="V55" s="2">
        <v>20</v>
      </c>
      <c r="W55" s="1">
        <v>45474</v>
      </c>
      <c r="X55" s="1">
        <v>45838</v>
      </c>
      <c r="Y55" s="2">
        <v>14.5</v>
      </c>
      <c r="Z55" t="s">
        <v>1884</v>
      </c>
      <c r="AA55">
        <v>58</v>
      </c>
      <c r="AB55" s="2">
        <v>12.7</v>
      </c>
      <c r="AC55" s="2">
        <v>16.7</v>
      </c>
      <c r="AD55" t="s">
        <v>25</v>
      </c>
      <c r="AE55" s="1">
        <v>45108</v>
      </c>
      <c r="AF55" s="1">
        <v>45473</v>
      </c>
      <c r="AG55" t="b">
        <v>0</v>
      </c>
      <c r="AH55" t="b">
        <v>1</v>
      </c>
      <c r="AI55" t="b">
        <v>1</v>
      </c>
      <c r="AJ55" t="str">
        <f>IF(tblMergedCleaned[[#This Row],[Overall_Rating]]=
    "",
    "Unavailable",
    IF(tblMergedCleaned[[#This Row],[Overall_Rating]]&lt;=
        2,
        "Low (1-2)",
        IF(tblMergedCleaned[[#This Row],[Overall_Rating]]=
            3,
            "Middle (3)",
            "High (4-5)"
        )
    )
)</f>
        <v>Unavailable</v>
      </c>
      <c r="AK55" t="str" cm="1">
        <f t="array" ref="AK55">IF(
    tblMergedCleaned[[#This Row],[Overall_Rating]]="",
    "",
    --(tblMergedCleaned[[#This Row],[Overall_Rating]]&lt;=2)
)</f>
        <v/>
      </c>
      <c r="AL55">
        <f>IF(
    tblMergedCleaned[[#This Row],[Definitely_Recommend_Pct]]="",
    "",
    --(tblMergedCleaned[[#This Row],[Definitely_Recommend_Pct]]&lt;TX_Median_Recommend)
)</f>
        <v>0</v>
      </c>
      <c r="AM55">
        <f>IF(
    tblMergedCleaned[[#This Row],[Readmission_Comparison]]="",
    "",
    --(tblMergedCleaned[[#This Row],[Readmission_Comparison]]="Worse")
)</f>
        <v>0</v>
      </c>
      <c r="AN55">
        <f>COUNT(
    tblMergedCleaned[[#This Row],[Low_Rating_Flag]:[Worse_Readmission_Flag]]
)</f>
        <v>2</v>
      </c>
      <c r="AO55">
        <f>SUM(
    tblMergedCleaned[[#This Row],[Low_Rating_Flag]:[Worse_Readmission_Flag]]
)</f>
        <v>0</v>
      </c>
      <c r="AP5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5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55" s="2">
        <f>IF(
    tblMergedCleaned[[#This Row],[Definitely_Recommend_Pct]]="",
    "",
    tblMergedCleaned[[#This Row],[Definitely_Recommend_Pct]]-TX_Median_Recommend
)</f>
        <v>6</v>
      </c>
      <c r="AS55" s="2">
        <f>IF(
    tblMergedCleaned[[#This Row],[Readmission_Rate_Pct]]="",
    "",
    tblMergedCleaned[[#This Row],[Readmission_Rate_Pct]]-TX_Median_Readmission
)</f>
        <v>-0.40000000000000036</v>
      </c>
    </row>
    <row r="56" spans="1:45">
      <c r="A56" t="s">
        <v>369</v>
      </c>
      <c r="B56" t="s">
        <v>370</v>
      </c>
      <c r="C56" t="s">
        <v>371</v>
      </c>
      <c r="D56" t="s">
        <v>133</v>
      </c>
      <c r="E56" t="s">
        <v>18</v>
      </c>
      <c r="F56" t="s">
        <v>372</v>
      </c>
      <c r="G56" t="s">
        <v>133</v>
      </c>
      <c r="H56" t="s">
        <v>373</v>
      </c>
      <c r="I56" t="s">
        <v>21</v>
      </c>
      <c r="J56" t="s">
        <v>33</v>
      </c>
      <c r="K56" t="s">
        <v>23</v>
      </c>
      <c r="M56" t="s">
        <v>176</v>
      </c>
      <c r="N56" t="s">
        <v>177</v>
      </c>
      <c r="O56" s="2">
        <v>84</v>
      </c>
      <c r="P56" s="2">
        <v>78</v>
      </c>
      <c r="Q56" s="2">
        <v>62</v>
      </c>
      <c r="R56" s="2">
        <v>87</v>
      </c>
      <c r="S56" s="2">
        <v>85</v>
      </c>
      <c r="T56" s="2">
        <v>86</v>
      </c>
      <c r="U56" t="s">
        <v>1703</v>
      </c>
      <c r="V56" s="2">
        <v>42</v>
      </c>
      <c r="W56" s="1">
        <v>45474</v>
      </c>
      <c r="X56" s="1">
        <v>45838</v>
      </c>
      <c r="Y56" s="2">
        <v>14.2</v>
      </c>
      <c r="Z56" t="s">
        <v>1884</v>
      </c>
      <c r="AA56">
        <v>53</v>
      </c>
      <c r="AB56" s="2">
        <v>11.2</v>
      </c>
      <c r="AC56" s="2">
        <v>17.8</v>
      </c>
      <c r="AD56" t="s">
        <v>25</v>
      </c>
      <c r="AE56" s="1">
        <v>45108</v>
      </c>
      <c r="AF56" s="1">
        <v>45473</v>
      </c>
      <c r="AG56" t="b">
        <v>0</v>
      </c>
      <c r="AH56" t="b">
        <v>1</v>
      </c>
      <c r="AI56" t="b">
        <v>1</v>
      </c>
      <c r="AJ56" t="str">
        <f>IF(tblMergedCleaned[[#This Row],[Overall_Rating]]=
    "",
    "Unavailable",
    IF(tblMergedCleaned[[#This Row],[Overall_Rating]]&lt;=
        2,
        "Low (1-2)",
        IF(tblMergedCleaned[[#This Row],[Overall_Rating]]=
            3,
            "Middle (3)",
            "High (4-5)"
        )
    )
)</f>
        <v>Unavailable</v>
      </c>
      <c r="AK56" t="str" cm="1">
        <f t="array" ref="AK56">IF(
    tblMergedCleaned[[#This Row],[Overall_Rating]]="",
    "",
    --(tblMergedCleaned[[#This Row],[Overall_Rating]]&lt;=2)
)</f>
        <v/>
      </c>
      <c r="AL56">
        <f>IF(
    tblMergedCleaned[[#This Row],[Definitely_Recommend_Pct]]="",
    "",
    --(tblMergedCleaned[[#This Row],[Definitely_Recommend_Pct]]&lt;TX_Median_Recommend)
)</f>
        <v>0</v>
      </c>
      <c r="AM56">
        <f>IF(
    tblMergedCleaned[[#This Row],[Readmission_Comparison]]="",
    "",
    --(tblMergedCleaned[[#This Row],[Readmission_Comparison]]="Worse")
)</f>
        <v>0</v>
      </c>
      <c r="AN56">
        <f>COUNT(
    tblMergedCleaned[[#This Row],[Low_Rating_Flag]:[Worse_Readmission_Flag]]
)</f>
        <v>2</v>
      </c>
      <c r="AO56">
        <f>SUM(
    tblMergedCleaned[[#This Row],[Low_Rating_Flag]:[Worse_Readmission_Flag]]
)</f>
        <v>0</v>
      </c>
      <c r="AP5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5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56" s="2">
        <f>IF(
    tblMergedCleaned[[#This Row],[Definitely_Recommend_Pct]]="",
    "",
    tblMergedCleaned[[#This Row],[Definitely_Recommend_Pct]]-TX_Median_Recommend
)</f>
        <v>15</v>
      </c>
      <c r="AS56" s="2">
        <f>IF(
    tblMergedCleaned[[#This Row],[Readmission_Rate_Pct]]="",
    "",
    tblMergedCleaned[[#This Row],[Readmission_Rate_Pct]]-TX_Median_Readmission
)</f>
        <v>-0.70000000000000107</v>
      </c>
    </row>
    <row r="57" spans="1:45">
      <c r="A57" t="s">
        <v>374</v>
      </c>
      <c r="B57" t="s">
        <v>375</v>
      </c>
      <c r="C57" t="s">
        <v>376</v>
      </c>
      <c r="D57" t="s">
        <v>377</v>
      </c>
      <c r="E57" t="s">
        <v>18</v>
      </c>
      <c r="F57" t="s">
        <v>378</v>
      </c>
      <c r="G57" t="s">
        <v>379</v>
      </c>
      <c r="H57" t="s">
        <v>380</v>
      </c>
      <c r="I57" t="s">
        <v>21</v>
      </c>
      <c r="J57" t="s">
        <v>33</v>
      </c>
      <c r="K57" t="s">
        <v>23</v>
      </c>
      <c r="L57">
        <v>2</v>
      </c>
      <c r="M57" t="s">
        <v>24</v>
      </c>
      <c r="N57" t="s">
        <v>25</v>
      </c>
      <c r="O57" s="2">
        <v>82</v>
      </c>
      <c r="P57" s="2">
        <v>77</v>
      </c>
      <c r="Q57" s="2">
        <v>65</v>
      </c>
      <c r="R57" s="2">
        <v>83</v>
      </c>
      <c r="S57" s="2">
        <v>68</v>
      </c>
      <c r="T57" s="2">
        <v>60</v>
      </c>
      <c r="U57" t="s">
        <v>1704</v>
      </c>
      <c r="V57" s="2">
        <v>13</v>
      </c>
      <c r="W57" s="1">
        <v>45474</v>
      </c>
      <c r="X57" s="1">
        <v>45838</v>
      </c>
      <c r="Y57" s="2">
        <v>14.9</v>
      </c>
      <c r="Z57" t="s">
        <v>1884</v>
      </c>
      <c r="AA57">
        <v>174</v>
      </c>
      <c r="AB57" s="2">
        <v>13.2</v>
      </c>
      <c r="AC57" s="2">
        <v>17</v>
      </c>
      <c r="AD57" t="s">
        <v>25</v>
      </c>
      <c r="AE57" s="1">
        <v>45108</v>
      </c>
      <c r="AF57" s="1">
        <v>45473</v>
      </c>
      <c r="AG57" t="b">
        <v>1</v>
      </c>
      <c r="AH57" t="b">
        <v>1</v>
      </c>
      <c r="AI57" t="b">
        <v>1</v>
      </c>
      <c r="AJ57" t="str">
        <f>IF(tblMergedCleaned[[#This Row],[Overall_Rating]]=
    "",
    "Unavailable",
    IF(tblMergedCleaned[[#This Row],[Overall_Rating]]&lt;=
        2,
        "Low (1-2)",
        IF(tblMergedCleaned[[#This Row],[Overall_Rating]]=
            3,
            "Middle (3)",
            "High (4-5)"
        )
    )
)</f>
        <v>Low (1-2)</v>
      </c>
      <c r="AK57" cm="1">
        <f t="array" ref="AK57">IF(
    tblMergedCleaned[[#This Row],[Overall_Rating]]="",
    "",
    --(tblMergedCleaned[[#This Row],[Overall_Rating]]&lt;=2)
)</f>
        <v>1</v>
      </c>
      <c r="AL57">
        <f>IF(
    tblMergedCleaned[[#This Row],[Definitely_Recommend_Pct]]="",
    "",
    --(tblMergedCleaned[[#This Row],[Definitely_Recommend_Pct]]&lt;TX_Median_Recommend)
)</f>
        <v>1</v>
      </c>
      <c r="AM57">
        <f>IF(
    tblMergedCleaned[[#This Row],[Readmission_Comparison]]="",
    "",
    --(tblMergedCleaned[[#This Row],[Readmission_Comparison]]="Worse")
)</f>
        <v>0</v>
      </c>
      <c r="AN57">
        <f>COUNT(
    tblMergedCleaned[[#This Row],[Low_Rating_Flag]:[Worse_Readmission_Flag]]
)</f>
        <v>3</v>
      </c>
      <c r="AO57">
        <f>SUM(
    tblMergedCleaned[[#This Row],[Low_Rating_Flag]:[Worse_Readmission_Flag]]
)</f>
        <v>2</v>
      </c>
      <c r="AP5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5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57" s="2">
        <f>IF(
    tblMergedCleaned[[#This Row],[Definitely_Recommend_Pct]]="",
    "",
    tblMergedCleaned[[#This Row],[Definitely_Recommend_Pct]]-TX_Median_Recommend
)</f>
        <v>-11</v>
      </c>
      <c r="AS57" s="2">
        <f>IF(
    tblMergedCleaned[[#This Row],[Readmission_Rate_Pct]]="",
    "",
    tblMergedCleaned[[#This Row],[Readmission_Rate_Pct]]-TX_Median_Readmission
)</f>
        <v>0</v>
      </c>
    </row>
    <row r="58" spans="1:45">
      <c r="A58" t="s">
        <v>381</v>
      </c>
      <c r="B58" t="s">
        <v>382</v>
      </c>
      <c r="C58" t="s">
        <v>383</v>
      </c>
      <c r="D58" t="s">
        <v>384</v>
      </c>
      <c r="E58" t="s">
        <v>18</v>
      </c>
      <c r="F58" t="s">
        <v>385</v>
      </c>
      <c r="G58" t="s">
        <v>386</v>
      </c>
      <c r="H58" t="s">
        <v>387</v>
      </c>
      <c r="I58" t="s">
        <v>21</v>
      </c>
      <c r="J58" t="s">
        <v>22</v>
      </c>
      <c r="K58" t="s">
        <v>23</v>
      </c>
      <c r="L58">
        <v>3</v>
      </c>
      <c r="M58" t="s">
        <v>42</v>
      </c>
      <c r="N58" t="s">
        <v>25</v>
      </c>
      <c r="O58" s="2">
        <v>82</v>
      </c>
      <c r="P58" s="2">
        <v>76</v>
      </c>
      <c r="Q58" s="2">
        <v>64</v>
      </c>
      <c r="R58" s="2">
        <v>82</v>
      </c>
      <c r="S58" s="2">
        <v>72</v>
      </c>
      <c r="T58" s="2">
        <v>71</v>
      </c>
      <c r="U58" t="s">
        <v>1705</v>
      </c>
      <c r="V58" s="2">
        <v>14</v>
      </c>
      <c r="W58" s="1">
        <v>45474</v>
      </c>
      <c r="X58" s="1">
        <v>45838</v>
      </c>
      <c r="Y58" s="2">
        <v>14.5</v>
      </c>
      <c r="Z58" t="s">
        <v>1884</v>
      </c>
      <c r="AA58">
        <v>226</v>
      </c>
      <c r="AB58" s="2">
        <v>12.5</v>
      </c>
      <c r="AC58" s="2">
        <v>16.7</v>
      </c>
      <c r="AD58" t="s">
        <v>25</v>
      </c>
      <c r="AE58" s="1">
        <v>45108</v>
      </c>
      <c r="AF58" s="1">
        <v>45473</v>
      </c>
      <c r="AG58" t="b">
        <v>1</v>
      </c>
      <c r="AH58" t="b">
        <v>1</v>
      </c>
      <c r="AI58" t="b">
        <v>1</v>
      </c>
      <c r="AJ58" t="str">
        <f>IF(tblMergedCleaned[[#This Row],[Overall_Rating]]=
    "",
    "Unavailable",
    IF(tblMergedCleaned[[#This Row],[Overall_Rating]]&lt;=
        2,
        "Low (1-2)",
        IF(tblMergedCleaned[[#This Row],[Overall_Rating]]=
            3,
            "Middle (3)",
            "High (4-5)"
        )
    )
)</f>
        <v>Middle (3)</v>
      </c>
      <c r="AK58" cm="1">
        <f t="array" ref="AK58">IF(
    tblMergedCleaned[[#This Row],[Overall_Rating]]="",
    "",
    --(tblMergedCleaned[[#This Row],[Overall_Rating]]&lt;=2)
)</f>
        <v>0</v>
      </c>
      <c r="AL58">
        <f>IF(
    tblMergedCleaned[[#This Row],[Definitely_Recommend_Pct]]="",
    "",
    --(tblMergedCleaned[[#This Row],[Definitely_Recommend_Pct]]&lt;TX_Median_Recommend)
)</f>
        <v>0</v>
      </c>
      <c r="AM58">
        <f>IF(
    tblMergedCleaned[[#This Row],[Readmission_Comparison]]="",
    "",
    --(tblMergedCleaned[[#This Row],[Readmission_Comparison]]="Worse")
)</f>
        <v>0</v>
      </c>
      <c r="AN58">
        <f>COUNT(
    tblMergedCleaned[[#This Row],[Low_Rating_Flag]:[Worse_Readmission_Flag]]
)</f>
        <v>3</v>
      </c>
      <c r="AO58">
        <f>SUM(
    tblMergedCleaned[[#This Row],[Low_Rating_Flag]:[Worse_Readmission_Flag]]
)</f>
        <v>0</v>
      </c>
      <c r="AP5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5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58" s="2">
        <f>IF(
    tblMergedCleaned[[#This Row],[Definitely_Recommend_Pct]]="",
    "",
    tblMergedCleaned[[#This Row],[Definitely_Recommend_Pct]]-TX_Median_Recommend
)</f>
        <v>0</v>
      </c>
      <c r="AS58" s="2">
        <f>IF(
    tblMergedCleaned[[#This Row],[Readmission_Rate_Pct]]="",
    "",
    tblMergedCleaned[[#This Row],[Readmission_Rate_Pct]]-TX_Median_Readmission
)</f>
        <v>-0.40000000000000036</v>
      </c>
    </row>
    <row r="59" spans="1:45">
      <c r="A59" t="s">
        <v>388</v>
      </c>
      <c r="B59" t="s">
        <v>389</v>
      </c>
      <c r="C59" t="s">
        <v>390</v>
      </c>
      <c r="D59" t="s">
        <v>391</v>
      </c>
      <c r="E59" t="s">
        <v>18</v>
      </c>
      <c r="F59" t="s">
        <v>392</v>
      </c>
      <c r="G59" t="s">
        <v>295</v>
      </c>
      <c r="H59" t="s">
        <v>393</v>
      </c>
      <c r="I59" t="s">
        <v>21</v>
      </c>
      <c r="J59" t="s">
        <v>33</v>
      </c>
      <c r="K59" t="s">
        <v>23</v>
      </c>
      <c r="L59">
        <v>4</v>
      </c>
      <c r="M59" t="s">
        <v>34</v>
      </c>
      <c r="N59" t="s">
        <v>25</v>
      </c>
      <c r="O59" s="2">
        <v>76</v>
      </c>
      <c r="P59" s="2">
        <v>78</v>
      </c>
      <c r="Q59" s="2">
        <v>55</v>
      </c>
      <c r="R59" s="2">
        <v>83</v>
      </c>
      <c r="S59" s="2">
        <v>71</v>
      </c>
      <c r="T59" s="2">
        <v>70</v>
      </c>
      <c r="U59" t="s">
        <v>1706</v>
      </c>
      <c r="V59" s="2">
        <v>40</v>
      </c>
      <c r="W59" s="1">
        <v>45474</v>
      </c>
      <c r="X59" s="1">
        <v>45838</v>
      </c>
      <c r="Y59" s="2">
        <v>15.2</v>
      </c>
      <c r="Z59" t="s">
        <v>1884</v>
      </c>
      <c r="AA59">
        <v>627</v>
      </c>
      <c r="AB59" s="2">
        <v>13.7</v>
      </c>
      <c r="AC59" s="2">
        <v>16.899999999999999</v>
      </c>
      <c r="AD59" t="s">
        <v>25</v>
      </c>
      <c r="AE59" s="1">
        <v>45108</v>
      </c>
      <c r="AF59" s="1">
        <v>45473</v>
      </c>
      <c r="AG59" t="b">
        <v>1</v>
      </c>
      <c r="AH59" t="b">
        <v>1</v>
      </c>
      <c r="AI59" t="b">
        <v>1</v>
      </c>
      <c r="AJ59" t="str">
        <f>IF(tblMergedCleaned[[#This Row],[Overall_Rating]]=
    "",
    "Unavailable",
    IF(tblMergedCleaned[[#This Row],[Overall_Rating]]&lt;=
        2,
        "Low (1-2)",
        IF(tblMergedCleaned[[#This Row],[Overall_Rating]]=
            3,
            "Middle (3)",
            "High (4-5)"
        )
    )
)</f>
        <v>High (4-5)</v>
      </c>
      <c r="AK59" cm="1">
        <f t="array" ref="AK59">IF(
    tblMergedCleaned[[#This Row],[Overall_Rating]]="",
    "",
    --(tblMergedCleaned[[#This Row],[Overall_Rating]]&lt;=2)
)</f>
        <v>0</v>
      </c>
      <c r="AL59">
        <f>IF(
    tblMergedCleaned[[#This Row],[Definitely_Recommend_Pct]]="",
    "",
    --(tblMergedCleaned[[#This Row],[Definitely_Recommend_Pct]]&lt;TX_Median_Recommend)
)</f>
        <v>1</v>
      </c>
      <c r="AM59">
        <f>IF(
    tblMergedCleaned[[#This Row],[Readmission_Comparison]]="",
    "",
    --(tblMergedCleaned[[#This Row],[Readmission_Comparison]]="Worse")
)</f>
        <v>0</v>
      </c>
      <c r="AN59">
        <f>COUNT(
    tblMergedCleaned[[#This Row],[Low_Rating_Flag]:[Worse_Readmission_Flag]]
)</f>
        <v>3</v>
      </c>
      <c r="AO59">
        <f>SUM(
    tblMergedCleaned[[#This Row],[Low_Rating_Flag]:[Worse_Readmission_Flag]]
)</f>
        <v>1</v>
      </c>
      <c r="AP5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5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59" s="2">
        <f>IF(
    tblMergedCleaned[[#This Row],[Definitely_Recommend_Pct]]="",
    "",
    tblMergedCleaned[[#This Row],[Definitely_Recommend_Pct]]-TX_Median_Recommend
)</f>
        <v>-1</v>
      </c>
      <c r="AS59" s="2">
        <f>IF(
    tblMergedCleaned[[#This Row],[Readmission_Rate_Pct]]="",
    "",
    tblMergedCleaned[[#This Row],[Readmission_Rate_Pct]]-TX_Median_Readmission
)</f>
        <v>0.29999999999999893</v>
      </c>
    </row>
    <row r="60" spans="1:45">
      <c r="A60" t="s">
        <v>394</v>
      </c>
      <c r="B60" t="s">
        <v>395</v>
      </c>
      <c r="C60" t="s">
        <v>396</v>
      </c>
      <c r="D60" t="s">
        <v>119</v>
      </c>
      <c r="E60" t="s">
        <v>18</v>
      </c>
      <c r="F60" t="s">
        <v>397</v>
      </c>
      <c r="G60" t="s">
        <v>121</v>
      </c>
      <c r="H60" t="s">
        <v>398</v>
      </c>
      <c r="I60" t="s">
        <v>21</v>
      </c>
      <c r="J60" t="s">
        <v>33</v>
      </c>
      <c r="K60" t="s">
        <v>23</v>
      </c>
      <c r="L60">
        <v>3</v>
      </c>
      <c r="M60" t="s">
        <v>42</v>
      </c>
      <c r="N60" t="s">
        <v>25</v>
      </c>
      <c r="O60" s="2">
        <v>76</v>
      </c>
      <c r="P60" s="2">
        <v>76</v>
      </c>
      <c r="Q60" s="2">
        <v>59</v>
      </c>
      <c r="R60" s="2">
        <v>83</v>
      </c>
      <c r="S60" s="2">
        <v>72</v>
      </c>
      <c r="T60" s="2">
        <v>71</v>
      </c>
      <c r="U60" t="s">
        <v>1707</v>
      </c>
      <c r="V60" s="2">
        <v>12</v>
      </c>
      <c r="W60" s="1">
        <v>45474</v>
      </c>
      <c r="X60" s="1">
        <v>45838</v>
      </c>
      <c r="Y60" s="2">
        <v>14.8</v>
      </c>
      <c r="Z60" t="s">
        <v>1884</v>
      </c>
      <c r="AA60">
        <v>7528</v>
      </c>
      <c r="AB60" s="2">
        <v>14.1</v>
      </c>
      <c r="AC60" s="2">
        <v>15.5</v>
      </c>
      <c r="AD60" t="s">
        <v>25</v>
      </c>
      <c r="AE60" s="1">
        <v>45108</v>
      </c>
      <c r="AF60" s="1">
        <v>45473</v>
      </c>
      <c r="AG60" t="b">
        <v>1</v>
      </c>
      <c r="AH60" t="b">
        <v>1</v>
      </c>
      <c r="AI60" t="b">
        <v>1</v>
      </c>
      <c r="AJ60" t="str">
        <f>IF(tblMergedCleaned[[#This Row],[Overall_Rating]]=
    "",
    "Unavailable",
    IF(tblMergedCleaned[[#This Row],[Overall_Rating]]&lt;=
        2,
        "Low (1-2)",
        IF(tblMergedCleaned[[#This Row],[Overall_Rating]]=
            3,
            "Middle (3)",
            "High (4-5)"
        )
    )
)</f>
        <v>Middle (3)</v>
      </c>
      <c r="AK60" cm="1">
        <f t="array" ref="AK60">IF(
    tblMergedCleaned[[#This Row],[Overall_Rating]]="",
    "",
    --(tblMergedCleaned[[#This Row],[Overall_Rating]]&lt;=2)
)</f>
        <v>0</v>
      </c>
      <c r="AL60">
        <f>IF(
    tblMergedCleaned[[#This Row],[Definitely_Recommend_Pct]]="",
    "",
    --(tblMergedCleaned[[#This Row],[Definitely_Recommend_Pct]]&lt;TX_Median_Recommend)
)</f>
        <v>0</v>
      </c>
      <c r="AM60">
        <f>IF(
    tblMergedCleaned[[#This Row],[Readmission_Comparison]]="",
    "",
    --(tblMergedCleaned[[#This Row],[Readmission_Comparison]]="Worse")
)</f>
        <v>0</v>
      </c>
      <c r="AN60">
        <f>COUNT(
    tblMergedCleaned[[#This Row],[Low_Rating_Flag]:[Worse_Readmission_Flag]]
)</f>
        <v>3</v>
      </c>
      <c r="AO60">
        <f>SUM(
    tblMergedCleaned[[#This Row],[Low_Rating_Flag]:[Worse_Readmission_Flag]]
)</f>
        <v>0</v>
      </c>
      <c r="AP6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6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60" s="2">
        <f>IF(
    tblMergedCleaned[[#This Row],[Definitely_Recommend_Pct]]="",
    "",
    tblMergedCleaned[[#This Row],[Definitely_Recommend_Pct]]-TX_Median_Recommend
)</f>
        <v>0</v>
      </c>
      <c r="AS60" s="2">
        <f>IF(
    tblMergedCleaned[[#This Row],[Readmission_Rate_Pct]]="",
    "",
    tblMergedCleaned[[#This Row],[Readmission_Rate_Pct]]-TX_Median_Readmission
)</f>
        <v>-9.9999999999999645E-2</v>
      </c>
    </row>
    <row r="61" spans="1:45">
      <c r="A61" t="s">
        <v>399</v>
      </c>
      <c r="B61" t="s">
        <v>400</v>
      </c>
      <c r="C61" t="s">
        <v>401</v>
      </c>
      <c r="D61" t="s">
        <v>119</v>
      </c>
      <c r="E61" t="s">
        <v>18</v>
      </c>
      <c r="F61" t="s">
        <v>201</v>
      </c>
      <c r="G61" t="s">
        <v>121</v>
      </c>
      <c r="H61" t="s">
        <v>402</v>
      </c>
      <c r="I61" t="s">
        <v>21</v>
      </c>
      <c r="J61" t="s">
        <v>354</v>
      </c>
      <c r="K61" t="s">
        <v>23</v>
      </c>
      <c r="L61">
        <v>4</v>
      </c>
      <c r="M61" t="s">
        <v>34</v>
      </c>
      <c r="N61" t="s">
        <v>25</v>
      </c>
      <c r="O61" s="2">
        <v>73</v>
      </c>
      <c r="P61" s="2">
        <v>77</v>
      </c>
      <c r="Q61" s="2">
        <v>55</v>
      </c>
      <c r="R61" s="2">
        <v>83</v>
      </c>
      <c r="S61" s="2">
        <v>68</v>
      </c>
      <c r="T61" s="2">
        <v>64</v>
      </c>
      <c r="U61" t="s">
        <v>1649</v>
      </c>
      <c r="V61" s="2">
        <v>14</v>
      </c>
      <c r="W61" s="1">
        <v>45474</v>
      </c>
      <c r="X61" s="1">
        <v>45838</v>
      </c>
      <c r="Y61" s="2">
        <v>14.5</v>
      </c>
      <c r="Z61" t="s">
        <v>1884</v>
      </c>
      <c r="AA61">
        <v>2622</v>
      </c>
      <c r="AB61" s="2">
        <v>13.5</v>
      </c>
      <c r="AC61" s="2">
        <v>15.5</v>
      </c>
      <c r="AD61" t="s">
        <v>25</v>
      </c>
      <c r="AE61" s="1">
        <v>45108</v>
      </c>
      <c r="AF61" s="1">
        <v>45473</v>
      </c>
      <c r="AG61" t="b">
        <v>1</v>
      </c>
      <c r="AH61" t="b">
        <v>1</v>
      </c>
      <c r="AI61" t="b">
        <v>1</v>
      </c>
      <c r="AJ61" t="str">
        <f>IF(tblMergedCleaned[[#This Row],[Overall_Rating]]=
    "",
    "Unavailable",
    IF(tblMergedCleaned[[#This Row],[Overall_Rating]]&lt;=
        2,
        "Low (1-2)",
        IF(tblMergedCleaned[[#This Row],[Overall_Rating]]=
            3,
            "Middle (3)",
            "High (4-5)"
        )
    )
)</f>
        <v>High (4-5)</v>
      </c>
      <c r="AK61" cm="1">
        <f t="array" ref="AK61">IF(
    tblMergedCleaned[[#This Row],[Overall_Rating]]="",
    "",
    --(tblMergedCleaned[[#This Row],[Overall_Rating]]&lt;=2)
)</f>
        <v>0</v>
      </c>
      <c r="AL61">
        <f>IF(
    tblMergedCleaned[[#This Row],[Definitely_Recommend_Pct]]="",
    "",
    --(tblMergedCleaned[[#This Row],[Definitely_Recommend_Pct]]&lt;TX_Median_Recommend)
)</f>
        <v>1</v>
      </c>
      <c r="AM61">
        <f>IF(
    tblMergedCleaned[[#This Row],[Readmission_Comparison]]="",
    "",
    --(tblMergedCleaned[[#This Row],[Readmission_Comparison]]="Worse")
)</f>
        <v>0</v>
      </c>
      <c r="AN61">
        <f>COUNT(
    tblMergedCleaned[[#This Row],[Low_Rating_Flag]:[Worse_Readmission_Flag]]
)</f>
        <v>3</v>
      </c>
      <c r="AO61">
        <f>SUM(
    tblMergedCleaned[[#This Row],[Low_Rating_Flag]:[Worse_Readmission_Flag]]
)</f>
        <v>1</v>
      </c>
      <c r="AP6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6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61" s="2">
        <f>IF(
    tblMergedCleaned[[#This Row],[Definitely_Recommend_Pct]]="",
    "",
    tblMergedCleaned[[#This Row],[Definitely_Recommend_Pct]]-TX_Median_Recommend
)</f>
        <v>-7</v>
      </c>
      <c r="AS61" s="2">
        <f>IF(
    tblMergedCleaned[[#This Row],[Readmission_Rate_Pct]]="",
    "",
    tblMergedCleaned[[#This Row],[Readmission_Rate_Pct]]-TX_Median_Readmission
)</f>
        <v>-0.40000000000000036</v>
      </c>
    </row>
    <row r="62" spans="1:45">
      <c r="A62" t="s">
        <v>403</v>
      </c>
      <c r="B62" t="s">
        <v>404</v>
      </c>
      <c r="C62" t="s">
        <v>405</v>
      </c>
      <c r="D62" t="s">
        <v>406</v>
      </c>
      <c r="E62" t="s">
        <v>18</v>
      </c>
      <c r="F62" t="s">
        <v>407</v>
      </c>
      <c r="G62" t="s">
        <v>408</v>
      </c>
      <c r="H62" t="s">
        <v>409</v>
      </c>
      <c r="I62" t="s">
        <v>21</v>
      </c>
      <c r="J62" t="s">
        <v>22</v>
      </c>
      <c r="K62" t="s">
        <v>23</v>
      </c>
      <c r="M62" t="s">
        <v>176</v>
      </c>
      <c r="N62" t="s">
        <v>177</v>
      </c>
      <c r="O62" s="2">
        <v>81</v>
      </c>
      <c r="P62" s="2">
        <v>88</v>
      </c>
      <c r="Q62" s="2">
        <v>74</v>
      </c>
      <c r="R62" s="2">
        <v>87</v>
      </c>
      <c r="S62" s="2">
        <v>74</v>
      </c>
      <c r="T62" s="2">
        <v>75</v>
      </c>
      <c r="U62" t="s">
        <v>1708</v>
      </c>
      <c r="V62" s="2">
        <v>12</v>
      </c>
      <c r="W62" s="1">
        <v>45474</v>
      </c>
      <c r="X62" s="1">
        <v>45838</v>
      </c>
      <c r="Y62" s="2">
        <v>14.7</v>
      </c>
      <c r="Z62" t="s">
        <v>1884</v>
      </c>
      <c r="AA62">
        <v>123</v>
      </c>
      <c r="AB62" s="2">
        <v>13</v>
      </c>
      <c r="AC62" s="2">
        <v>16.7</v>
      </c>
      <c r="AD62" t="s">
        <v>25</v>
      </c>
      <c r="AE62" s="1">
        <v>45108</v>
      </c>
      <c r="AF62" s="1">
        <v>45473</v>
      </c>
      <c r="AG62" t="b">
        <v>0</v>
      </c>
      <c r="AH62" t="b">
        <v>1</v>
      </c>
      <c r="AI62" t="b">
        <v>1</v>
      </c>
      <c r="AJ62" t="str">
        <f>IF(tblMergedCleaned[[#This Row],[Overall_Rating]]=
    "",
    "Unavailable",
    IF(tblMergedCleaned[[#This Row],[Overall_Rating]]&lt;=
        2,
        "Low (1-2)",
        IF(tblMergedCleaned[[#This Row],[Overall_Rating]]=
            3,
            "Middle (3)",
            "High (4-5)"
        )
    )
)</f>
        <v>Unavailable</v>
      </c>
      <c r="AK62" t="str" cm="1">
        <f t="array" ref="AK62">IF(
    tblMergedCleaned[[#This Row],[Overall_Rating]]="",
    "",
    --(tblMergedCleaned[[#This Row],[Overall_Rating]]&lt;=2)
)</f>
        <v/>
      </c>
      <c r="AL62">
        <f>IF(
    tblMergedCleaned[[#This Row],[Definitely_Recommend_Pct]]="",
    "",
    --(tblMergedCleaned[[#This Row],[Definitely_Recommend_Pct]]&lt;TX_Median_Recommend)
)</f>
        <v>0</v>
      </c>
      <c r="AM62">
        <f>IF(
    tblMergedCleaned[[#This Row],[Readmission_Comparison]]="",
    "",
    --(tblMergedCleaned[[#This Row],[Readmission_Comparison]]="Worse")
)</f>
        <v>0</v>
      </c>
      <c r="AN62">
        <f>COUNT(
    tblMergedCleaned[[#This Row],[Low_Rating_Flag]:[Worse_Readmission_Flag]]
)</f>
        <v>2</v>
      </c>
      <c r="AO62">
        <f>SUM(
    tblMergedCleaned[[#This Row],[Low_Rating_Flag]:[Worse_Readmission_Flag]]
)</f>
        <v>0</v>
      </c>
      <c r="AP6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6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62" s="2">
        <f>IF(
    tblMergedCleaned[[#This Row],[Definitely_Recommend_Pct]]="",
    "",
    tblMergedCleaned[[#This Row],[Definitely_Recommend_Pct]]-TX_Median_Recommend
)</f>
        <v>4</v>
      </c>
      <c r="AS62" s="2">
        <f>IF(
    tblMergedCleaned[[#This Row],[Readmission_Rate_Pct]]="",
    "",
    tblMergedCleaned[[#This Row],[Readmission_Rate_Pct]]-TX_Median_Readmission
)</f>
        <v>-0.20000000000000107</v>
      </c>
    </row>
    <row r="63" spans="1:45">
      <c r="A63" t="s">
        <v>410</v>
      </c>
      <c r="B63" t="s">
        <v>411</v>
      </c>
      <c r="C63" t="s">
        <v>412</v>
      </c>
      <c r="D63" t="s">
        <v>413</v>
      </c>
      <c r="E63" t="s">
        <v>18</v>
      </c>
      <c r="F63" t="s">
        <v>414</v>
      </c>
      <c r="G63" t="s">
        <v>415</v>
      </c>
      <c r="H63" t="s">
        <v>416</v>
      </c>
      <c r="I63" t="s">
        <v>21</v>
      </c>
      <c r="J63" t="s">
        <v>22</v>
      </c>
      <c r="K63" t="s">
        <v>23</v>
      </c>
      <c r="L63">
        <v>1</v>
      </c>
      <c r="M63" t="s">
        <v>322</v>
      </c>
      <c r="N63" t="s">
        <v>25</v>
      </c>
      <c r="O63" s="2">
        <v>75</v>
      </c>
      <c r="P63" s="2">
        <v>74</v>
      </c>
      <c r="Q63" s="2">
        <v>58</v>
      </c>
      <c r="R63" s="2">
        <v>82</v>
      </c>
      <c r="S63" s="2">
        <v>58</v>
      </c>
      <c r="T63" s="2">
        <v>55</v>
      </c>
      <c r="U63" t="s">
        <v>1709</v>
      </c>
      <c r="V63" s="2">
        <v>17</v>
      </c>
      <c r="W63" s="1">
        <v>45474</v>
      </c>
      <c r="X63" s="1">
        <v>45838</v>
      </c>
      <c r="Y63" s="2">
        <v>15.4</v>
      </c>
      <c r="Z63" t="s">
        <v>1884</v>
      </c>
      <c r="AA63">
        <v>1965</v>
      </c>
      <c r="AB63" s="2">
        <v>14.3</v>
      </c>
      <c r="AC63" s="2">
        <v>16.600000000000001</v>
      </c>
      <c r="AD63" t="s">
        <v>25</v>
      </c>
      <c r="AE63" s="1">
        <v>45108</v>
      </c>
      <c r="AF63" s="1">
        <v>45473</v>
      </c>
      <c r="AG63" t="b">
        <v>1</v>
      </c>
      <c r="AH63" t="b">
        <v>1</v>
      </c>
      <c r="AI63" t="b">
        <v>1</v>
      </c>
      <c r="AJ63" t="str">
        <f>IF(tblMergedCleaned[[#This Row],[Overall_Rating]]=
    "",
    "Unavailable",
    IF(tblMergedCleaned[[#This Row],[Overall_Rating]]&lt;=
        2,
        "Low (1-2)",
        IF(tblMergedCleaned[[#This Row],[Overall_Rating]]=
            3,
            "Middle (3)",
            "High (4-5)"
        )
    )
)</f>
        <v>Low (1-2)</v>
      </c>
      <c r="AK63" cm="1">
        <f t="array" ref="AK63">IF(
    tblMergedCleaned[[#This Row],[Overall_Rating]]="",
    "",
    --(tblMergedCleaned[[#This Row],[Overall_Rating]]&lt;=2)
)</f>
        <v>1</v>
      </c>
      <c r="AL63">
        <f>IF(
    tblMergedCleaned[[#This Row],[Definitely_Recommend_Pct]]="",
    "",
    --(tblMergedCleaned[[#This Row],[Definitely_Recommend_Pct]]&lt;TX_Median_Recommend)
)</f>
        <v>1</v>
      </c>
      <c r="AM63">
        <f>IF(
    tblMergedCleaned[[#This Row],[Readmission_Comparison]]="",
    "",
    --(tblMergedCleaned[[#This Row],[Readmission_Comparison]]="Worse")
)</f>
        <v>0</v>
      </c>
      <c r="AN63">
        <f>COUNT(
    tblMergedCleaned[[#This Row],[Low_Rating_Flag]:[Worse_Readmission_Flag]]
)</f>
        <v>3</v>
      </c>
      <c r="AO63">
        <f>SUM(
    tblMergedCleaned[[#This Row],[Low_Rating_Flag]:[Worse_Readmission_Flag]]
)</f>
        <v>2</v>
      </c>
      <c r="AP6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6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63" s="2">
        <f>IF(
    tblMergedCleaned[[#This Row],[Definitely_Recommend_Pct]]="",
    "",
    tblMergedCleaned[[#This Row],[Definitely_Recommend_Pct]]-TX_Median_Recommend
)</f>
        <v>-16</v>
      </c>
      <c r="AS63" s="2">
        <f>IF(
    tblMergedCleaned[[#This Row],[Readmission_Rate_Pct]]="",
    "",
    tblMergedCleaned[[#This Row],[Readmission_Rate_Pct]]-TX_Median_Readmission
)</f>
        <v>0.5</v>
      </c>
    </row>
    <row r="64" spans="1:45">
      <c r="A64" t="s">
        <v>417</v>
      </c>
      <c r="B64" t="s">
        <v>418</v>
      </c>
      <c r="C64" t="s">
        <v>419</v>
      </c>
      <c r="D64" t="s">
        <v>420</v>
      </c>
      <c r="E64" t="s">
        <v>18</v>
      </c>
      <c r="F64" t="s">
        <v>421</v>
      </c>
      <c r="G64" t="s">
        <v>422</v>
      </c>
      <c r="H64" t="s">
        <v>423</v>
      </c>
      <c r="I64" t="s">
        <v>21</v>
      </c>
      <c r="J64" t="s">
        <v>81</v>
      </c>
      <c r="K64" t="s">
        <v>23</v>
      </c>
      <c r="M64" t="s">
        <v>176</v>
      </c>
      <c r="N64" t="s">
        <v>177</v>
      </c>
      <c r="U64" t="s">
        <v>176</v>
      </c>
      <c r="W64" s="1">
        <v>45474</v>
      </c>
      <c r="X64" s="1">
        <v>45838</v>
      </c>
      <c r="AD64" t="s">
        <v>168</v>
      </c>
      <c r="AE64" s="1">
        <v>45108</v>
      </c>
      <c r="AF64" s="1">
        <v>45473</v>
      </c>
      <c r="AG64" t="b">
        <v>0</v>
      </c>
      <c r="AH64" t="b">
        <v>0</v>
      </c>
      <c r="AI64" t="b">
        <v>0</v>
      </c>
      <c r="AJ64" t="str">
        <f>IF(tblMergedCleaned[[#This Row],[Overall_Rating]]=
    "",
    "Unavailable",
    IF(tblMergedCleaned[[#This Row],[Overall_Rating]]&lt;=
        2,
        "Low (1-2)",
        IF(tblMergedCleaned[[#This Row],[Overall_Rating]]=
            3,
            "Middle (3)",
            "High (4-5)"
        )
    )
)</f>
        <v>Unavailable</v>
      </c>
      <c r="AK64" t="str" cm="1">
        <f t="array" ref="AK64">IF(
    tblMergedCleaned[[#This Row],[Overall_Rating]]="",
    "",
    --(tblMergedCleaned[[#This Row],[Overall_Rating]]&lt;=2)
)</f>
        <v/>
      </c>
      <c r="AL64" t="str">
        <f>IF(
    tblMergedCleaned[[#This Row],[Definitely_Recommend_Pct]]="",
    "",
    --(tblMergedCleaned[[#This Row],[Definitely_Recommend_Pct]]&lt;TX_Median_Recommend)
)</f>
        <v/>
      </c>
      <c r="AM64" t="str">
        <f>IF(
    tblMergedCleaned[[#This Row],[Readmission_Comparison]]="",
    "",
    --(tblMergedCleaned[[#This Row],[Readmission_Comparison]]="Worse")
)</f>
        <v/>
      </c>
      <c r="AN64">
        <f>COUNT(
    tblMergedCleaned[[#This Row],[Low_Rating_Flag]:[Worse_Readmission_Flag]]
)</f>
        <v>0</v>
      </c>
      <c r="AO64">
        <f>SUM(
    tblMergedCleaned[[#This Row],[Low_Rating_Flag]:[Worse_Readmission_Flag]]
)</f>
        <v>0</v>
      </c>
      <c r="AP6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6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64" s="2" t="str">
        <f>IF(
    tblMergedCleaned[[#This Row],[Definitely_Recommend_Pct]]="",
    "",
    tblMergedCleaned[[#This Row],[Definitely_Recommend_Pct]]-TX_Median_Recommend
)</f>
        <v/>
      </c>
      <c r="AS64" s="2" t="str">
        <f>IF(
    tblMergedCleaned[[#This Row],[Readmission_Rate_Pct]]="",
    "",
    tblMergedCleaned[[#This Row],[Readmission_Rate_Pct]]-TX_Median_Readmission
)</f>
        <v/>
      </c>
    </row>
    <row r="65" spans="1:45">
      <c r="A65" t="s">
        <v>424</v>
      </c>
      <c r="B65" t="s">
        <v>425</v>
      </c>
      <c r="C65" t="s">
        <v>426</v>
      </c>
      <c r="D65" t="s">
        <v>427</v>
      </c>
      <c r="E65" t="s">
        <v>18</v>
      </c>
      <c r="F65" t="s">
        <v>428</v>
      </c>
      <c r="G65" t="s">
        <v>429</v>
      </c>
      <c r="H65" t="s">
        <v>430</v>
      </c>
      <c r="I65" t="s">
        <v>21</v>
      </c>
      <c r="J65" t="s">
        <v>22</v>
      </c>
      <c r="K65" t="s">
        <v>23</v>
      </c>
      <c r="L65">
        <v>2</v>
      </c>
      <c r="M65" t="s">
        <v>24</v>
      </c>
      <c r="N65" t="s">
        <v>25</v>
      </c>
      <c r="O65" s="2">
        <v>77</v>
      </c>
      <c r="P65" s="2">
        <v>77</v>
      </c>
      <c r="Q65" s="2">
        <v>58</v>
      </c>
      <c r="R65" s="2">
        <v>83</v>
      </c>
      <c r="S65" s="2">
        <v>68</v>
      </c>
      <c r="T65" s="2">
        <v>64</v>
      </c>
      <c r="U65" t="s">
        <v>1710</v>
      </c>
      <c r="V65" s="2">
        <v>19</v>
      </c>
      <c r="W65" s="1">
        <v>45474</v>
      </c>
      <c r="X65" s="1">
        <v>45838</v>
      </c>
      <c r="Y65" s="2">
        <v>15</v>
      </c>
      <c r="Z65" t="s">
        <v>1884</v>
      </c>
      <c r="AA65">
        <v>1477</v>
      </c>
      <c r="AB65" s="2">
        <v>13.8</v>
      </c>
      <c r="AC65" s="2">
        <v>16.2</v>
      </c>
      <c r="AD65" t="s">
        <v>25</v>
      </c>
      <c r="AE65" s="1">
        <v>45108</v>
      </c>
      <c r="AF65" s="1">
        <v>45473</v>
      </c>
      <c r="AG65" t="b">
        <v>1</v>
      </c>
      <c r="AH65" t="b">
        <v>1</v>
      </c>
      <c r="AI65" t="b">
        <v>1</v>
      </c>
      <c r="AJ65" t="str">
        <f>IF(tblMergedCleaned[[#This Row],[Overall_Rating]]=
    "",
    "Unavailable",
    IF(tblMergedCleaned[[#This Row],[Overall_Rating]]&lt;=
        2,
        "Low (1-2)",
        IF(tblMergedCleaned[[#This Row],[Overall_Rating]]=
            3,
            "Middle (3)",
            "High (4-5)"
        )
    )
)</f>
        <v>Low (1-2)</v>
      </c>
      <c r="AK65" cm="1">
        <f t="array" ref="AK65">IF(
    tblMergedCleaned[[#This Row],[Overall_Rating]]="",
    "",
    --(tblMergedCleaned[[#This Row],[Overall_Rating]]&lt;=2)
)</f>
        <v>1</v>
      </c>
      <c r="AL65">
        <f>IF(
    tblMergedCleaned[[#This Row],[Definitely_Recommend_Pct]]="",
    "",
    --(tblMergedCleaned[[#This Row],[Definitely_Recommend_Pct]]&lt;TX_Median_Recommend)
)</f>
        <v>1</v>
      </c>
      <c r="AM65">
        <f>IF(
    tblMergedCleaned[[#This Row],[Readmission_Comparison]]="",
    "",
    --(tblMergedCleaned[[#This Row],[Readmission_Comparison]]="Worse")
)</f>
        <v>0</v>
      </c>
      <c r="AN65">
        <f>COUNT(
    tblMergedCleaned[[#This Row],[Low_Rating_Flag]:[Worse_Readmission_Flag]]
)</f>
        <v>3</v>
      </c>
      <c r="AO65">
        <f>SUM(
    tblMergedCleaned[[#This Row],[Low_Rating_Flag]:[Worse_Readmission_Flag]]
)</f>
        <v>2</v>
      </c>
      <c r="AP6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6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65" s="2">
        <f>IF(
    tblMergedCleaned[[#This Row],[Definitely_Recommend_Pct]]="",
    "",
    tblMergedCleaned[[#This Row],[Definitely_Recommend_Pct]]-TX_Median_Recommend
)</f>
        <v>-7</v>
      </c>
      <c r="AS65" s="2">
        <f>IF(
    tblMergedCleaned[[#This Row],[Readmission_Rate_Pct]]="",
    "",
    tblMergedCleaned[[#This Row],[Readmission_Rate_Pct]]-TX_Median_Readmission
)</f>
        <v>9.9999999999999645E-2</v>
      </c>
    </row>
    <row r="66" spans="1:45">
      <c r="A66" t="s">
        <v>431</v>
      </c>
      <c r="B66" t="s">
        <v>432</v>
      </c>
      <c r="C66" t="s">
        <v>433</v>
      </c>
      <c r="D66" t="s">
        <v>434</v>
      </c>
      <c r="E66" t="s">
        <v>18</v>
      </c>
      <c r="F66" t="s">
        <v>435</v>
      </c>
      <c r="G66" t="s">
        <v>436</v>
      </c>
      <c r="H66" t="s">
        <v>437</v>
      </c>
      <c r="I66" t="s">
        <v>21</v>
      </c>
      <c r="J66" t="s">
        <v>33</v>
      </c>
      <c r="K66" t="s">
        <v>23</v>
      </c>
      <c r="L66">
        <v>3</v>
      </c>
      <c r="M66" t="s">
        <v>42</v>
      </c>
      <c r="N66" t="s">
        <v>25</v>
      </c>
      <c r="O66" s="2">
        <v>77</v>
      </c>
      <c r="P66" s="2">
        <v>72</v>
      </c>
      <c r="Q66" s="2">
        <v>57</v>
      </c>
      <c r="R66" s="2">
        <v>82</v>
      </c>
      <c r="S66" s="2">
        <v>65</v>
      </c>
      <c r="T66" s="2">
        <v>66</v>
      </c>
      <c r="U66" t="s">
        <v>1711</v>
      </c>
      <c r="V66" s="2">
        <v>12</v>
      </c>
      <c r="W66" s="1">
        <v>45474</v>
      </c>
      <c r="X66" s="1">
        <v>45838</v>
      </c>
      <c r="Y66" s="2">
        <v>14.2</v>
      </c>
      <c r="Z66" t="s">
        <v>1884</v>
      </c>
      <c r="AA66">
        <v>1575</v>
      </c>
      <c r="AB66" s="2">
        <v>13.1</v>
      </c>
      <c r="AC66" s="2">
        <v>15.4</v>
      </c>
      <c r="AD66" t="s">
        <v>25</v>
      </c>
      <c r="AE66" s="1">
        <v>45108</v>
      </c>
      <c r="AF66" s="1">
        <v>45473</v>
      </c>
      <c r="AG66" t="b">
        <v>1</v>
      </c>
      <c r="AH66" t="b">
        <v>1</v>
      </c>
      <c r="AI66" t="b">
        <v>1</v>
      </c>
      <c r="AJ66" t="str">
        <f>IF(tblMergedCleaned[[#This Row],[Overall_Rating]]=
    "",
    "Unavailable",
    IF(tblMergedCleaned[[#This Row],[Overall_Rating]]&lt;=
        2,
        "Low (1-2)",
        IF(tblMergedCleaned[[#This Row],[Overall_Rating]]=
            3,
            "Middle (3)",
            "High (4-5)"
        )
    )
)</f>
        <v>Middle (3)</v>
      </c>
      <c r="AK66" cm="1">
        <f t="array" ref="AK66">IF(
    tblMergedCleaned[[#This Row],[Overall_Rating]]="",
    "",
    --(tblMergedCleaned[[#This Row],[Overall_Rating]]&lt;=2)
)</f>
        <v>0</v>
      </c>
      <c r="AL66">
        <f>IF(
    tblMergedCleaned[[#This Row],[Definitely_Recommend_Pct]]="",
    "",
    --(tblMergedCleaned[[#This Row],[Definitely_Recommend_Pct]]&lt;TX_Median_Recommend)
)</f>
        <v>1</v>
      </c>
      <c r="AM66">
        <f>IF(
    tblMergedCleaned[[#This Row],[Readmission_Comparison]]="",
    "",
    --(tblMergedCleaned[[#This Row],[Readmission_Comparison]]="Worse")
)</f>
        <v>0</v>
      </c>
      <c r="AN66">
        <f>COUNT(
    tblMergedCleaned[[#This Row],[Low_Rating_Flag]:[Worse_Readmission_Flag]]
)</f>
        <v>3</v>
      </c>
      <c r="AO66">
        <f>SUM(
    tblMergedCleaned[[#This Row],[Low_Rating_Flag]:[Worse_Readmission_Flag]]
)</f>
        <v>1</v>
      </c>
      <c r="AP6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6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66" s="2">
        <f>IF(
    tblMergedCleaned[[#This Row],[Definitely_Recommend_Pct]]="",
    "",
    tblMergedCleaned[[#This Row],[Definitely_Recommend_Pct]]-TX_Median_Recommend
)</f>
        <v>-5</v>
      </c>
      <c r="AS66" s="2">
        <f>IF(
    tblMergedCleaned[[#This Row],[Readmission_Rate_Pct]]="",
    "",
    tblMergedCleaned[[#This Row],[Readmission_Rate_Pct]]-TX_Median_Readmission
)</f>
        <v>-0.70000000000000107</v>
      </c>
    </row>
    <row r="67" spans="1:45">
      <c r="A67" t="s">
        <v>438</v>
      </c>
      <c r="B67" t="s">
        <v>439</v>
      </c>
      <c r="C67" t="s">
        <v>440</v>
      </c>
      <c r="D67" t="s">
        <v>441</v>
      </c>
      <c r="E67" t="s">
        <v>18</v>
      </c>
      <c r="F67" t="s">
        <v>442</v>
      </c>
      <c r="G67" t="s">
        <v>443</v>
      </c>
      <c r="H67" t="s">
        <v>444</v>
      </c>
      <c r="I67" t="s">
        <v>21</v>
      </c>
      <c r="J67" t="s">
        <v>22</v>
      </c>
      <c r="K67" t="s">
        <v>23</v>
      </c>
      <c r="L67">
        <v>5</v>
      </c>
      <c r="M67" t="s">
        <v>168</v>
      </c>
      <c r="N67" t="s">
        <v>25</v>
      </c>
      <c r="O67" s="2">
        <v>94</v>
      </c>
      <c r="P67" s="2">
        <v>89</v>
      </c>
      <c r="Q67" s="2">
        <v>80</v>
      </c>
      <c r="R67" s="2">
        <v>95</v>
      </c>
      <c r="S67" s="2">
        <v>85</v>
      </c>
      <c r="T67" s="2">
        <v>74</v>
      </c>
      <c r="U67" t="s">
        <v>1712</v>
      </c>
      <c r="V67" s="2">
        <v>22</v>
      </c>
      <c r="W67" s="1">
        <v>45474</v>
      </c>
      <c r="X67" s="1">
        <v>45838</v>
      </c>
      <c r="Y67" s="2">
        <v>14.4</v>
      </c>
      <c r="Z67" t="s">
        <v>1884</v>
      </c>
      <c r="AA67">
        <v>74</v>
      </c>
      <c r="AB67" s="2">
        <v>12.4</v>
      </c>
      <c r="AC67" s="2">
        <v>16.8</v>
      </c>
      <c r="AD67" t="s">
        <v>25</v>
      </c>
      <c r="AE67" s="1">
        <v>45108</v>
      </c>
      <c r="AF67" s="1">
        <v>45473</v>
      </c>
      <c r="AG67" t="b">
        <v>1</v>
      </c>
      <c r="AH67" t="b">
        <v>1</v>
      </c>
      <c r="AI67" t="b">
        <v>1</v>
      </c>
      <c r="AJ67" t="str">
        <f>IF(tblMergedCleaned[[#This Row],[Overall_Rating]]=
    "",
    "Unavailable",
    IF(tblMergedCleaned[[#This Row],[Overall_Rating]]&lt;=
        2,
        "Low (1-2)",
        IF(tblMergedCleaned[[#This Row],[Overall_Rating]]=
            3,
            "Middle (3)",
            "High (4-5)"
        )
    )
)</f>
        <v>High (4-5)</v>
      </c>
      <c r="AK67" cm="1">
        <f t="array" ref="AK67">IF(
    tblMergedCleaned[[#This Row],[Overall_Rating]]="",
    "",
    --(tblMergedCleaned[[#This Row],[Overall_Rating]]&lt;=2)
)</f>
        <v>0</v>
      </c>
      <c r="AL67">
        <f>IF(
    tblMergedCleaned[[#This Row],[Definitely_Recommend_Pct]]="",
    "",
    --(tblMergedCleaned[[#This Row],[Definitely_Recommend_Pct]]&lt;TX_Median_Recommend)
)</f>
        <v>0</v>
      </c>
      <c r="AM67">
        <f>IF(
    tblMergedCleaned[[#This Row],[Readmission_Comparison]]="",
    "",
    --(tblMergedCleaned[[#This Row],[Readmission_Comparison]]="Worse")
)</f>
        <v>0</v>
      </c>
      <c r="AN67">
        <f>COUNT(
    tblMergedCleaned[[#This Row],[Low_Rating_Flag]:[Worse_Readmission_Flag]]
)</f>
        <v>3</v>
      </c>
      <c r="AO67">
        <f>SUM(
    tblMergedCleaned[[#This Row],[Low_Rating_Flag]:[Worse_Readmission_Flag]]
)</f>
        <v>0</v>
      </c>
      <c r="AP6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6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67" s="2">
        <f>IF(
    tblMergedCleaned[[#This Row],[Definitely_Recommend_Pct]]="",
    "",
    tblMergedCleaned[[#This Row],[Definitely_Recommend_Pct]]-TX_Median_Recommend
)</f>
        <v>3</v>
      </c>
      <c r="AS67" s="2">
        <f>IF(
    tblMergedCleaned[[#This Row],[Readmission_Rate_Pct]]="",
    "",
    tblMergedCleaned[[#This Row],[Readmission_Rate_Pct]]-TX_Median_Readmission
)</f>
        <v>-0.5</v>
      </c>
    </row>
    <row r="68" spans="1:45">
      <c r="A68" t="s">
        <v>445</v>
      </c>
      <c r="B68" t="s">
        <v>446</v>
      </c>
      <c r="C68" t="s">
        <v>447</v>
      </c>
      <c r="D68" t="s">
        <v>448</v>
      </c>
      <c r="E68" t="s">
        <v>18</v>
      </c>
      <c r="F68" t="s">
        <v>449</v>
      </c>
      <c r="G68" t="s">
        <v>450</v>
      </c>
      <c r="H68" t="s">
        <v>451</v>
      </c>
      <c r="I68" t="s">
        <v>21</v>
      </c>
      <c r="J68" t="s">
        <v>33</v>
      </c>
      <c r="K68" t="s">
        <v>23</v>
      </c>
      <c r="L68">
        <v>2</v>
      </c>
      <c r="M68" t="s">
        <v>24</v>
      </c>
      <c r="N68" t="s">
        <v>25</v>
      </c>
      <c r="O68" s="2">
        <v>77</v>
      </c>
      <c r="P68" s="2">
        <v>79</v>
      </c>
      <c r="Q68" s="2">
        <v>62</v>
      </c>
      <c r="R68" s="2">
        <v>85</v>
      </c>
      <c r="S68" s="2">
        <v>71</v>
      </c>
      <c r="T68" s="2">
        <v>72</v>
      </c>
      <c r="U68" t="s">
        <v>1713</v>
      </c>
      <c r="V68" s="2">
        <v>16</v>
      </c>
      <c r="W68" s="1">
        <v>45474</v>
      </c>
      <c r="X68" s="1">
        <v>45838</v>
      </c>
      <c r="Y68" s="2">
        <v>16</v>
      </c>
      <c r="Z68" t="s">
        <v>1884</v>
      </c>
      <c r="AA68">
        <v>1341</v>
      </c>
      <c r="AB68" s="2">
        <v>14.7</v>
      </c>
      <c r="AC68" s="2">
        <v>17.3</v>
      </c>
      <c r="AD68" t="s">
        <v>25</v>
      </c>
      <c r="AE68" s="1">
        <v>45108</v>
      </c>
      <c r="AF68" s="1">
        <v>45473</v>
      </c>
      <c r="AG68" t="b">
        <v>1</v>
      </c>
      <c r="AH68" t="b">
        <v>1</v>
      </c>
      <c r="AI68" t="b">
        <v>1</v>
      </c>
      <c r="AJ68" t="str">
        <f>IF(tblMergedCleaned[[#This Row],[Overall_Rating]]=
    "",
    "Unavailable",
    IF(tblMergedCleaned[[#This Row],[Overall_Rating]]&lt;=
        2,
        "Low (1-2)",
        IF(tblMergedCleaned[[#This Row],[Overall_Rating]]=
            3,
            "Middle (3)",
            "High (4-5)"
        )
    )
)</f>
        <v>Low (1-2)</v>
      </c>
      <c r="AK68" cm="1">
        <f t="array" ref="AK68">IF(
    tblMergedCleaned[[#This Row],[Overall_Rating]]="",
    "",
    --(tblMergedCleaned[[#This Row],[Overall_Rating]]&lt;=2)
)</f>
        <v>1</v>
      </c>
      <c r="AL68">
        <f>IF(
    tblMergedCleaned[[#This Row],[Definitely_Recommend_Pct]]="",
    "",
    --(tblMergedCleaned[[#This Row],[Definitely_Recommend_Pct]]&lt;TX_Median_Recommend)
)</f>
        <v>0</v>
      </c>
      <c r="AM68">
        <f>IF(
    tblMergedCleaned[[#This Row],[Readmission_Comparison]]="",
    "",
    --(tblMergedCleaned[[#This Row],[Readmission_Comparison]]="Worse")
)</f>
        <v>0</v>
      </c>
      <c r="AN68">
        <f>COUNT(
    tblMergedCleaned[[#This Row],[Low_Rating_Flag]:[Worse_Readmission_Flag]]
)</f>
        <v>3</v>
      </c>
      <c r="AO68">
        <f>SUM(
    tblMergedCleaned[[#This Row],[Low_Rating_Flag]:[Worse_Readmission_Flag]]
)</f>
        <v>1</v>
      </c>
      <c r="AP6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6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68" s="2">
        <f>IF(
    tblMergedCleaned[[#This Row],[Definitely_Recommend_Pct]]="",
    "",
    tblMergedCleaned[[#This Row],[Definitely_Recommend_Pct]]-TX_Median_Recommend
)</f>
        <v>1</v>
      </c>
      <c r="AS68" s="2">
        <f>IF(
    tblMergedCleaned[[#This Row],[Readmission_Rate_Pct]]="",
    "",
    tblMergedCleaned[[#This Row],[Readmission_Rate_Pct]]-TX_Median_Readmission
)</f>
        <v>1.0999999999999996</v>
      </c>
    </row>
    <row r="69" spans="1:45">
      <c r="A69" t="s">
        <v>452</v>
      </c>
      <c r="B69" t="s">
        <v>453</v>
      </c>
      <c r="C69" t="s">
        <v>454</v>
      </c>
      <c r="D69" t="s">
        <v>188</v>
      </c>
      <c r="E69" t="s">
        <v>18</v>
      </c>
      <c r="F69" t="s">
        <v>455</v>
      </c>
      <c r="G69" t="s">
        <v>190</v>
      </c>
      <c r="H69" t="s">
        <v>456</v>
      </c>
      <c r="I69" t="s">
        <v>21</v>
      </c>
      <c r="J69" t="s">
        <v>56</v>
      </c>
      <c r="K69" t="s">
        <v>23</v>
      </c>
      <c r="L69">
        <v>3</v>
      </c>
      <c r="M69" t="s">
        <v>42</v>
      </c>
      <c r="N69" t="s">
        <v>25</v>
      </c>
      <c r="O69" s="2">
        <v>76</v>
      </c>
      <c r="P69" s="2">
        <v>78</v>
      </c>
      <c r="Q69" s="2">
        <v>59</v>
      </c>
      <c r="R69" s="2">
        <v>85</v>
      </c>
      <c r="S69" s="2">
        <v>75</v>
      </c>
      <c r="T69" s="2">
        <v>76</v>
      </c>
      <c r="U69" t="s">
        <v>1714</v>
      </c>
      <c r="V69" s="2">
        <v>22</v>
      </c>
      <c r="W69" s="1">
        <v>45474</v>
      </c>
      <c r="X69" s="1">
        <v>45838</v>
      </c>
      <c r="Y69" s="2">
        <v>15.1</v>
      </c>
      <c r="Z69" t="s">
        <v>1884</v>
      </c>
      <c r="AA69">
        <v>2215</v>
      </c>
      <c r="AB69" s="2">
        <v>14.1</v>
      </c>
      <c r="AC69" s="2">
        <v>16.2</v>
      </c>
      <c r="AD69" t="s">
        <v>25</v>
      </c>
      <c r="AE69" s="1">
        <v>45108</v>
      </c>
      <c r="AF69" s="1">
        <v>45473</v>
      </c>
      <c r="AG69" t="b">
        <v>1</v>
      </c>
      <c r="AH69" t="b">
        <v>1</v>
      </c>
      <c r="AI69" t="b">
        <v>1</v>
      </c>
      <c r="AJ69" t="str">
        <f>IF(tblMergedCleaned[[#This Row],[Overall_Rating]]=
    "",
    "Unavailable",
    IF(tblMergedCleaned[[#This Row],[Overall_Rating]]&lt;=
        2,
        "Low (1-2)",
        IF(tblMergedCleaned[[#This Row],[Overall_Rating]]=
            3,
            "Middle (3)",
            "High (4-5)"
        )
    )
)</f>
        <v>Middle (3)</v>
      </c>
      <c r="AK69" cm="1">
        <f t="array" ref="AK69">IF(
    tblMergedCleaned[[#This Row],[Overall_Rating]]="",
    "",
    --(tblMergedCleaned[[#This Row],[Overall_Rating]]&lt;=2)
)</f>
        <v>0</v>
      </c>
      <c r="AL69">
        <f>IF(
    tblMergedCleaned[[#This Row],[Definitely_Recommend_Pct]]="",
    "",
    --(tblMergedCleaned[[#This Row],[Definitely_Recommend_Pct]]&lt;TX_Median_Recommend)
)</f>
        <v>0</v>
      </c>
      <c r="AM69">
        <f>IF(
    tblMergedCleaned[[#This Row],[Readmission_Comparison]]="",
    "",
    --(tblMergedCleaned[[#This Row],[Readmission_Comparison]]="Worse")
)</f>
        <v>0</v>
      </c>
      <c r="AN69">
        <f>COUNT(
    tblMergedCleaned[[#This Row],[Low_Rating_Flag]:[Worse_Readmission_Flag]]
)</f>
        <v>3</v>
      </c>
      <c r="AO69">
        <f>SUM(
    tblMergedCleaned[[#This Row],[Low_Rating_Flag]:[Worse_Readmission_Flag]]
)</f>
        <v>0</v>
      </c>
      <c r="AP6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6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69" s="2">
        <f>IF(
    tblMergedCleaned[[#This Row],[Definitely_Recommend_Pct]]="",
    "",
    tblMergedCleaned[[#This Row],[Definitely_Recommend_Pct]]-TX_Median_Recommend
)</f>
        <v>5</v>
      </c>
      <c r="AS69" s="2">
        <f>IF(
    tblMergedCleaned[[#This Row],[Readmission_Rate_Pct]]="",
    "",
    tblMergedCleaned[[#This Row],[Readmission_Rate_Pct]]-TX_Median_Readmission
)</f>
        <v>0.19999999999999929</v>
      </c>
    </row>
    <row r="70" spans="1:45">
      <c r="A70" t="s">
        <v>457</v>
      </c>
      <c r="B70" t="s">
        <v>458</v>
      </c>
      <c r="C70" t="s">
        <v>459</v>
      </c>
      <c r="D70" t="s">
        <v>460</v>
      </c>
      <c r="E70" t="s">
        <v>18</v>
      </c>
      <c r="F70" t="s">
        <v>461</v>
      </c>
      <c r="G70" t="s">
        <v>462</v>
      </c>
      <c r="H70" t="s">
        <v>463</v>
      </c>
      <c r="I70" t="s">
        <v>21</v>
      </c>
      <c r="J70" t="s">
        <v>22</v>
      </c>
      <c r="K70" t="s">
        <v>23</v>
      </c>
      <c r="L70">
        <v>2</v>
      </c>
      <c r="M70" t="s">
        <v>24</v>
      </c>
      <c r="N70" t="s">
        <v>25</v>
      </c>
      <c r="O70" s="2">
        <v>72</v>
      </c>
      <c r="P70" s="2">
        <v>67</v>
      </c>
      <c r="Q70" s="2">
        <v>54</v>
      </c>
      <c r="R70" s="2">
        <v>77</v>
      </c>
      <c r="S70" s="2">
        <v>61</v>
      </c>
      <c r="T70" s="2">
        <v>57</v>
      </c>
      <c r="U70" t="s">
        <v>1715</v>
      </c>
      <c r="V70" s="2">
        <v>13</v>
      </c>
      <c r="W70" s="1">
        <v>45474</v>
      </c>
      <c r="X70" s="1">
        <v>45838</v>
      </c>
      <c r="Y70" s="2">
        <v>16.899999999999999</v>
      </c>
      <c r="Z70" t="s">
        <v>1886</v>
      </c>
      <c r="AA70">
        <v>1564</v>
      </c>
      <c r="AB70" s="2">
        <v>15.6</v>
      </c>
      <c r="AC70" s="2">
        <v>18.2</v>
      </c>
      <c r="AD70" t="s">
        <v>25</v>
      </c>
      <c r="AE70" s="1">
        <v>45108</v>
      </c>
      <c r="AF70" s="1">
        <v>45473</v>
      </c>
      <c r="AG70" t="b">
        <v>1</v>
      </c>
      <c r="AH70" t="b">
        <v>1</v>
      </c>
      <c r="AI70" t="b">
        <v>1</v>
      </c>
      <c r="AJ70" t="str">
        <f>IF(tblMergedCleaned[[#This Row],[Overall_Rating]]=
    "",
    "Unavailable",
    IF(tblMergedCleaned[[#This Row],[Overall_Rating]]&lt;=
        2,
        "Low (1-2)",
        IF(tblMergedCleaned[[#This Row],[Overall_Rating]]=
            3,
            "Middle (3)",
            "High (4-5)"
        )
    )
)</f>
        <v>Low (1-2)</v>
      </c>
      <c r="AK70" cm="1">
        <f t="array" ref="AK70">IF(
    tblMergedCleaned[[#This Row],[Overall_Rating]]="",
    "",
    --(tblMergedCleaned[[#This Row],[Overall_Rating]]&lt;=2)
)</f>
        <v>1</v>
      </c>
      <c r="AL70">
        <f>IF(
    tblMergedCleaned[[#This Row],[Definitely_Recommend_Pct]]="",
    "",
    --(tblMergedCleaned[[#This Row],[Definitely_Recommend_Pct]]&lt;TX_Median_Recommend)
)</f>
        <v>1</v>
      </c>
      <c r="AM70">
        <f>IF(
    tblMergedCleaned[[#This Row],[Readmission_Comparison]]="",
    "",
    --(tblMergedCleaned[[#This Row],[Readmission_Comparison]]="Worse")
)</f>
        <v>1</v>
      </c>
      <c r="AN70">
        <f>COUNT(
    tblMergedCleaned[[#This Row],[Low_Rating_Flag]:[Worse_Readmission_Flag]]
)</f>
        <v>3</v>
      </c>
      <c r="AO70">
        <f>SUM(
    tblMergedCleaned[[#This Row],[Low_Rating_Flag]:[Worse_Readmission_Flag]]
)</f>
        <v>3</v>
      </c>
      <c r="AP7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1</v>
      </c>
      <c r="AQ7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70" s="2">
        <f>IF(
    tblMergedCleaned[[#This Row],[Definitely_Recommend_Pct]]="",
    "",
    tblMergedCleaned[[#This Row],[Definitely_Recommend_Pct]]-TX_Median_Recommend
)</f>
        <v>-14</v>
      </c>
      <c r="AS70" s="2">
        <f>IF(
    tblMergedCleaned[[#This Row],[Readmission_Rate_Pct]]="",
    "",
    tblMergedCleaned[[#This Row],[Readmission_Rate_Pct]]-TX_Median_Readmission
)</f>
        <v>1.9999999999999982</v>
      </c>
    </row>
    <row r="71" spans="1:45">
      <c r="A71" t="s">
        <v>464</v>
      </c>
      <c r="B71" t="s">
        <v>465</v>
      </c>
      <c r="C71" t="s">
        <v>466</v>
      </c>
      <c r="D71" t="s">
        <v>467</v>
      </c>
      <c r="E71" t="s">
        <v>18</v>
      </c>
      <c r="F71" t="s">
        <v>468</v>
      </c>
      <c r="G71" t="s">
        <v>469</v>
      </c>
      <c r="H71" t="s">
        <v>470</v>
      </c>
      <c r="I71" t="s">
        <v>21</v>
      </c>
      <c r="J71" t="s">
        <v>33</v>
      </c>
      <c r="K71" t="s">
        <v>23</v>
      </c>
      <c r="L71">
        <v>3</v>
      </c>
      <c r="M71" t="s">
        <v>42</v>
      </c>
      <c r="N71" t="s">
        <v>25</v>
      </c>
      <c r="O71" s="2">
        <v>74</v>
      </c>
      <c r="P71" s="2">
        <v>77</v>
      </c>
      <c r="Q71" s="2">
        <v>58</v>
      </c>
      <c r="R71" s="2">
        <v>89</v>
      </c>
      <c r="S71" s="2">
        <v>64</v>
      </c>
      <c r="T71" s="2">
        <v>65</v>
      </c>
      <c r="U71" t="s">
        <v>1716</v>
      </c>
      <c r="V71" s="2">
        <v>17</v>
      </c>
      <c r="W71" s="1">
        <v>45474</v>
      </c>
      <c r="X71" s="1">
        <v>45838</v>
      </c>
      <c r="Y71" s="2">
        <v>15.1</v>
      </c>
      <c r="Z71" t="s">
        <v>1884</v>
      </c>
      <c r="AA71">
        <v>5402</v>
      </c>
      <c r="AB71" s="2">
        <v>14.3</v>
      </c>
      <c r="AC71" s="2">
        <v>15.9</v>
      </c>
      <c r="AD71" t="s">
        <v>25</v>
      </c>
      <c r="AE71" s="1">
        <v>45108</v>
      </c>
      <c r="AF71" s="1">
        <v>45473</v>
      </c>
      <c r="AG71" t="b">
        <v>1</v>
      </c>
      <c r="AH71" t="b">
        <v>1</v>
      </c>
      <c r="AI71" t="b">
        <v>1</v>
      </c>
      <c r="AJ71" t="str">
        <f>IF(tblMergedCleaned[[#This Row],[Overall_Rating]]=
    "",
    "Unavailable",
    IF(tblMergedCleaned[[#This Row],[Overall_Rating]]&lt;=
        2,
        "Low (1-2)",
        IF(tblMergedCleaned[[#This Row],[Overall_Rating]]=
            3,
            "Middle (3)",
            "High (4-5)"
        )
    )
)</f>
        <v>Middle (3)</v>
      </c>
      <c r="AK71" cm="1">
        <f t="array" ref="AK71">IF(
    tblMergedCleaned[[#This Row],[Overall_Rating]]="",
    "",
    --(tblMergedCleaned[[#This Row],[Overall_Rating]]&lt;=2)
)</f>
        <v>0</v>
      </c>
      <c r="AL71">
        <f>IF(
    tblMergedCleaned[[#This Row],[Definitely_Recommend_Pct]]="",
    "",
    --(tblMergedCleaned[[#This Row],[Definitely_Recommend_Pct]]&lt;TX_Median_Recommend)
)</f>
        <v>1</v>
      </c>
      <c r="AM71">
        <f>IF(
    tblMergedCleaned[[#This Row],[Readmission_Comparison]]="",
    "",
    --(tblMergedCleaned[[#This Row],[Readmission_Comparison]]="Worse")
)</f>
        <v>0</v>
      </c>
      <c r="AN71">
        <f>COUNT(
    tblMergedCleaned[[#This Row],[Low_Rating_Flag]:[Worse_Readmission_Flag]]
)</f>
        <v>3</v>
      </c>
      <c r="AO71">
        <f>SUM(
    tblMergedCleaned[[#This Row],[Low_Rating_Flag]:[Worse_Readmission_Flag]]
)</f>
        <v>1</v>
      </c>
      <c r="AP7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7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71" s="2">
        <f>IF(
    tblMergedCleaned[[#This Row],[Definitely_Recommend_Pct]]="",
    "",
    tblMergedCleaned[[#This Row],[Definitely_Recommend_Pct]]-TX_Median_Recommend
)</f>
        <v>-6</v>
      </c>
      <c r="AS71" s="2">
        <f>IF(
    tblMergedCleaned[[#This Row],[Readmission_Rate_Pct]]="",
    "",
    tblMergedCleaned[[#This Row],[Readmission_Rate_Pct]]-TX_Median_Readmission
)</f>
        <v>0.19999999999999929</v>
      </c>
    </row>
    <row r="72" spans="1:45">
      <c r="A72" t="s">
        <v>471</v>
      </c>
      <c r="B72" t="s">
        <v>472</v>
      </c>
      <c r="C72" t="s">
        <v>473</v>
      </c>
      <c r="D72" t="s">
        <v>434</v>
      </c>
      <c r="E72" t="s">
        <v>18</v>
      </c>
      <c r="F72" t="s">
        <v>435</v>
      </c>
      <c r="G72" t="s">
        <v>436</v>
      </c>
      <c r="H72" t="s">
        <v>474</v>
      </c>
      <c r="I72" t="s">
        <v>21</v>
      </c>
      <c r="J72" t="s">
        <v>22</v>
      </c>
      <c r="K72" t="s">
        <v>23</v>
      </c>
      <c r="L72">
        <v>2</v>
      </c>
      <c r="M72" t="s">
        <v>24</v>
      </c>
      <c r="N72" t="s">
        <v>25</v>
      </c>
      <c r="O72" s="2">
        <v>77</v>
      </c>
      <c r="P72" s="2">
        <v>76</v>
      </c>
      <c r="Q72" s="2">
        <v>56</v>
      </c>
      <c r="R72" s="2">
        <v>84</v>
      </c>
      <c r="S72" s="2">
        <v>73</v>
      </c>
      <c r="T72" s="2">
        <v>76</v>
      </c>
      <c r="U72" t="s">
        <v>1717</v>
      </c>
      <c r="V72" s="2">
        <v>21</v>
      </c>
      <c r="W72" s="1">
        <v>45474</v>
      </c>
      <c r="X72" s="1">
        <v>45838</v>
      </c>
      <c r="Y72" s="2">
        <v>14.8</v>
      </c>
      <c r="Z72" t="s">
        <v>1884</v>
      </c>
      <c r="AA72">
        <v>4914</v>
      </c>
      <c r="AB72" s="2">
        <v>14</v>
      </c>
      <c r="AC72" s="2">
        <v>15.7</v>
      </c>
      <c r="AD72" t="s">
        <v>25</v>
      </c>
      <c r="AE72" s="1">
        <v>45108</v>
      </c>
      <c r="AF72" s="1">
        <v>45473</v>
      </c>
      <c r="AG72" t="b">
        <v>1</v>
      </c>
      <c r="AH72" t="b">
        <v>1</v>
      </c>
      <c r="AI72" t="b">
        <v>1</v>
      </c>
      <c r="AJ72" t="str">
        <f>IF(tblMergedCleaned[[#This Row],[Overall_Rating]]=
    "",
    "Unavailable",
    IF(tblMergedCleaned[[#This Row],[Overall_Rating]]&lt;=
        2,
        "Low (1-2)",
        IF(tblMergedCleaned[[#This Row],[Overall_Rating]]=
            3,
            "Middle (3)",
            "High (4-5)"
        )
    )
)</f>
        <v>Low (1-2)</v>
      </c>
      <c r="AK72" cm="1">
        <f t="array" ref="AK72">IF(
    tblMergedCleaned[[#This Row],[Overall_Rating]]="",
    "",
    --(tblMergedCleaned[[#This Row],[Overall_Rating]]&lt;=2)
)</f>
        <v>1</v>
      </c>
      <c r="AL72">
        <f>IF(
    tblMergedCleaned[[#This Row],[Definitely_Recommend_Pct]]="",
    "",
    --(tblMergedCleaned[[#This Row],[Definitely_Recommend_Pct]]&lt;TX_Median_Recommend)
)</f>
        <v>0</v>
      </c>
      <c r="AM72">
        <f>IF(
    tblMergedCleaned[[#This Row],[Readmission_Comparison]]="",
    "",
    --(tblMergedCleaned[[#This Row],[Readmission_Comparison]]="Worse")
)</f>
        <v>0</v>
      </c>
      <c r="AN72">
        <f>COUNT(
    tblMergedCleaned[[#This Row],[Low_Rating_Flag]:[Worse_Readmission_Flag]]
)</f>
        <v>3</v>
      </c>
      <c r="AO72">
        <f>SUM(
    tblMergedCleaned[[#This Row],[Low_Rating_Flag]:[Worse_Readmission_Flag]]
)</f>
        <v>1</v>
      </c>
      <c r="AP7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7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72" s="2">
        <f>IF(
    tblMergedCleaned[[#This Row],[Definitely_Recommend_Pct]]="",
    "",
    tblMergedCleaned[[#This Row],[Definitely_Recommend_Pct]]-TX_Median_Recommend
)</f>
        <v>5</v>
      </c>
      <c r="AS72" s="2">
        <f>IF(
    tblMergedCleaned[[#This Row],[Readmission_Rate_Pct]]="",
    "",
    tblMergedCleaned[[#This Row],[Readmission_Rate_Pct]]-TX_Median_Readmission
)</f>
        <v>-9.9999999999999645E-2</v>
      </c>
    </row>
    <row r="73" spans="1:45">
      <c r="A73" t="s">
        <v>475</v>
      </c>
      <c r="B73" t="s">
        <v>476</v>
      </c>
      <c r="C73" t="s">
        <v>477</v>
      </c>
      <c r="D73" t="s">
        <v>478</v>
      </c>
      <c r="E73" t="s">
        <v>18</v>
      </c>
      <c r="F73" t="s">
        <v>479</v>
      </c>
      <c r="G73" t="s">
        <v>478</v>
      </c>
      <c r="H73" t="s">
        <v>480</v>
      </c>
      <c r="I73" t="s">
        <v>21</v>
      </c>
      <c r="J73" t="s">
        <v>56</v>
      </c>
      <c r="K73" t="s">
        <v>302</v>
      </c>
      <c r="M73" t="s">
        <v>176</v>
      </c>
      <c r="N73" t="s">
        <v>177</v>
      </c>
      <c r="O73" s="2">
        <v>84</v>
      </c>
      <c r="P73" s="2">
        <v>83</v>
      </c>
      <c r="Q73" s="2">
        <v>71</v>
      </c>
      <c r="R73" s="2">
        <v>92</v>
      </c>
      <c r="S73" s="2">
        <v>81</v>
      </c>
      <c r="T73" s="2">
        <v>72</v>
      </c>
      <c r="U73" t="s">
        <v>1718</v>
      </c>
      <c r="V73" s="2">
        <v>14</v>
      </c>
      <c r="W73" s="1">
        <v>45474</v>
      </c>
      <c r="X73" s="1">
        <v>45838</v>
      </c>
      <c r="Y73" s="2">
        <v>15.3</v>
      </c>
      <c r="Z73" t="s">
        <v>1884</v>
      </c>
      <c r="AA73">
        <v>96</v>
      </c>
      <c r="AB73" s="2">
        <v>13.4</v>
      </c>
      <c r="AC73" s="2">
        <v>17.399999999999999</v>
      </c>
      <c r="AD73" t="s">
        <v>25</v>
      </c>
      <c r="AE73" s="1">
        <v>45108</v>
      </c>
      <c r="AF73" s="1">
        <v>45473</v>
      </c>
      <c r="AG73" t="b">
        <v>0</v>
      </c>
      <c r="AH73" t="b">
        <v>1</v>
      </c>
      <c r="AI73" t="b">
        <v>1</v>
      </c>
      <c r="AJ73" t="str">
        <f>IF(tblMergedCleaned[[#This Row],[Overall_Rating]]=
    "",
    "Unavailable",
    IF(tblMergedCleaned[[#This Row],[Overall_Rating]]&lt;=
        2,
        "Low (1-2)",
        IF(tblMergedCleaned[[#This Row],[Overall_Rating]]=
            3,
            "Middle (3)",
            "High (4-5)"
        )
    )
)</f>
        <v>Unavailable</v>
      </c>
      <c r="AK73" t="str" cm="1">
        <f t="array" ref="AK73">IF(
    tblMergedCleaned[[#This Row],[Overall_Rating]]="",
    "",
    --(tblMergedCleaned[[#This Row],[Overall_Rating]]&lt;=2)
)</f>
        <v/>
      </c>
      <c r="AL73">
        <f>IF(
    tblMergedCleaned[[#This Row],[Definitely_Recommend_Pct]]="",
    "",
    --(tblMergedCleaned[[#This Row],[Definitely_Recommend_Pct]]&lt;TX_Median_Recommend)
)</f>
        <v>0</v>
      </c>
      <c r="AM73">
        <f>IF(
    tblMergedCleaned[[#This Row],[Readmission_Comparison]]="",
    "",
    --(tblMergedCleaned[[#This Row],[Readmission_Comparison]]="Worse")
)</f>
        <v>0</v>
      </c>
      <c r="AN73">
        <f>COUNT(
    tblMergedCleaned[[#This Row],[Low_Rating_Flag]:[Worse_Readmission_Flag]]
)</f>
        <v>2</v>
      </c>
      <c r="AO73">
        <f>SUM(
    tblMergedCleaned[[#This Row],[Low_Rating_Flag]:[Worse_Readmission_Flag]]
)</f>
        <v>0</v>
      </c>
      <c r="AP7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7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73" s="2">
        <f>IF(
    tblMergedCleaned[[#This Row],[Definitely_Recommend_Pct]]="",
    "",
    tblMergedCleaned[[#This Row],[Definitely_Recommend_Pct]]-TX_Median_Recommend
)</f>
        <v>1</v>
      </c>
      <c r="AS73" s="2">
        <f>IF(
    tblMergedCleaned[[#This Row],[Readmission_Rate_Pct]]="",
    "",
    tblMergedCleaned[[#This Row],[Readmission_Rate_Pct]]-TX_Median_Readmission
)</f>
        <v>0.40000000000000036</v>
      </c>
    </row>
    <row r="74" spans="1:45">
      <c r="A74" t="s">
        <v>481</v>
      </c>
      <c r="B74" t="s">
        <v>482</v>
      </c>
      <c r="C74" t="s">
        <v>483</v>
      </c>
      <c r="D74" t="s">
        <v>484</v>
      </c>
      <c r="E74" t="s">
        <v>18</v>
      </c>
      <c r="F74" t="s">
        <v>485</v>
      </c>
      <c r="G74" t="s">
        <v>486</v>
      </c>
      <c r="H74" t="s">
        <v>487</v>
      </c>
      <c r="I74" t="s">
        <v>21</v>
      </c>
      <c r="J74" t="s">
        <v>33</v>
      </c>
      <c r="K74" t="s">
        <v>23</v>
      </c>
      <c r="L74">
        <v>4</v>
      </c>
      <c r="M74" t="s">
        <v>34</v>
      </c>
      <c r="N74" t="s">
        <v>25</v>
      </c>
      <c r="O74" s="2">
        <v>86</v>
      </c>
      <c r="P74" s="2">
        <v>80</v>
      </c>
      <c r="Q74" s="2">
        <v>64</v>
      </c>
      <c r="R74" s="2">
        <v>88</v>
      </c>
      <c r="S74" s="2">
        <v>80</v>
      </c>
      <c r="T74" s="2">
        <v>76</v>
      </c>
      <c r="U74" t="s">
        <v>1719</v>
      </c>
      <c r="V74" s="2">
        <v>18</v>
      </c>
      <c r="W74" s="1">
        <v>45474</v>
      </c>
      <c r="X74" s="1">
        <v>45838</v>
      </c>
      <c r="Y74" s="2">
        <v>13.7</v>
      </c>
      <c r="Z74" t="s">
        <v>1884</v>
      </c>
      <c r="AA74">
        <v>715</v>
      </c>
      <c r="AB74" s="2">
        <v>12.4</v>
      </c>
      <c r="AC74" s="2">
        <v>15.1</v>
      </c>
      <c r="AD74" t="s">
        <v>25</v>
      </c>
      <c r="AE74" s="1">
        <v>45108</v>
      </c>
      <c r="AF74" s="1">
        <v>45473</v>
      </c>
      <c r="AG74" t="b">
        <v>1</v>
      </c>
      <c r="AH74" t="b">
        <v>1</v>
      </c>
      <c r="AI74" t="b">
        <v>1</v>
      </c>
      <c r="AJ74" t="str">
        <f>IF(tblMergedCleaned[[#This Row],[Overall_Rating]]=
    "",
    "Unavailable",
    IF(tblMergedCleaned[[#This Row],[Overall_Rating]]&lt;=
        2,
        "Low (1-2)",
        IF(tblMergedCleaned[[#This Row],[Overall_Rating]]=
            3,
            "Middle (3)",
            "High (4-5)"
        )
    )
)</f>
        <v>High (4-5)</v>
      </c>
      <c r="AK74" cm="1">
        <f t="array" ref="AK74">IF(
    tblMergedCleaned[[#This Row],[Overall_Rating]]="",
    "",
    --(tblMergedCleaned[[#This Row],[Overall_Rating]]&lt;=2)
)</f>
        <v>0</v>
      </c>
      <c r="AL74">
        <f>IF(
    tblMergedCleaned[[#This Row],[Definitely_Recommend_Pct]]="",
    "",
    --(tblMergedCleaned[[#This Row],[Definitely_Recommend_Pct]]&lt;TX_Median_Recommend)
)</f>
        <v>0</v>
      </c>
      <c r="AM74">
        <f>IF(
    tblMergedCleaned[[#This Row],[Readmission_Comparison]]="",
    "",
    --(tblMergedCleaned[[#This Row],[Readmission_Comparison]]="Worse")
)</f>
        <v>0</v>
      </c>
      <c r="AN74">
        <f>COUNT(
    tblMergedCleaned[[#This Row],[Low_Rating_Flag]:[Worse_Readmission_Flag]]
)</f>
        <v>3</v>
      </c>
      <c r="AO74">
        <f>SUM(
    tblMergedCleaned[[#This Row],[Low_Rating_Flag]:[Worse_Readmission_Flag]]
)</f>
        <v>0</v>
      </c>
      <c r="AP7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7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74" s="2">
        <f>IF(
    tblMergedCleaned[[#This Row],[Definitely_Recommend_Pct]]="",
    "",
    tblMergedCleaned[[#This Row],[Definitely_Recommend_Pct]]-TX_Median_Recommend
)</f>
        <v>5</v>
      </c>
      <c r="AS74" s="2">
        <f>IF(
    tblMergedCleaned[[#This Row],[Readmission_Rate_Pct]]="",
    "",
    tblMergedCleaned[[#This Row],[Readmission_Rate_Pct]]-TX_Median_Readmission
)</f>
        <v>-1.2000000000000011</v>
      </c>
    </row>
    <row r="75" spans="1:45">
      <c r="A75" t="s">
        <v>488</v>
      </c>
      <c r="B75" t="s">
        <v>489</v>
      </c>
      <c r="C75" t="s">
        <v>490</v>
      </c>
      <c r="D75" t="s">
        <v>188</v>
      </c>
      <c r="E75" t="s">
        <v>18</v>
      </c>
      <c r="F75" t="s">
        <v>491</v>
      </c>
      <c r="G75" t="s">
        <v>190</v>
      </c>
      <c r="H75" t="s">
        <v>492</v>
      </c>
      <c r="I75" t="s">
        <v>21</v>
      </c>
      <c r="J75" t="s">
        <v>33</v>
      </c>
      <c r="K75" t="s">
        <v>23</v>
      </c>
      <c r="L75">
        <v>3</v>
      </c>
      <c r="M75" t="s">
        <v>42</v>
      </c>
      <c r="N75" t="s">
        <v>25</v>
      </c>
      <c r="O75" s="2">
        <v>75</v>
      </c>
      <c r="P75" s="2">
        <v>78</v>
      </c>
      <c r="Q75" s="2">
        <v>59</v>
      </c>
      <c r="R75" s="2">
        <v>86</v>
      </c>
      <c r="S75" s="2">
        <v>70</v>
      </c>
      <c r="T75" s="2">
        <v>70</v>
      </c>
      <c r="U75" t="s">
        <v>1720</v>
      </c>
      <c r="V75" s="2">
        <v>15</v>
      </c>
      <c r="W75" s="1">
        <v>45474</v>
      </c>
      <c r="X75" s="1">
        <v>45838</v>
      </c>
      <c r="Y75" s="2">
        <v>14.4</v>
      </c>
      <c r="Z75" t="s">
        <v>1884</v>
      </c>
      <c r="AA75">
        <v>3869</v>
      </c>
      <c r="AB75" s="2">
        <v>13.6</v>
      </c>
      <c r="AC75" s="2">
        <v>15.4</v>
      </c>
      <c r="AD75" t="s">
        <v>25</v>
      </c>
      <c r="AE75" s="1">
        <v>45108</v>
      </c>
      <c r="AF75" s="1">
        <v>45473</v>
      </c>
      <c r="AG75" t="b">
        <v>1</v>
      </c>
      <c r="AH75" t="b">
        <v>1</v>
      </c>
      <c r="AI75" t="b">
        <v>1</v>
      </c>
      <c r="AJ75" t="str">
        <f>IF(tblMergedCleaned[[#This Row],[Overall_Rating]]=
    "",
    "Unavailable",
    IF(tblMergedCleaned[[#This Row],[Overall_Rating]]&lt;=
        2,
        "Low (1-2)",
        IF(tblMergedCleaned[[#This Row],[Overall_Rating]]=
            3,
            "Middle (3)",
            "High (4-5)"
        )
    )
)</f>
        <v>Middle (3)</v>
      </c>
      <c r="AK75" cm="1">
        <f t="array" ref="AK75">IF(
    tblMergedCleaned[[#This Row],[Overall_Rating]]="",
    "",
    --(tblMergedCleaned[[#This Row],[Overall_Rating]]&lt;=2)
)</f>
        <v>0</v>
      </c>
      <c r="AL75">
        <f>IF(
    tblMergedCleaned[[#This Row],[Definitely_Recommend_Pct]]="",
    "",
    --(tblMergedCleaned[[#This Row],[Definitely_Recommend_Pct]]&lt;TX_Median_Recommend)
)</f>
        <v>1</v>
      </c>
      <c r="AM75">
        <f>IF(
    tblMergedCleaned[[#This Row],[Readmission_Comparison]]="",
    "",
    --(tblMergedCleaned[[#This Row],[Readmission_Comparison]]="Worse")
)</f>
        <v>0</v>
      </c>
      <c r="AN75">
        <f>COUNT(
    tblMergedCleaned[[#This Row],[Low_Rating_Flag]:[Worse_Readmission_Flag]]
)</f>
        <v>3</v>
      </c>
      <c r="AO75">
        <f>SUM(
    tblMergedCleaned[[#This Row],[Low_Rating_Flag]:[Worse_Readmission_Flag]]
)</f>
        <v>1</v>
      </c>
      <c r="AP7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7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75" s="2">
        <f>IF(
    tblMergedCleaned[[#This Row],[Definitely_Recommend_Pct]]="",
    "",
    tblMergedCleaned[[#This Row],[Definitely_Recommend_Pct]]-TX_Median_Recommend
)</f>
        <v>-1</v>
      </c>
      <c r="AS75" s="2">
        <f>IF(
    tblMergedCleaned[[#This Row],[Readmission_Rate_Pct]]="",
    "",
    tblMergedCleaned[[#This Row],[Readmission_Rate_Pct]]-TX_Median_Readmission
)</f>
        <v>-0.5</v>
      </c>
    </row>
    <row r="76" spans="1:45">
      <c r="A76" t="s">
        <v>493</v>
      </c>
      <c r="B76" t="s">
        <v>494</v>
      </c>
      <c r="C76" t="s">
        <v>495</v>
      </c>
      <c r="D76" t="s">
        <v>496</v>
      </c>
      <c r="E76" t="s">
        <v>18</v>
      </c>
      <c r="F76" t="s">
        <v>497</v>
      </c>
      <c r="G76" t="s">
        <v>498</v>
      </c>
      <c r="H76" t="s">
        <v>499</v>
      </c>
      <c r="I76" t="s">
        <v>21</v>
      </c>
      <c r="J76" t="s">
        <v>56</v>
      </c>
      <c r="K76" t="s">
        <v>23</v>
      </c>
      <c r="M76" t="s">
        <v>176</v>
      </c>
      <c r="N76" t="s">
        <v>177</v>
      </c>
      <c r="O76" s="2">
        <v>88</v>
      </c>
      <c r="P76" s="2">
        <v>79</v>
      </c>
      <c r="Q76" s="2">
        <v>74</v>
      </c>
      <c r="R76" s="2">
        <v>90</v>
      </c>
      <c r="S76" s="2">
        <v>73</v>
      </c>
      <c r="T76" s="2">
        <v>69</v>
      </c>
      <c r="U76" t="s">
        <v>1721</v>
      </c>
      <c r="V76" s="2">
        <v>13</v>
      </c>
      <c r="W76" s="1">
        <v>45474</v>
      </c>
      <c r="X76" s="1">
        <v>45838</v>
      </c>
      <c r="Y76" s="2">
        <v>14.8</v>
      </c>
      <c r="Z76" t="s">
        <v>1884</v>
      </c>
      <c r="AA76">
        <v>82</v>
      </c>
      <c r="AB76" s="2">
        <v>13</v>
      </c>
      <c r="AC76" s="2">
        <v>16.899999999999999</v>
      </c>
      <c r="AD76" t="s">
        <v>25</v>
      </c>
      <c r="AE76" s="1">
        <v>45108</v>
      </c>
      <c r="AF76" s="1">
        <v>45473</v>
      </c>
      <c r="AG76" t="b">
        <v>0</v>
      </c>
      <c r="AH76" t="b">
        <v>1</v>
      </c>
      <c r="AI76" t="b">
        <v>1</v>
      </c>
      <c r="AJ76" t="str">
        <f>IF(tblMergedCleaned[[#This Row],[Overall_Rating]]=
    "",
    "Unavailable",
    IF(tblMergedCleaned[[#This Row],[Overall_Rating]]&lt;=
        2,
        "Low (1-2)",
        IF(tblMergedCleaned[[#This Row],[Overall_Rating]]=
            3,
            "Middle (3)",
            "High (4-5)"
        )
    )
)</f>
        <v>Unavailable</v>
      </c>
      <c r="AK76" t="str" cm="1">
        <f t="array" ref="AK76">IF(
    tblMergedCleaned[[#This Row],[Overall_Rating]]="",
    "",
    --(tblMergedCleaned[[#This Row],[Overall_Rating]]&lt;=2)
)</f>
        <v/>
      </c>
      <c r="AL76">
        <f>IF(
    tblMergedCleaned[[#This Row],[Definitely_Recommend_Pct]]="",
    "",
    --(tblMergedCleaned[[#This Row],[Definitely_Recommend_Pct]]&lt;TX_Median_Recommend)
)</f>
        <v>1</v>
      </c>
      <c r="AM76">
        <f>IF(
    tblMergedCleaned[[#This Row],[Readmission_Comparison]]="",
    "",
    --(tblMergedCleaned[[#This Row],[Readmission_Comparison]]="Worse")
)</f>
        <v>0</v>
      </c>
      <c r="AN76">
        <f>COUNT(
    tblMergedCleaned[[#This Row],[Low_Rating_Flag]:[Worse_Readmission_Flag]]
)</f>
        <v>2</v>
      </c>
      <c r="AO76">
        <f>SUM(
    tblMergedCleaned[[#This Row],[Low_Rating_Flag]:[Worse_Readmission_Flag]]
)</f>
        <v>1</v>
      </c>
      <c r="AP7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7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76" s="2">
        <f>IF(
    tblMergedCleaned[[#This Row],[Definitely_Recommend_Pct]]="",
    "",
    tblMergedCleaned[[#This Row],[Definitely_Recommend_Pct]]-TX_Median_Recommend
)</f>
        <v>-2</v>
      </c>
      <c r="AS76" s="2">
        <f>IF(
    tblMergedCleaned[[#This Row],[Readmission_Rate_Pct]]="",
    "",
    tblMergedCleaned[[#This Row],[Readmission_Rate_Pct]]-TX_Median_Readmission
)</f>
        <v>-9.9999999999999645E-2</v>
      </c>
    </row>
    <row r="77" spans="1:45">
      <c r="A77" t="s">
        <v>500</v>
      </c>
      <c r="B77" t="s">
        <v>501</v>
      </c>
      <c r="C77" t="s">
        <v>502</v>
      </c>
      <c r="D77" t="s">
        <v>503</v>
      </c>
      <c r="E77" t="s">
        <v>18</v>
      </c>
      <c r="F77" t="s">
        <v>504</v>
      </c>
      <c r="G77" t="s">
        <v>181</v>
      </c>
      <c r="H77" t="s">
        <v>505</v>
      </c>
      <c r="I77" t="s">
        <v>21</v>
      </c>
      <c r="J77" t="s">
        <v>56</v>
      </c>
      <c r="K77" t="s">
        <v>23</v>
      </c>
      <c r="M77" t="s">
        <v>176</v>
      </c>
      <c r="N77" t="s">
        <v>177</v>
      </c>
      <c r="U77" t="s">
        <v>176</v>
      </c>
      <c r="W77" s="1">
        <v>45474</v>
      </c>
      <c r="X77" s="1">
        <v>45838</v>
      </c>
      <c r="Y77" s="2">
        <v>15.6</v>
      </c>
      <c r="Z77" t="s">
        <v>1884</v>
      </c>
      <c r="AA77">
        <v>33</v>
      </c>
      <c r="AB77" s="2">
        <v>13.1</v>
      </c>
      <c r="AC77" s="2">
        <v>18.3</v>
      </c>
      <c r="AD77" t="s">
        <v>25</v>
      </c>
      <c r="AE77" s="1">
        <v>45108</v>
      </c>
      <c r="AF77" s="1">
        <v>45473</v>
      </c>
      <c r="AG77" t="b">
        <v>0</v>
      </c>
      <c r="AH77" t="b">
        <v>0</v>
      </c>
      <c r="AI77" t="b">
        <v>1</v>
      </c>
      <c r="AJ77" t="str">
        <f>IF(tblMergedCleaned[[#This Row],[Overall_Rating]]=
    "",
    "Unavailable",
    IF(tblMergedCleaned[[#This Row],[Overall_Rating]]&lt;=
        2,
        "Low (1-2)",
        IF(tblMergedCleaned[[#This Row],[Overall_Rating]]=
            3,
            "Middle (3)",
            "High (4-5)"
        )
    )
)</f>
        <v>Unavailable</v>
      </c>
      <c r="AK77" t="str" cm="1">
        <f t="array" ref="AK77">IF(
    tblMergedCleaned[[#This Row],[Overall_Rating]]="",
    "",
    --(tblMergedCleaned[[#This Row],[Overall_Rating]]&lt;=2)
)</f>
        <v/>
      </c>
      <c r="AL77" t="str">
        <f>IF(
    tblMergedCleaned[[#This Row],[Definitely_Recommend_Pct]]="",
    "",
    --(tblMergedCleaned[[#This Row],[Definitely_Recommend_Pct]]&lt;TX_Median_Recommend)
)</f>
        <v/>
      </c>
      <c r="AM77">
        <f>IF(
    tblMergedCleaned[[#This Row],[Readmission_Comparison]]="",
    "",
    --(tblMergedCleaned[[#This Row],[Readmission_Comparison]]="Worse")
)</f>
        <v>0</v>
      </c>
      <c r="AN77">
        <f>COUNT(
    tblMergedCleaned[[#This Row],[Low_Rating_Flag]:[Worse_Readmission_Flag]]
)</f>
        <v>1</v>
      </c>
      <c r="AO77">
        <f>SUM(
    tblMergedCleaned[[#This Row],[Low_Rating_Flag]:[Worse_Readmission_Flag]]
)</f>
        <v>0</v>
      </c>
      <c r="AP7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7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77" s="2" t="str">
        <f>IF(
    tblMergedCleaned[[#This Row],[Definitely_Recommend_Pct]]="",
    "",
    tblMergedCleaned[[#This Row],[Definitely_Recommend_Pct]]-TX_Median_Recommend
)</f>
        <v/>
      </c>
      <c r="AS77" s="2">
        <f>IF(
    tblMergedCleaned[[#This Row],[Readmission_Rate_Pct]]="",
    "",
    tblMergedCleaned[[#This Row],[Readmission_Rate_Pct]]-TX_Median_Readmission
)</f>
        <v>0.69999999999999929</v>
      </c>
    </row>
    <row r="78" spans="1:45">
      <c r="A78" t="s">
        <v>506</v>
      </c>
      <c r="B78" t="s">
        <v>507</v>
      </c>
      <c r="C78" t="s">
        <v>508</v>
      </c>
      <c r="D78" t="s">
        <v>509</v>
      </c>
      <c r="E78" t="s">
        <v>18</v>
      </c>
      <c r="F78" t="s">
        <v>510</v>
      </c>
      <c r="G78" t="s">
        <v>511</v>
      </c>
      <c r="H78" t="s">
        <v>512</v>
      </c>
      <c r="I78" t="s">
        <v>21</v>
      </c>
      <c r="J78" t="s">
        <v>354</v>
      </c>
      <c r="K78" t="s">
        <v>23</v>
      </c>
      <c r="L78">
        <v>4</v>
      </c>
      <c r="M78" t="s">
        <v>34</v>
      </c>
      <c r="N78" t="s">
        <v>25</v>
      </c>
      <c r="O78" s="2">
        <v>77</v>
      </c>
      <c r="P78" s="2">
        <v>83</v>
      </c>
      <c r="Q78" s="2">
        <v>60</v>
      </c>
      <c r="R78" s="2">
        <v>85</v>
      </c>
      <c r="S78" s="2">
        <v>70</v>
      </c>
      <c r="T78" s="2">
        <v>69</v>
      </c>
      <c r="U78" t="s">
        <v>1722</v>
      </c>
      <c r="V78" s="2">
        <v>16</v>
      </c>
      <c r="W78" s="1">
        <v>45474</v>
      </c>
      <c r="X78" s="1">
        <v>45838</v>
      </c>
      <c r="Y78" s="2">
        <v>14.2</v>
      </c>
      <c r="Z78" t="s">
        <v>1884</v>
      </c>
      <c r="AA78">
        <v>651</v>
      </c>
      <c r="AB78" s="2">
        <v>13.2</v>
      </c>
      <c r="AC78" s="2">
        <v>16</v>
      </c>
      <c r="AD78" t="s">
        <v>25</v>
      </c>
      <c r="AE78" s="1">
        <v>45108</v>
      </c>
      <c r="AF78" s="1">
        <v>45473</v>
      </c>
      <c r="AG78" t="b">
        <v>1</v>
      </c>
      <c r="AH78" t="b">
        <v>1</v>
      </c>
      <c r="AI78" t="b">
        <v>1</v>
      </c>
      <c r="AJ78" t="str">
        <f>IF(tblMergedCleaned[[#This Row],[Overall_Rating]]=
    "",
    "Unavailable",
    IF(tblMergedCleaned[[#This Row],[Overall_Rating]]&lt;=
        2,
        "Low (1-2)",
        IF(tblMergedCleaned[[#This Row],[Overall_Rating]]=
            3,
            "Middle (3)",
            "High (4-5)"
        )
    )
)</f>
        <v>High (4-5)</v>
      </c>
      <c r="AK78" cm="1">
        <f t="array" ref="AK78">IF(
    tblMergedCleaned[[#This Row],[Overall_Rating]]="",
    "",
    --(tblMergedCleaned[[#This Row],[Overall_Rating]]&lt;=2)
)</f>
        <v>0</v>
      </c>
      <c r="AL78">
        <f>IF(
    tblMergedCleaned[[#This Row],[Definitely_Recommend_Pct]]="",
    "",
    --(tblMergedCleaned[[#This Row],[Definitely_Recommend_Pct]]&lt;TX_Median_Recommend)
)</f>
        <v>1</v>
      </c>
      <c r="AM78">
        <f>IF(
    tblMergedCleaned[[#This Row],[Readmission_Comparison]]="",
    "",
    --(tblMergedCleaned[[#This Row],[Readmission_Comparison]]="Worse")
)</f>
        <v>0</v>
      </c>
      <c r="AN78">
        <f>COUNT(
    tblMergedCleaned[[#This Row],[Low_Rating_Flag]:[Worse_Readmission_Flag]]
)</f>
        <v>3</v>
      </c>
      <c r="AO78">
        <f>SUM(
    tblMergedCleaned[[#This Row],[Low_Rating_Flag]:[Worse_Readmission_Flag]]
)</f>
        <v>1</v>
      </c>
      <c r="AP7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7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78" s="2">
        <f>IF(
    tblMergedCleaned[[#This Row],[Definitely_Recommend_Pct]]="",
    "",
    tblMergedCleaned[[#This Row],[Definitely_Recommend_Pct]]-TX_Median_Recommend
)</f>
        <v>-2</v>
      </c>
      <c r="AS78" s="2">
        <f>IF(
    tblMergedCleaned[[#This Row],[Readmission_Rate_Pct]]="",
    "",
    tblMergedCleaned[[#This Row],[Readmission_Rate_Pct]]-TX_Median_Readmission
)</f>
        <v>-0.70000000000000107</v>
      </c>
    </row>
    <row r="79" spans="1:45">
      <c r="A79" t="s">
        <v>513</v>
      </c>
      <c r="B79" t="s">
        <v>514</v>
      </c>
      <c r="C79" t="s">
        <v>515</v>
      </c>
      <c r="D79" t="s">
        <v>119</v>
      </c>
      <c r="E79" t="s">
        <v>18</v>
      </c>
      <c r="F79" t="s">
        <v>201</v>
      </c>
      <c r="G79" t="s">
        <v>121</v>
      </c>
      <c r="H79" t="s">
        <v>516</v>
      </c>
      <c r="I79" t="s">
        <v>21</v>
      </c>
      <c r="J79" t="s">
        <v>56</v>
      </c>
      <c r="K79" t="s">
        <v>23</v>
      </c>
      <c r="L79">
        <v>3</v>
      </c>
      <c r="M79" t="s">
        <v>42</v>
      </c>
      <c r="N79" t="s">
        <v>25</v>
      </c>
      <c r="O79" s="2">
        <v>77</v>
      </c>
      <c r="P79" s="2">
        <v>80</v>
      </c>
      <c r="Q79" s="2">
        <v>57</v>
      </c>
      <c r="R79" s="2">
        <v>84</v>
      </c>
      <c r="S79" s="2">
        <v>72</v>
      </c>
      <c r="T79" s="2">
        <v>71</v>
      </c>
      <c r="U79" t="s">
        <v>1723</v>
      </c>
      <c r="V79" s="2">
        <v>5</v>
      </c>
      <c r="W79" s="1">
        <v>45474</v>
      </c>
      <c r="X79" s="1">
        <v>45838</v>
      </c>
      <c r="Y79" s="2">
        <v>15.1</v>
      </c>
      <c r="Z79" t="s">
        <v>1884</v>
      </c>
      <c r="AA79">
        <v>340</v>
      </c>
      <c r="AB79" s="2">
        <v>13.6</v>
      </c>
      <c r="AC79" s="2">
        <v>16.7</v>
      </c>
      <c r="AD79" t="s">
        <v>25</v>
      </c>
      <c r="AE79" s="1">
        <v>45108</v>
      </c>
      <c r="AF79" s="1">
        <v>45473</v>
      </c>
      <c r="AG79" t="b">
        <v>1</v>
      </c>
      <c r="AH79" t="b">
        <v>1</v>
      </c>
      <c r="AI79" t="b">
        <v>1</v>
      </c>
      <c r="AJ79" t="str">
        <f>IF(tblMergedCleaned[[#This Row],[Overall_Rating]]=
    "",
    "Unavailable",
    IF(tblMergedCleaned[[#This Row],[Overall_Rating]]&lt;=
        2,
        "Low (1-2)",
        IF(tblMergedCleaned[[#This Row],[Overall_Rating]]=
            3,
            "Middle (3)",
            "High (4-5)"
        )
    )
)</f>
        <v>Middle (3)</v>
      </c>
      <c r="AK79" cm="1">
        <f t="array" ref="AK79">IF(
    tblMergedCleaned[[#This Row],[Overall_Rating]]="",
    "",
    --(tblMergedCleaned[[#This Row],[Overall_Rating]]&lt;=2)
)</f>
        <v>0</v>
      </c>
      <c r="AL79">
        <f>IF(
    tblMergedCleaned[[#This Row],[Definitely_Recommend_Pct]]="",
    "",
    --(tblMergedCleaned[[#This Row],[Definitely_Recommend_Pct]]&lt;TX_Median_Recommend)
)</f>
        <v>0</v>
      </c>
      <c r="AM79">
        <f>IF(
    tblMergedCleaned[[#This Row],[Readmission_Comparison]]="",
    "",
    --(tblMergedCleaned[[#This Row],[Readmission_Comparison]]="Worse")
)</f>
        <v>0</v>
      </c>
      <c r="AN79">
        <f>COUNT(
    tblMergedCleaned[[#This Row],[Low_Rating_Flag]:[Worse_Readmission_Flag]]
)</f>
        <v>3</v>
      </c>
      <c r="AO79">
        <f>SUM(
    tblMergedCleaned[[#This Row],[Low_Rating_Flag]:[Worse_Readmission_Flag]]
)</f>
        <v>0</v>
      </c>
      <c r="AP7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7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79" s="2">
        <f>IF(
    tblMergedCleaned[[#This Row],[Definitely_Recommend_Pct]]="",
    "",
    tblMergedCleaned[[#This Row],[Definitely_Recommend_Pct]]-TX_Median_Recommend
)</f>
        <v>0</v>
      </c>
      <c r="AS79" s="2">
        <f>IF(
    tblMergedCleaned[[#This Row],[Readmission_Rate_Pct]]="",
    "",
    tblMergedCleaned[[#This Row],[Readmission_Rate_Pct]]-TX_Median_Readmission
)</f>
        <v>0.19999999999999929</v>
      </c>
    </row>
    <row r="80" spans="1:45">
      <c r="A80" t="s">
        <v>517</v>
      </c>
      <c r="B80" t="s">
        <v>518</v>
      </c>
      <c r="C80" t="s">
        <v>519</v>
      </c>
      <c r="D80" t="s">
        <v>520</v>
      </c>
      <c r="E80" t="s">
        <v>18</v>
      </c>
      <c r="F80" t="s">
        <v>521</v>
      </c>
      <c r="G80" t="s">
        <v>520</v>
      </c>
      <c r="H80" t="s">
        <v>522</v>
      </c>
      <c r="I80" t="s">
        <v>21</v>
      </c>
      <c r="J80" t="s">
        <v>33</v>
      </c>
      <c r="K80" t="s">
        <v>23</v>
      </c>
      <c r="M80" t="s">
        <v>176</v>
      </c>
      <c r="N80" t="s">
        <v>177</v>
      </c>
      <c r="O80" s="2">
        <v>86</v>
      </c>
      <c r="P80" s="2">
        <v>81</v>
      </c>
      <c r="Q80" s="2">
        <v>68</v>
      </c>
      <c r="R80" s="2">
        <v>89</v>
      </c>
      <c r="S80" s="2">
        <v>73</v>
      </c>
      <c r="T80" s="2">
        <v>71</v>
      </c>
      <c r="U80" t="s">
        <v>1724</v>
      </c>
      <c r="V80" s="2">
        <v>17</v>
      </c>
      <c r="W80" s="1">
        <v>45474</v>
      </c>
      <c r="X80" s="1">
        <v>45838</v>
      </c>
      <c r="Y80" s="2">
        <v>14.9</v>
      </c>
      <c r="Z80" t="s">
        <v>1884</v>
      </c>
      <c r="AA80">
        <v>153</v>
      </c>
      <c r="AB80" s="2">
        <v>13.2</v>
      </c>
      <c r="AC80" s="2">
        <v>16.8</v>
      </c>
      <c r="AD80" t="s">
        <v>25</v>
      </c>
      <c r="AE80" s="1">
        <v>45108</v>
      </c>
      <c r="AF80" s="1">
        <v>45473</v>
      </c>
      <c r="AG80" t="b">
        <v>0</v>
      </c>
      <c r="AH80" t="b">
        <v>1</v>
      </c>
      <c r="AI80" t="b">
        <v>1</v>
      </c>
      <c r="AJ80" t="str">
        <f>IF(tblMergedCleaned[[#This Row],[Overall_Rating]]=
    "",
    "Unavailable",
    IF(tblMergedCleaned[[#This Row],[Overall_Rating]]&lt;=
        2,
        "Low (1-2)",
        IF(tblMergedCleaned[[#This Row],[Overall_Rating]]=
            3,
            "Middle (3)",
            "High (4-5)"
        )
    )
)</f>
        <v>Unavailable</v>
      </c>
      <c r="AK80" t="str" cm="1">
        <f t="array" ref="AK80">IF(
    tblMergedCleaned[[#This Row],[Overall_Rating]]="",
    "",
    --(tblMergedCleaned[[#This Row],[Overall_Rating]]&lt;=2)
)</f>
        <v/>
      </c>
      <c r="AL80">
        <f>IF(
    tblMergedCleaned[[#This Row],[Definitely_Recommend_Pct]]="",
    "",
    --(tblMergedCleaned[[#This Row],[Definitely_Recommend_Pct]]&lt;TX_Median_Recommend)
)</f>
        <v>0</v>
      </c>
      <c r="AM80">
        <f>IF(
    tblMergedCleaned[[#This Row],[Readmission_Comparison]]="",
    "",
    --(tblMergedCleaned[[#This Row],[Readmission_Comparison]]="Worse")
)</f>
        <v>0</v>
      </c>
      <c r="AN80">
        <f>COUNT(
    tblMergedCleaned[[#This Row],[Low_Rating_Flag]:[Worse_Readmission_Flag]]
)</f>
        <v>2</v>
      </c>
      <c r="AO80">
        <f>SUM(
    tblMergedCleaned[[#This Row],[Low_Rating_Flag]:[Worse_Readmission_Flag]]
)</f>
        <v>0</v>
      </c>
      <c r="AP8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8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80" s="2">
        <f>IF(
    tblMergedCleaned[[#This Row],[Definitely_Recommend_Pct]]="",
    "",
    tblMergedCleaned[[#This Row],[Definitely_Recommend_Pct]]-TX_Median_Recommend
)</f>
        <v>0</v>
      </c>
      <c r="AS80" s="2">
        <f>IF(
    tblMergedCleaned[[#This Row],[Readmission_Rate_Pct]]="",
    "",
    tblMergedCleaned[[#This Row],[Readmission_Rate_Pct]]-TX_Median_Readmission
)</f>
        <v>0</v>
      </c>
    </row>
    <row r="81" spans="1:45">
      <c r="A81" t="s">
        <v>523</v>
      </c>
      <c r="B81" t="s">
        <v>524</v>
      </c>
      <c r="C81" t="s">
        <v>525</v>
      </c>
      <c r="D81" t="s">
        <v>526</v>
      </c>
      <c r="E81" t="s">
        <v>18</v>
      </c>
      <c r="F81" t="s">
        <v>527</v>
      </c>
      <c r="G81" t="s">
        <v>528</v>
      </c>
      <c r="H81" t="s">
        <v>529</v>
      </c>
      <c r="I81" t="s">
        <v>21</v>
      </c>
      <c r="J81" t="s">
        <v>22</v>
      </c>
      <c r="K81" t="s">
        <v>23</v>
      </c>
      <c r="L81">
        <v>4</v>
      </c>
      <c r="M81" t="s">
        <v>34</v>
      </c>
      <c r="N81" t="s">
        <v>25</v>
      </c>
      <c r="O81" s="2">
        <v>79</v>
      </c>
      <c r="P81" s="2">
        <v>75</v>
      </c>
      <c r="Q81" s="2">
        <v>61</v>
      </c>
      <c r="R81" s="2">
        <v>85</v>
      </c>
      <c r="S81" s="2">
        <v>65</v>
      </c>
      <c r="T81" s="2">
        <v>67</v>
      </c>
      <c r="U81" t="s">
        <v>1725</v>
      </c>
      <c r="V81" s="2">
        <v>17</v>
      </c>
      <c r="W81" s="1">
        <v>45474</v>
      </c>
      <c r="X81" s="1">
        <v>45838</v>
      </c>
      <c r="Y81" s="2">
        <v>16.100000000000001</v>
      </c>
      <c r="Z81" t="s">
        <v>1886</v>
      </c>
      <c r="AA81">
        <v>4243</v>
      </c>
      <c r="AB81" s="2">
        <v>15.3</v>
      </c>
      <c r="AC81" s="2">
        <v>17</v>
      </c>
      <c r="AD81" t="s">
        <v>25</v>
      </c>
      <c r="AE81" s="1">
        <v>45108</v>
      </c>
      <c r="AF81" s="1">
        <v>45473</v>
      </c>
      <c r="AG81" t="b">
        <v>1</v>
      </c>
      <c r="AH81" t="b">
        <v>1</v>
      </c>
      <c r="AI81" t="b">
        <v>1</v>
      </c>
      <c r="AJ81" t="str">
        <f>IF(tblMergedCleaned[[#This Row],[Overall_Rating]]=
    "",
    "Unavailable",
    IF(tblMergedCleaned[[#This Row],[Overall_Rating]]&lt;=
        2,
        "Low (1-2)",
        IF(tblMergedCleaned[[#This Row],[Overall_Rating]]=
            3,
            "Middle (3)",
            "High (4-5)"
        )
    )
)</f>
        <v>High (4-5)</v>
      </c>
      <c r="AK81" cm="1">
        <f t="array" ref="AK81">IF(
    tblMergedCleaned[[#This Row],[Overall_Rating]]="",
    "",
    --(tblMergedCleaned[[#This Row],[Overall_Rating]]&lt;=2)
)</f>
        <v>0</v>
      </c>
      <c r="AL81">
        <f>IF(
    tblMergedCleaned[[#This Row],[Definitely_Recommend_Pct]]="",
    "",
    --(tblMergedCleaned[[#This Row],[Definitely_Recommend_Pct]]&lt;TX_Median_Recommend)
)</f>
        <v>1</v>
      </c>
      <c r="AM81">
        <f>IF(
    tblMergedCleaned[[#This Row],[Readmission_Comparison]]="",
    "",
    --(tblMergedCleaned[[#This Row],[Readmission_Comparison]]="Worse")
)</f>
        <v>1</v>
      </c>
      <c r="AN81">
        <f>COUNT(
    tblMergedCleaned[[#This Row],[Low_Rating_Flag]:[Worse_Readmission_Flag]]
)</f>
        <v>3</v>
      </c>
      <c r="AO81">
        <f>SUM(
    tblMergedCleaned[[#This Row],[Low_Rating_Flag]:[Worse_Readmission_Flag]]
)</f>
        <v>2</v>
      </c>
      <c r="AP8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8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81" s="2">
        <f>IF(
    tblMergedCleaned[[#This Row],[Definitely_Recommend_Pct]]="",
    "",
    tblMergedCleaned[[#This Row],[Definitely_Recommend_Pct]]-TX_Median_Recommend
)</f>
        <v>-4</v>
      </c>
      <c r="AS81" s="2">
        <f>IF(
    tblMergedCleaned[[#This Row],[Readmission_Rate_Pct]]="",
    "",
    tblMergedCleaned[[#This Row],[Readmission_Rate_Pct]]-TX_Median_Readmission
)</f>
        <v>1.2000000000000011</v>
      </c>
    </row>
    <row r="82" spans="1:45">
      <c r="A82" t="s">
        <v>530</v>
      </c>
      <c r="B82" t="s">
        <v>531</v>
      </c>
      <c r="C82" t="s">
        <v>532</v>
      </c>
      <c r="D82" t="s">
        <v>533</v>
      </c>
      <c r="E82" t="s">
        <v>18</v>
      </c>
      <c r="F82" t="s">
        <v>534</v>
      </c>
      <c r="G82" t="s">
        <v>535</v>
      </c>
      <c r="H82" t="s">
        <v>536</v>
      </c>
      <c r="I82" t="s">
        <v>21</v>
      </c>
      <c r="J82" t="s">
        <v>56</v>
      </c>
      <c r="K82" t="s">
        <v>23</v>
      </c>
      <c r="L82">
        <v>3</v>
      </c>
      <c r="M82" t="s">
        <v>42</v>
      </c>
      <c r="N82" t="s">
        <v>25</v>
      </c>
      <c r="O82" s="2">
        <v>75</v>
      </c>
      <c r="P82" s="2">
        <v>75</v>
      </c>
      <c r="Q82" s="2">
        <v>55</v>
      </c>
      <c r="R82" s="2">
        <v>82</v>
      </c>
      <c r="S82" s="2">
        <v>62</v>
      </c>
      <c r="T82" s="2">
        <v>59</v>
      </c>
      <c r="U82" t="s">
        <v>1726</v>
      </c>
      <c r="V82" s="2">
        <v>15</v>
      </c>
      <c r="W82" s="1">
        <v>45474</v>
      </c>
      <c r="X82" s="1">
        <v>45838</v>
      </c>
      <c r="Y82" s="2">
        <v>16.100000000000001</v>
      </c>
      <c r="Z82" t="s">
        <v>1884</v>
      </c>
      <c r="AA82">
        <v>287</v>
      </c>
      <c r="AB82" s="2">
        <v>14.4</v>
      </c>
      <c r="AC82" s="2">
        <v>17.899999999999999</v>
      </c>
      <c r="AD82" t="s">
        <v>25</v>
      </c>
      <c r="AE82" s="1">
        <v>45108</v>
      </c>
      <c r="AF82" s="1">
        <v>45473</v>
      </c>
      <c r="AG82" t="b">
        <v>1</v>
      </c>
      <c r="AH82" t="b">
        <v>1</v>
      </c>
      <c r="AI82" t="b">
        <v>1</v>
      </c>
      <c r="AJ82" t="str">
        <f>IF(tblMergedCleaned[[#This Row],[Overall_Rating]]=
    "",
    "Unavailable",
    IF(tblMergedCleaned[[#This Row],[Overall_Rating]]&lt;=
        2,
        "Low (1-2)",
        IF(tblMergedCleaned[[#This Row],[Overall_Rating]]=
            3,
            "Middle (3)",
            "High (4-5)"
        )
    )
)</f>
        <v>Middle (3)</v>
      </c>
      <c r="AK82" cm="1">
        <f t="array" ref="AK82">IF(
    tblMergedCleaned[[#This Row],[Overall_Rating]]="",
    "",
    --(tblMergedCleaned[[#This Row],[Overall_Rating]]&lt;=2)
)</f>
        <v>0</v>
      </c>
      <c r="AL82">
        <f>IF(
    tblMergedCleaned[[#This Row],[Definitely_Recommend_Pct]]="",
    "",
    --(tblMergedCleaned[[#This Row],[Definitely_Recommend_Pct]]&lt;TX_Median_Recommend)
)</f>
        <v>1</v>
      </c>
      <c r="AM82">
        <f>IF(
    tblMergedCleaned[[#This Row],[Readmission_Comparison]]="",
    "",
    --(tblMergedCleaned[[#This Row],[Readmission_Comparison]]="Worse")
)</f>
        <v>0</v>
      </c>
      <c r="AN82">
        <f>COUNT(
    tblMergedCleaned[[#This Row],[Low_Rating_Flag]:[Worse_Readmission_Flag]]
)</f>
        <v>3</v>
      </c>
      <c r="AO82">
        <f>SUM(
    tblMergedCleaned[[#This Row],[Low_Rating_Flag]:[Worse_Readmission_Flag]]
)</f>
        <v>1</v>
      </c>
      <c r="AP8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8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82" s="2">
        <f>IF(
    tblMergedCleaned[[#This Row],[Definitely_Recommend_Pct]]="",
    "",
    tblMergedCleaned[[#This Row],[Definitely_Recommend_Pct]]-TX_Median_Recommend
)</f>
        <v>-12</v>
      </c>
      <c r="AS82" s="2">
        <f>IF(
    tblMergedCleaned[[#This Row],[Readmission_Rate_Pct]]="",
    "",
    tblMergedCleaned[[#This Row],[Readmission_Rate_Pct]]-TX_Median_Readmission
)</f>
        <v>1.2000000000000011</v>
      </c>
    </row>
    <row r="83" spans="1:45">
      <c r="A83" t="s">
        <v>537</v>
      </c>
      <c r="B83" t="s">
        <v>538</v>
      </c>
      <c r="C83" t="s">
        <v>539</v>
      </c>
      <c r="D83" t="s">
        <v>112</v>
      </c>
      <c r="E83" t="s">
        <v>18</v>
      </c>
      <c r="F83" t="s">
        <v>540</v>
      </c>
      <c r="G83" t="s">
        <v>114</v>
      </c>
      <c r="H83" t="s">
        <v>541</v>
      </c>
      <c r="I83" t="s">
        <v>21</v>
      </c>
      <c r="J83" t="s">
        <v>33</v>
      </c>
      <c r="K83" t="s">
        <v>23</v>
      </c>
      <c r="L83">
        <v>3</v>
      </c>
      <c r="M83" t="s">
        <v>42</v>
      </c>
      <c r="N83" t="s">
        <v>25</v>
      </c>
      <c r="O83" s="2">
        <v>77</v>
      </c>
      <c r="P83" s="2">
        <v>74</v>
      </c>
      <c r="Q83" s="2">
        <v>59</v>
      </c>
      <c r="R83" s="2">
        <v>85</v>
      </c>
      <c r="S83" s="2">
        <v>70</v>
      </c>
      <c r="T83" s="2">
        <v>69</v>
      </c>
      <c r="U83" t="s">
        <v>1727</v>
      </c>
      <c r="V83" s="2">
        <v>12</v>
      </c>
      <c r="W83" s="1">
        <v>45474</v>
      </c>
      <c r="X83" s="1">
        <v>45838</v>
      </c>
      <c r="Y83" s="2">
        <v>15.8</v>
      </c>
      <c r="Z83" t="s">
        <v>1884</v>
      </c>
      <c r="AA83">
        <v>1886</v>
      </c>
      <c r="AB83" s="2">
        <v>14.7</v>
      </c>
      <c r="AC83" s="2">
        <v>17</v>
      </c>
      <c r="AD83" t="s">
        <v>25</v>
      </c>
      <c r="AE83" s="1">
        <v>45108</v>
      </c>
      <c r="AF83" s="1">
        <v>45473</v>
      </c>
      <c r="AG83" t="b">
        <v>1</v>
      </c>
      <c r="AH83" t="b">
        <v>1</v>
      </c>
      <c r="AI83" t="b">
        <v>1</v>
      </c>
      <c r="AJ83" t="str">
        <f>IF(tblMergedCleaned[[#This Row],[Overall_Rating]]=
    "",
    "Unavailable",
    IF(tblMergedCleaned[[#This Row],[Overall_Rating]]&lt;=
        2,
        "Low (1-2)",
        IF(tblMergedCleaned[[#This Row],[Overall_Rating]]=
            3,
            "Middle (3)",
            "High (4-5)"
        )
    )
)</f>
        <v>Middle (3)</v>
      </c>
      <c r="AK83" cm="1">
        <f t="array" ref="AK83">IF(
    tblMergedCleaned[[#This Row],[Overall_Rating]]="",
    "",
    --(tblMergedCleaned[[#This Row],[Overall_Rating]]&lt;=2)
)</f>
        <v>0</v>
      </c>
      <c r="AL83">
        <f>IF(
    tblMergedCleaned[[#This Row],[Definitely_Recommend_Pct]]="",
    "",
    --(tblMergedCleaned[[#This Row],[Definitely_Recommend_Pct]]&lt;TX_Median_Recommend)
)</f>
        <v>1</v>
      </c>
      <c r="AM83">
        <f>IF(
    tblMergedCleaned[[#This Row],[Readmission_Comparison]]="",
    "",
    --(tblMergedCleaned[[#This Row],[Readmission_Comparison]]="Worse")
)</f>
        <v>0</v>
      </c>
      <c r="AN83">
        <f>COUNT(
    tblMergedCleaned[[#This Row],[Low_Rating_Flag]:[Worse_Readmission_Flag]]
)</f>
        <v>3</v>
      </c>
      <c r="AO83">
        <f>SUM(
    tblMergedCleaned[[#This Row],[Low_Rating_Flag]:[Worse_Readmission_Flag]]
)</f>
        <v>1</v>
      </c>
      <c r="AP8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8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83" s="2">
        <f>IF(
    tblMergedCleaned[[#This Row],[Definitely_Recommend_Pct]]="",
    "",
    tblMergedCleaned[[#This Row],[Definitely_Recommend_Pct]]-TX_Median_Recommend
)</f>
        <v>-2</v>
      </c>
      <c r="AS83" s="2">
        <f>IF(
    tblMergedCleaned[[#This Row],[Readmission_Rate_Pct]]="",
    "",
    tblMergedCleaned[[#This Row],[Readmission_Rate_Pct]]-TX_Median_Readmission
)</f>
        <v>0.90000000000000036</v>
      </c>
    </row>
    <row r="84" spans="1:45">
      <c r="A84" t="s">
        <v>542</v>
      </c>
      <c r="B84" t="s">
        <v>543</v>
      </c>
      <c r="C84" t="s">
        <v>544</v>
      </c>
      <c r="D84" t="s">
        <v>545</v>
      </c>
      <c r="E84" t="s">
        <v>18</v>
      </c>
      <c r="F84" t="s">
        <v>546</v>
      </c>
      <c r="G84" t="s">
        <v>547</v>
      </c>
      <c r="H84" t="s">
        <v>548</v>
      </c>
      <c r="I84" t="s">
        <v>21</v>
      </c>
      <c r="J84" t="s">
        <v>33</v>
      </c>
      <c r="K84" t="s">
        <v>23</v>
      </c>
      <c r="L84">
        <v>2</v>
      </c>
      <c r="M84" t="s">
        <v>24</v>
      </c>
      <c r="N84" t="s">
        <v>25</v>
      </c>
      <c r="O84" s="2">
        <v>75</v>
      </c>
      <c r="P84" s="2">
        <v>77</v>
      </c>
      <c r="Q84" s="2">
        <v>58</v>
      </c>
      <c r="R84" s="2">
        <v>86</v>
      </c>
      <c r="S84" s="2">
        <v>66</v>
      </c>
      <c r="T84" s="2">
        <v>63</v>
      </c>
      <c r="U84" t="s">
        <v>1728</v>
      </c>
      <c r="V84" s="2">
        <v>18</v>
      </c>
      <c r="W84" s="1">
        <v>45474</v>
      </c>
      <c r="X84" s="1">
        <v>45838</v>
      </c>
      <c r="Y84" s="2">
        <v>15.4</v>
      </c>
      <c r="Z84" t="s">
        <v>1884</v>
      </c>
      <c r="AA84">
        <v>467</v>
      </c>
      <c r="AB84" s="2">
        <v>13.8</v>
      </c>
      <c r="AC84" s="2">
        <v>17.100000000000001</v>
      </c>
      <c r="AD84" t="s">
        <v>25</v>
      </c>
      <c r="AE84" s="1">
        <v>45108</v>
      </c>
      <c r="AF84" s="1">
        <v>45473</v>
      </c>
      <c r="AG84" t="b">
        <v>1</v>
      </c>
      <c r="AH84" t="b">
        <v>1</v>
      </c>
      <c r="AI84" t="b">
        <v>1</v>
      </c>
      <c r="AJ84" t="str">
        <f>IF(tblMergedCleaned[[#This Row],[Overall_Rating]]=
    "",
    "Unavailable",
    IF(tblMergedCleaned[[#This Row],[Overall_Rating]]&lt;=
        2,
        "Low (1-2)",
        IF(tblMergedCleaned[[#This Row],[Overall_Rating]]=
            3,
            "Middle (3)",
            "High (4-5)"
        )
    )
)</f>
        <v>Low (1-2)</v>
      </c>
      <c r="AK84" cm="1">
        <f t="array" ref="AK84">IF(
    tblMergedCleaned[[#This Row],[Overall_Rating]]="",
    "",
    --(tblMergedCleaned[[#This Row],[Overall_Rating]]&lt;=2)
)</f>
        <v>1</v>
      </c>
      <c r="AL84">
        <f>IF(
    tblMergedCleaned[[#This Row],[Definitely_Recommend_Pct]]="",
    "",
    --(tblMergedCleaned[[#This Row],[Definitely_Recommend_Pct]]&lt;TX_Median_Recommend)
)</f>
        <v>1</v>
      </c>
      <c r="AM84">
        <f>IF(
    tblMergedCleaned[[#This Row],[Readmission_Comparison]]="",
    "",
    --(tblMergedCleaned[[#This Row],[Readmission_Comparison]]="Worse")
)</f>
        <v>0</v>
      </c>
      <c r="AN84">
        <f>COUNT(
    tblMergedCleaned[[#This Row],[Low_Rating_Flag]:[Worse_Readmission_Flag]]
)</f>
        <v>3</v>
      </c>
      <c r="AO84">
        <f>SUM(
    tblMergedCleaned[[#This Row],[Low_Rating_Flag]:[Worse_Readmission_Flag]]
)</f>
        <v>2</v>
      </c>
      <c r="AP8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8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84" s="2">
        <f>IF(
    tblMergedCleaned[[#This Row],[Definitely_Recommend_Pct]]="",
    "",
    tblMergedCleaned[[#This Row],[Definitely_Recommend_Pct]]-TX_Median_Recommend
)</f>
        <v>-8</v>
      </c>
      <c r="AS84" s="2">
        <f>IF(
    tblMergedCleaned[[#This Row],[Readmission_Rate_Pct]]="",
    "",
    tblMergedCleaned[[#This Row],[Readmission_Rate_Pct]]-TX_Median_Readmission
)</f>
        <v>0.5</v>
      </c>
    </row>
    <row r="85" spans="1:45">
      <c r="A85" t="s">
        <v>549</v>
      </c>
      <c r="B85" t="s">
        <v>550</v>
      </c>
      <c r="C85" t="s">
        <v>551</v>
      </c>
      <c r="D85" t="s">
        <v>552</v>
      </c>
      <c r="E85" t="s">
        <v>18</v>
      </c>
      <c r="F85" t="s">
        <v>553</v>
      </c>
      <c r="G85" t="s">
        <v>554</v>
      </c>
      <c r="H85" t="s">
        <v>555</v>
      </c>
      <c r="I85" t="s">
        <v>21</v>
      </c>
      <c r="J85" t="s">
        <v>33</v>
      </c>
      <c r="K85" t="s">
        <v>23</v>
      </c>
      <c r="L85">
        <v>4</v>
      </c>
      <c r="M85" t="s">
        <v>34</v>
      </c>
      <c r="N85" t="s">
        <v>25</v>
      </c>
      <c r="O85" s="2">
        <v>86</v>
      </c>
      <c r="P85" s="2">
        <v>83</v>
      </c>
      <c r="Q85" s="2">
        <v>67</v>
      </c>
      <c r="R85" s="2">
        <v>90</v>
      </c>
      <c r="S85" s="2">
        <v>75</v>
      </c>
      <c r="T85" s="2">
        <v>74</v>
      </c>
      <c r="U85" t="s">
        <v>1729</v>
      </c>
      <c r="V85" s="2">
        <v>18</v>
      </c>
      <c r="W85" s="1">
        <v>45474</v>
      </c>
      <c r="X85" s="1">
        <v>45838</v>
      </c>
      <c r="Y85" s="2">
        <v>14.8</v>
      </c>
      <c r="Z85" t="s">
        <v>1884</v>
      </c>
      <c r="AA85">
        <v>307</v>
      </c>
      <c r="AB85" s="2">
        <v>13.1</v>
      </c>
      <c r="AC85" s="2">
        <v>16.600000000000001</v>
      </c>
      <c r="AD85" t="s">
        <v>25</v>
      </c>
      <c r="AE85" s="1">
        <v>45108</v>
      </c>
      <c r="AF85" s="1">
        <v>45473</v>
      </c>
      <c r="AG85" t="b">
        <v>1</v>
      </c>
      <c r="AH85" t="b">
        <v>1</v>
      </c>
      <c r="AI85" t="b">
        <v>1</v>
      </c>
      <c r="AJ85" t="str">
        <f>IF(tblMergedCleaned[[#This Row],[Overall_Rating]]=
    "",
    "Unavailable",
    IF(tblMergedCleaned[[#This Row],[Overall_Rating]]&lt;=
        2,
        "Low (1-2)",
        IF(tblMergedCleaned[[#This Row],[Overall_Rating]]=
            3,
            "Middle (3)",
            "High (4-5)"
        )
    )
)</f>
        <v>High (4-5)</v>
      </c>
      <c r="AK85" cm="1">
        <f t="array" ref="AK85">IF(
    tblMergedCleaned[[#This Row],[Overall_Rating]]="",
    "",
    --(tblMergedCleaned[[#This Row],[Overall_Rating]]&lt;=2)
)</f>
        <v>0</v>
      </c>
      <c r="AL85">
        <f>IF(
    tblMergedCleaned[[#This Row],[Definitely_Recommend_Pct]]="",
    "",
    --(tblMergedCleaned[[#This Row],[Definitely_Recommend_Pct]]&lt;TX_Median_Recommend)
)</f>
        <v>0</v>
      </c>
      <c r="AM85">
        <f>IF(
    tblMergedCleaned[[#This Row],[Readmission_Comparison]]="",
    "",
    --(tblMergedCleaned[[#This Row],[Readmission_Comparison]]="Worse")
)</f>
        <v>0</v>
      </c>
      <c r="AN85">
        <f>COUNT(
    tblMergedCleaned[[#This Row],[Low_Rating_Flag]:[Worse_Readmission_Flag]]
)</f>
        <v>3</v>
      </c>
      <c r="AO85">
        <f>SUM(
    tblMergedCleaned[[#This Row],[Low_Rating_Flag]:[Worse_Readmission_Flag]]
)</f>
        <v>0</v>
      </c>
      <c r="AP8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8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85" s="2">
        <f>IF(
    tblMergedCleaned[[#This Row],[Definitely_Recommend_Pct]]="",
    "",
    tblMergedCleaned[[#This Row],[Definitely_Recommend_Pct]]-TX_Median_Recommend
)</f>
        <v>3</v>
      </c>
      <c r="AS85" s="2">
        <f>IF(
    tblMergedCleaned[[#This Row],[Readmission_Rate_Pct]]="",
    "",
    tblMergedCleaned[[#This Row],[Readmission_Rate_Pct]]-TX_Median_Readmission
)</f>
        <v>-9.9999999999999645E-2</v>
      </c>
    </row>
    <row r="86" spans="1:45">
      <c r="A86" t="s">
        <v>556</v>
      </c>
      <c r="B86" t="s">
        <v>557</v>
      </c>
      <c r="C86" t="s">
        <v>558</v>
      </c>
      <c r="D86" t="s">
        <v>559</v>
      </c>
      <c r="E86" t="s">
        <v>18</v>
      </c>
      <c r="F86" t="s">
        <v>560</v>
      </c>
      <c r="G86" t="s">
        <v>561</v>
      </c>
      <c r="H86" t="s">
        <v>562</v>
      </c>
      <c r="I86" t="s">
        <v>21</v>
      </c>
      <c r="J86" t="s">
        <v>56</v>
      </c>
      <c r="K86" t="s">
        <v>23</v>
      </c>
      <c r="L86">
        <v>2</v>
      </c>
      <c r="M86" t="s">
        <v>24</v>
      </c>
      <c r="N86" t="s">
        <v>25</v>
      </c>
      <c r="O86" s="2">
        <v>73</v>
      </c>
      <c r="P86" s="2">
        <v>73</v>
      </c>
      <c r="Q86" s="2">
        <v>53</v>
      </c>
      <c r="R86" s="2">
        <v>84</v>
      </c>
      <c r="S86" s="2">
        <v>63</v>
      </c>
      <c r="T86" s="2">
        <v>63</v>
      </c>
      <c r="U86" t="s">
        <v>1730</v>
      </c>
      <c r="V86" s="2">
        <v>15</v>
      </c>
      <c r="W86" s="1">
        <v>45474</v>
      </c>
      <c r="X86" s="1">
        <v>45838</v>
      </c>
      <c r="Y86" s="2">
        <v>16.2</v>
      </c>
      <c r="Z86" t="s">
        <v>1884</v>
      </c>
      <c r="AA86">
        <v>1405</v>
      </c>
      <c r="AB86" s="2">
        <v>15</v>
      </c>
      <c r="AC86" s="2">
        <v>17.5</v>
      </c>
      <c r="AD86" t="s">
        <v>25</v>
      </c>
      <c r="AE86" s="1">
        <v>45108</v>
      </c>
      <c r="AF86" s="1">
        <v>45473</v>
      </c>
      <c r="AG86" t="b">
        <v>1</v>
      </c>
      <c r="AH86" t="b">
        <v>1</v>
      </c>
      <c r="AI86" t="b">
        <v>1</v>
      </c>
      <c r="AJ86" t="str">
        <f>IF(tblMergedCleaned[[#This Row],[Overall_Rating]]=
    "",
    "Unavailable",
    IF(tblMergedCleaned[[#This Row],[Overall_Rating]]&lt;=
        2,
        "Low (1-2)",
        IF(tblMergedCleaned[[#This Row],[Overall_Rating]]=
            3,
            "Middle (3)",
            "High (4-5)"
        )
    )
)</f>
        <v>Low (1-2)</v>
      </c>
      <c r="AK86" cm="1">
        <f t="array" ref="AK86">IF(
    tblMergedCleaned[[#This Row],[Overall_Rating]]="",
    "",
    --(tblMergedCleaned[[#This Row],[Overall_Rating]]&lt;=2)
)</f>
        <v>1</v>
      </c>
      <c r="AL86">
        <f>IF(
    tblMergedCleaned[[#This Row],[Definitely_Recommend_Pct]]="",
    "",
    --(tblMergedCleaned[[#This Row],[Definitely_Recommend_Pct]]&lt;TX_Median_Recommend)
)</f>
        <v>1</v>
      </c>
      <c r="AM86">
        <f>IF(
    tblMergedCleaned[[#This Row],[Readmission_Comparison]]="",
    "",
    --(tblMergedCleaned[[#This Row],[Readmission_Comparison]]="Worse")
)</f>
        <v>0</v>
      </c>
      <c r="AN86">
        <f>COUNT(
    tblMergedCleaned[[#This Row],[Low_Rating_Flag]:[Worse_Readmission_Flag]]
)</f>
        <v>3</v>
      </c>
      <c r="AO86">
        <f>SUM(
    tblMergedCleaned[[#This Row],[Low_Rating_Flag]:[Worse_Readmission_Flag]]
)</f>
        <v>2</v>
      </c>
      <c r="AP8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8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86" s="2">
        <f>IF(
    tblMergedCleaned[[#This Row],[Definitely_Recommend_Pct]]="",
    "",
    tblMergedCleaned[[#This Row],[Definitely_Recommend_Pct]]-TX_Median_Recommend
)</f>
        <v>-8</v>
      </c>
      <c r="AS86" s="2">
        <f>IF(
    tblMergedCleaned[[#This Row],[Readmission_Rate_Pct]]="",
    "",
    tblMergedCleaned[[#This Row],[Readmission_Rate_Pct]]-TX_Median_Readmission
)</f>
        <v>1.2999999999999989</v>
      </c>
    </row>
    <row r="87" spans="1:45">
      <c r="A87" t="s">
        <v>563</v>
      </c>
      <c r="B87" t="s">
        <v>564</v>
      </c>
      <c r="C87" t="s">
        <v>565</v>
      </c>
      <c r="D87" t="s">
        <v>119</v>
      </c>
      <c r="E87" t="s">
        <v>18</v>
      </c>
      <c r="F87" t="s">
        <v>201</v>
      </c>
      <c r="G87" t="s">
        <v>121</v>
      </c>
      <c r="H87" t="s">
        <v>566</v>
      </c>
      <c r="I87" t="s">
        <v>21</v>
      </c>
      <c r="J87" t="s">
        <v>33</v>
      </c>
      <c r="K87" t="s">
        <v>23</v>
      </c>
      <c r="L87">
        <v>5</v>
      </c>
      <c r="M87" t="s">
        <v>168</v>
      </c>
      <c r="N87" t="s">
        <v>25</v>
      </c>
      <c r="O87" s="2">
        <v>78</v>
      </c>
      <c r="P87" s="2">
        <v>81</v>
      </c>
      <c r="Q87" s="2">
        <v>60</v>
      </c>
      <c r="R87" s="2">
        <v>88</v>
      </c>
      <c r="S87" s="2">
        <v>79</v>
      </c>
      <c r="T87" s="2">
        <v>82</v>
      </c>
      <c r="U87" t="s">
        <v>1731</v>
      </c>
      <c r="V87" s="2">
        <v>20</v>
      </c>
      <c r="W87" s="1">
        <v>45474</v>
      </c>
      <c r="X87" s="1">
        <v>45838</v>
      </c>
      <c r="Y87" s="2">
        <v>14.2</v>
      </c>
      <c r="Z87" t="s">
        <v>1885</v>
      </c>
      <c r="AA87">
        <v>8382</v>
      </c>
      <c r="AB87" s="2">
        <v>13.6</v>
      </c>
      <c r="AC87" s="2">
        <v>14.8</v>
      </c>
      <c r="AD87" t="s">
        <v>25</v>
      </c>
      <c r="AE87" s="1">
        <v>45108</v>
      </c>
      <c r="AF87" s="1">
        <v>45473</v>
      </c>
      <c r="AG87" t="b">
        <v>1</v>
      </c>
      <c r="AH87" t="b">
        <v>1</v>
      </c>
      <c r="AI87" t="b">
        <v>1</v>
      </c>
      <c r="AJ87" t="str">
        <f>IF(tblMergedCleaned[[#This Row],[Overall_Rating]]=
    "",
    "Unavailable",
    IF(tblMergedCleaned[[#This Row],[Overall_Rating]]&lt;=
        2,
        "Low (1-2)",
        IF(tblMergedCleaned[[#This Row],[Overall_Rating]]=
            3,
            "Middle (3)",
            "High (4-5)"
        )
    )
)</f>
        <v>High (4-5)</v>
      </c>
      <c r="AK87" cm="1">
        <f t="array" ref="AK87">IF(
    tblMergedCleaned[[#This Row],[Overall_Rating]]="",
    "",
    --(tblMergedCleaned[[#This Row],[Overall_Rating]]&lt;=2)
)</f>
        <v>0</v>
      </c>
      <c r="AL87">
        <f>IF(
    tblMergedCleaned[[#This Row],[Definitely_Recommend_Pct]]="",
    "",
    --(tblMergedCleaned[[#This Row],[Definitely_Recommend_Pct]]&lt;TX_Median_Recommend)
)</f>
        <v>0</v>
      </c>
      <c r="AM87">
        <f>IF(
    tblMergedCleaned[[#This Row],[Readmission_Comparison]]="",
    "",
    --(tblMergedCleaned[[#This Row],[Readmission_Comparison]]="Worse")
)</f>
        <v>0</v>
      </c>
      <c r="AN87">
        <f>COUNT(
    tblMergedCleaned[[#This Row],[Low_Rating_Flag]:[Worse_Readmission_Flag]]
)</f>
        <v>3</v>
      </c>
      <c r="AO87">
        <f>SUM(
    tblMergedCleaned[[#This Row],[Low_Rating_Flag]:[Worse_Readmission_Flag]]
)</f>
        <v>0</v>
      </c>
      <c r="AP8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8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87" s="2">
        <f>IF(
    tblMergedCleaned[[#This Row],[Definitely_Recommend_Pct]]="",
    "",
    tblMergedCleaned[[#This Row],[Definitely_Recommend_Pct]]-TX_Median_Recommend
)</f>
        <v>11</v>
      </c>
      <c r="AS87" s="2">
        <f>IF(
    tblMergedCleaned[[#This Row],[Readmission_Rate_Pct]]="",
    "",
    tblMergedCleaned[[#This Row],[Readmission_Rate_Pct]]-TX_Median_Readmission
)</f>
        <v>-0.70000000000000107</v>
      </c>
    </row>
    <row r="88" spans="1:45">
      <c r="A88" t="s">
        <v>567</v>
      </c>
      <c r="B88" t="s">
        <v>568</v>
      </c>
      <c r="C88" t="s">
        <v>569</v>
      </c>
      <c r="D88" t="s">
        <v>570</v>
      </c>
      <c r="E88" t="s">
        <v>18</v>
      </c>
      <c r="F88" t="s">
        <v>571</v>
      </c>
      <c r="G88" t="s">
        <v>570</v>
      </c>
      <c r="H88" t="s">
        <v>572</v>
      </c>
      <c r="I88" t="s">
        <v>21</v>
      </c>
      <c r="J88" t="s">
        <v>56</v>
      </c>
      <c r="K88" t="s">
        <v>23</v>
      </c>
      <c r="M88" t="s">
        <v>176</v>
      </c>
      <c r="N88" t="s">
        <v>177</v>
      </c>
      <c r="O88" s="2">
        <v>96</v>
      </c>
      <c r="P88" s="2">
        <v>98</v>
      </c>
      <c r="Q88" s="2">
        <v>91</v>
      </c>
      <c r="R88" s="2">
        <v>90</v>
      </c>
      <c r="S88" s="2">
        <v>92</v>
      </c>
      <c r="T88" s="2">
        <v>92</v>
      </c>
      <c r="U88" t="s">
        <v>1732</v>
      </c>
      <c r="V88" s="2">
        <v>23</v>
      </c>
      <c r="W88" s="1">
        <v>45474</v>
      </c>
      <c r="X88" s="1">
        <v>45838</v>
      </c>
      <c r="Y88" s="2">
        <v>14.5</v>
      </c>
      <c r="Z88" t="s">
        <v>1884</v>
      </c>
      <c r="AA88">
        <v>115</v>
      </c>
      <c r="AB88" s="2">
        <v>12.6</v>
      </c>
      <c r="AC88" s="2">
        <v>16.600000000000001</v>
      </c>
      <c r="AD88" t="s">
        <v>25</v>
      </c>
      <c r="AE88" s="1">
        <v>45108</v>
      </c>
      <c r="AF88" s="1">
        <v>45473</v>
      </c>
      <c r="AG88" t="b">
        <v>0</v>
      </c>
      <c r="AH88" t="b">
        <v>1</v>
      </c>
      <c r="AI88" t="b">
        <v>1</v>
      </c>
      <c r="AJ88" t="str">
        <f>IF(tblMergedCleaned[[#This Row],[Overall_Rating]]=
    "",
    "Unavailable",
    IF(tblMergedCleaned[[#This Row],[Overall_Rating]]&lt;=
        2,
        "Low (1-2)",
        IF(tblMergedCleaned[[#This Row],[Overall_Rating]]=
            3,
            "Middle (3)",
            "High (4-5)"
        )
    )
)</f>
        <v>Unavailable</v>
      </c>
      <c r="AK88" t="str" cm="1">
        <f t="array" ref="AK88">IF(
    tblMergedCleaned[[#This Row],[Overall_Rating]]="",
    "",
    --(tblMergedCleaned[[#This Row],[Overall_Rating]]&lt;=2)
)</f>
        <v/>
      </c>
      <c r="AL88">
        <f>IF(
    tblMergedCleaned[[#This Row],[Definitely_Recommend_Pct]]="",
    "",
    --(tblMergedCleaned[[#This Row],[Definitely_Recommend_Pct]]&lt;TX_Median_Recommend)
)</f>
        <v>0</v>
      </c>
      <c r="AM88">
        <f>IF(
    tblMergedCleaned[[#This Row],[Readmission_Comparison]]="",
    "",
    --(tblMergedCleaned[[#This Row],[Readmission_Comparison]]="Worse")
)</f>
        <v>0</v>
      </c>
      <c r="AN88">
        <f>COUNT(
    tblMergedCleaned[[#This Row],[Low_Rating_Flag]:[Worse_Readmission_Flag]]
)</f>
        <v>2</v>
      </c>
      <c r="AO88">
        <f>SUM(
    tblMergedCleaned[[#This Row],[Low_Rating_Flag]:[Worse_Readmission_Flag]]
)</f>
        <v>0</v>
      </c>
      <c r="AP8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8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88" s="2">
        <f>IF(
    tblMergedCleaned[[#This Row],[Definitely_Recommend_Pct]]="",
    "",
    tblMergedCleaned[[#This Row],[Definitely_Recommend_Pct]]-TX_Median_Recommend
)</f>
        <v>21</v>
      </c>
      <c r="AS88" s="2">
        <f>IF(
    tblMergedCleaned[[#This Row],[Readmission_Rate_Pct]]="",
    "",
    tblMergedCleaned[[#This Row],[Readmission_Rate_Pct]]-TX_Median_Readmission
)</f>
        <v>-0.40000000000000036</v>
      </c>
    </row>
    <row r="89" spans="1:45">
      <c r="A89" t="s">
        <v>573</v>
      </c>
      <c r="B89" t="s">
        <v>574</v>
      </c>
      <c r="C89" t="s">
        <v>575</v>
      </c>
      <c r="D89" t="s">
        <v>576</v>
      </c>
      <c r="E89" t="s">
        <v>18</v>
      </c>
      <c r="F89" t="s">
        <v>577</v>
      </c>
      <c r="G89" t="s">
        <v>578</v>
      </c>
      <c r="H89" t="s">
        <v>579</v>
      </c>
      <c r="I89" t="s">
        <v>21</v>
      </c>
      <c r="J89" t="s">
        <v>33</v>
      </c>
      <c r="K89" t="s">
        <v>23</v>
      </c>
      <c r="L89">
        <v>2</v>
      </c>
      <c r="M89" t="s">
        <v>24</v>
      </c>
      <c r="N89" t="s">
        <v>25</v>
      </c>
      <c r="O89" s="2">
        <v>79</v>
      </c>
      <c r="P89" s="2">
        <v>77</v>
      </c>
      <c r="Q89" s="2">
        <v>62</v>
      </c>
      <c r="R89" s="2">
        <v>83</v>
      </c>
      <c r="S89" s="2">
        <v>73</v>
      </c>
      <c r="T89" s="2">
        <v>73</v>
      </c>
      <c r="U89" t="s">
        <v>1733</v>
      </c>
      <c r="V89" s="2">
        <v>22</v>
      </c>
      <c r="W89" s="1">
        <v>45474</v>
      </c>
      <c r="X89" s="1">
        <v>45838</v>
      </c>
      <c r="Y89" s="2">
        <v>14.9</v>
      </c>
      <c r="Z89" t="s">
        <v>1884</v>
      </c>
      <c r="AA89">
        <v>179</v>
      </c>
      <c r="AB89" s="2">
        <v>13.3</v>
      </c>
      <c r="AC89" s="2">
        <v>16.899999999999999</v>
      </c>
      <c r="AD89" t="s">
        <v>25</v>
      </c>
      <c r="AE89" s="1">
        <v>45108</v>
      </c>
      <c r="AF89" s="1">
        <v>45473</v>
      </c>
      <c r="AG89" t="b">
        <v>1</v>
      </c>
      <c r="AH89" t="b">
        <v>1</v>
      </c>
      <c r="AI89" t="b">
        <v>1</v>
      </c>
      <c r="AJ89" t="str">
        <f>IF(tblMergedCleaned[[#This Row],[Overall_Rating]]=
    "",
    "Unavailable",
    IF(tblMergedCleaned[[#This Row],[Overall_Rating]]&lt;=
        2,
        "Low (1-2)",
        IF(tblMergedCleaned[[#This Row],[Overall_Rating]]=
            3,
            "Middle (3)",
            "High (4-5)"
        )
    )
)</f>
        <v>Low (1-2)</v>
      </c>
      <c r="AK89" cm="1">
        <f t="array" ref="AK89">IF(
    tblMergedCleaned[[#This Row],[Overall_Rating]]="",
    "",
    --(tblMergedCleaned[[#This Row],[Overall_Rating]]&lt;=2)
)</f>
        <v>1</v>
      </c>
      <c r="AL89">
        <f>IF(
    tblMergedCleaned[[#This Row],[Definitely_Recommend_Pct]]="",
    "",
    --(tblMergedCleaned[[#This Row],[Definitely_Recommend_Pct]]&lt;TX_Median_Recommend)
)</f>
        <v>0</v>
      </c>
      <c r="AM89">
        <f>IF(
    tblMergedCleaned[[#This Row],[Readmission_Comparison]]="",
    "",
    --(tblMergedCleaned[[#This Row],[Readmission_Comparison]]="Worse")
)</f>
        <v>0</v>
      </c>
      <c r="AN89">
        <f>COUNT(
    tblMergedCleaned[[#This Row],[Low_Rating_Flag]:[Worse_Readmission_Flag]]
)</f>
        <v>3</v>
      </c>
      <c r="AO89">
        <f>SUM(
    tblMergedCleaned[[#This Row],[Low_Rating_Flag]:[Worse_Readmission_Flag]]
)</f>
        <v>1</v>
      </c>
      <c r="AP8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8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89" s="2">
        <f>IF(
    tblMergedCleaned[[#This Row],[Definitely_Recommend_Pct]]="",
    "",
    tblMergedCleaned[[#This Row],[Definitely_Recommend_Pct]]-TX_Median_Recommend
)</f>
        <v>2</v>
      </c>
      <c r="AS89" s="2">
        <f>IF(
    tblMergedCleaned[[#This Row],[Readmission_Rate_Pct]]="",
    "",
    tblMergedCleaned[[#This Row],[Readmission_Rate_Pct]]-TX_Median_Readmission
)</f>
        <v>0</v>
      </c>
    </row>
    <row r="90" spans="1:45">
      <c r="A90" t="s">
        <v>580</v>
      </c>
      <c r="B90" t="s">
        <v>581</v>
      </c>
      <c r="C90" t="s">
        <v>582</v>
      </c>
      <c r="D90" t="s">
        <v>583</v>
      </c>
      <c r="E90" t="s">
        <v>18</v>
      </c>
      <c r="F90" t="s">
        <v>584</v>
      </c>
      <c r="G90" t="s">
        <v>585</v>
      </c>
      <c r="H90" t="s">
        <v>586</v>
      </c>
      <c r="I90" t="s">
        <v>21</v>
      </c>
      <c r="J90" t="s">
        <v>33</v>
      </c>
      <c r="K90" t="s">
        <v>23</v>
      </c>
      <c r="L90">
        <v>4</v>
      </c>
      <c r="M90" t="s">
        <v>34</v>
      </c>
      <c r="N90" t="s">
        <v>25</v>
      </c>
      <c r="O90" s="2">
        <v>81</v>
      </c>
      <c r="P90" s="2">
        <v>79</v>
      </c>
      <c r="Q90" s="2">
        <v>62</v>
      </c>
      <c r="R90" s="2">
        <v>88</v>
      </c>
      <c r="S90" s="2">
        <v>78</v>
      </c>
      <c r="T90" s="2">
        <v>78</v>
      </c>
      <c r="U90" t="s">
        <v>1734</v>
      </c>
      <c r="V90" s="2">
        <v>15</v>
      </c>
      <c r="W90" s="1">
        <v>45474</v>
      </c>
      <c r="X90" s="1">
        <v>45838</v>
      </c>
      <c r="Y90" s="2">
        <v>15.6</v>
      </c>
      <c r="Z90" t="s">
        <v>1884</v>
      </c>
      <c r="AA90">
        <v>1611</v>
      </c>
      <c r="AB90" s="2">
        <v>14.5</v>
      </c>
      <c r="AC90" s="2">
        <v>16.8</v>
      </c>
      <c r="AD90" t="s">
        <v>25</v>
      </c>
      <c r="AE90" s="1">
        <v>45108</v>
      </c>
      <c r="AF90" s="1">
        <v>45473</v>
      </c>
      <c r="AG90" t="b">
        <v>1</v>
      </c>
      <c r="AH90" t="b">
        <v>1</v>
      </c>
      <c r="AI90" t="b">
        <v>1</v>
      </c>
      <c r="AJ90" t="str">
        <f>IF(tblMergedCleaned[[#This Row],[Overall_Rating]]=
    "",
    "Unavailable",
    IF(tblMergedCleaned[[#This Row],[Overall_Rating]]&lt;=
        2,
        "Low (1-2)",
        IF(tblMergedCleaned[[#This Row],[Overall_Rating]]=
            3,
            "Middle (3)",
            "High (4-5)"
        )
    )
)</f>
        <v>High (4-5)</v>
      </c>
      <c r="AK90" cm="1">
        <f t="array" ref="AK90">IF(
    tblMergedCleaned[[#This Row],[Overall_Rating]]="",
    "",
    --(tblMergedCleaned[[#This Row],[Overall_Rating]]&lt;=2)
)</f>
        <v>0</v>
      </c>
      <c r="AL90">
        <f>IF(
    tblMergedCleaned[[#This Row],[Definitely_Recommend_Pct]]="",
    "",
    --(tblMergedCleaned[[#This Row],[Definitely_Recommend_Pct]]&lt;TX_Median_Recommend)
)</f>
        <v>0</v>
      </c>
      <c r="AM90">
        <f>IF(
    tblMergedCleaned[[#This Row],[Readmission_Comparison]]="",
    "",
    --(tblMergedCleaned[[#This Row],[Readmission_Comparison]]="Worse")
)</f>
        <v>0</v>
      </c>
      <c r="AN90">
        <f>COUNT(
    tblMergedCleaned[[#This Row],[Low_Rating_Flag]:[Worse_Readmission_Flag]]
)</f>
        <v>3</v>
      </c>
      <c r="AO90">
        <f>SUM(
    tblMergedCleaned[[#This Row],[Low_Rating_Flag]:[Worse_Readmission_Flag]]
)</f>
        <v>0</v>
      </c>
      <c r="AP9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9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90" s="2">
        <f>IF(
    tblMergedCleaned[[#This Row],[Definitely_Recommend_Pct]]="",
    "",
    tblMergedCleaned[[#This Row],[Definitely_Recommend_Pct]]-TX_Median_Recommend
)</f>
        <v>7</v>
      </c>
      <c r="AS90" s="2">
        <f>IF(
    tblMergedCleaned[[#This Row],[Readmission_Rate_Pct]]="",
    "",
    tblMergedCleaned[[#This Row],[Readmission_Rate_Pct]]-TX_Median_Readmission
)</f>
        <v>0.69999999999999929</v>
      </c>
    </row>
    <row r="91" spans="1:45">
      <c r="A91" t="s">
        <v>587</v>
      </c>
      <c r="B91" t="s">
        <v>588</v>
      </c>
      <c r="C91" t="s">
        <v>589</v>
      </c>
      <c r="D91" t="s">
        <v>53</v>
      </c>
      <c r="E91" t="s">
        <v>18</v>
      </c>
      <c r="F91" t="s">
        <v>590</v>
      </c>
      <c r="G91" t="s">
        <v>53</v>
      </c>
      <c r="H91" t="s">
        <v>591</v>
      </c>
      <c r="I91" t="s">
        <v>21</v>
      </c>
      <c r="J91" t="s">
        <v>22</v>
      </c>
      <c r="K91" t="s">
        <v>23</v>
      </c>
      <c r="L91">
        <v>3</v>
      </c>
      <c r="M91" t="s">
        <v>42</v>
      </c>
      <c r="N91" t="s">
        <v>25</v>
      </c>
      <c r="O91" s="2">
        <v>75</v>
      </c>
      <c r="P91" s="2">
        <v>71</v>
      </c>
      <c r="Q91" s="2">
        <v>60</v>
      </c>
      <c r="R91" s="2">
        <v>81</v>
      </c>
      <c r="S91" s="2">
        <v>59</v>
      </c>
      <c r="T91" s="2">
        <v>62</v>
      </c>
      <c r="U91" t="s">
        <v>1735</v>
      </c>
      <c r="V91" s="2">
        <v>24</v>
      </c>
      <c r="W91" s="1">
        <v>45474</v>
      </c>
      <c r="X91" s="1">
        <v>45838</v>
      </c>
      <c r="Y91" s="2">
        <v>13.7</v>
      </c>
      <c r="Z91" t="s">
        <v>1884</v>
      </c>
      <c r="AA91">
        <v>192</v>
      </c>
      <c r="AB91" s="2">
        <v>11.9</v>
      </c>
      <c r="AC91" s="2">
        <v>15.9</v>
      </c>
      <c r="AD91" t="s">
        <v>25</v>
      </c>
      <c r="AE91" s="1">
        <v>45108</v>
      </c>
      <c r="AF91" s="1">
        <v>45473</v>
      </c>
      <c r="AG91" t="b">
        <v>1</v>
      </c>
      <c r="AH91" t="b">
        <v>1</v>
      </c>
      <c r="AI91" t="b">
        <v>1</v>
      </c>
      <c r="AJ91" t="str">
        <f>IF(tblMergedCleaned[[#This Row],[Overall_Rating]]=
    "",
    "Unavailable",
    IF(tblMergedCleaned[[#This Row],[Overall_Rating]]&lt;=
        2,
        "Low (1-2)",
        IF(tblMergedCleaned[[#This Row],[Overall_Rating]]=
            3,
            "Middle (3)",
            "High (4-5)"
        )
    )
)</f>
        <v>Middle (3)</v>
      </c>
      <c r="AK91" cm="1">
        <f t="array" ref="AK91">IF(
    tblMergedCleaned[[#This Row],[Overall_Rating]]="",
    "",
    --(tblMergedCleaned[[#This Row],[Overall_Rating]]&lt;=2)
)</f>
        <v>0</v>
      </c>
      <c r="AL91">
        <f>IF(
    tblMergedCleaned[[#This Row],[Definitely_Recommend_Pct]]="",
    "",
    --(tblMergedCleaned[[#This Row],[Definitely_Recommend_Pct]]&lt;TX_Median_Recommend)
)</f>
        <v>1</v>
      </c>
      <c r="AM91">
        <f>IF(
    tblMergedCleaned[[#This Row],[Readmission_Comparison]]="",
    "",
    --(tblMergedCleaned[[#This Row],[Readmission_Comparison]]="Worse")
)</f>
        <v>0</v>
      </c>
      <c r="AN91">
        <f>COUNT(
    tblMergedCleaned[[#This Row],[Low_Rating_Flag]:[Worse_Readmission_Flag]]
)</f>
        <v>3</v>
      </c>
      <c r="AO91">
        <f>SUM(
    tblMergedCleaned[[#This Row],[Low_Rating_Flag]:[Worse_Readmission_Flag]]
)</f>
        <v>1</v>
      </c>
      <c r="AP9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9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91" s="2">
        <f>IF(
    tblMergedCleaned[[#This Row],[Definitely_Recommend_Pct]]="",
    "",
    tblMergedCleaned[[#This Row],[Definitely_Recommend_Pct]]-TX_Median_Recommend
)</f>
        <v>-9</v>
      </c>
      <c r="AS91" s="2">
        <f>IF(
    tblMergedCleaned[[#This Row],[Readmission_Rate_Pct]]="",
    "",
    tblMergedCleaned[[#This Row],[Readmission_Rate_Pct]]-TX_Median_Readmission
)</f>
        <v>-1.2000000000000011</v>
      </c>
    </row>
    <row r="92" spans="1:45">
      <c r="A92" t="s">
        <v>592</v>
      </c>
      <c r="B92" t="s">
        <v>593</v>
      </c>
      <c r="C92" t="s">
        <v>594</v>
      </c>
      <c r="D92" t="s">
        <v>188</v>
      </c>
      <c r="E92" t="s">
        <v>18</v>
      </c>
      <c r="F92" t="s">
        <v>455</v>
      </c>
      <c r="G92" t="s">
        <v>190</v>
      </c>
      <c r="H92" t="s">
        <v>595</v>
      </c>
      <c r="I92" t="s">
        <v>21</v>
      </c>
      <c r="J92" t="s">
        <v>22</v>
      </c>
      <c r="K92" t="s">
        <v>23</v>
      </c>
      <c r="L92">
        <v>4</v>
      </c>
      <c r="M92" t="s">
        <v>34</v>
      </c>
      <c r="N92" t="s">
        <v>25</v>
      </c>
      <c r="O92" s="2">
        <v>75</v>
      </c>
      <c r="P92" s="2">
        <v>74</v>
      </c>
      <c r="Q92" s="2">
        <v>56</v>
      </c>
      <c r="R92" s="2">
        <v>83</v>
      </c>
      <c r="S92" s="2">
        <v>68</v>
      </c>
      <c r="T92" s="2">
        <v>67</v>
      </c>
      <c r="U92" t="s">
        <v>1736</v>
      </c>
      <c r="V92" s="2">
        <v>17</v>
      </c>
      <c r="W92" s="1">
        <v>45474</v>
      </c>
      <c r="X92" s="1">
        <v>45838</v>
      </c>
      <c r="Y92" s="2">
        <v>15.8</v>
      </c>
      <c r="Z92" t="s">
        <v>1886</v>
      </c>
      <c r="AA92">
        <v>12978</v>
      </c>
      <c r="AB92" s="2">
        <v>15.2</v>
      </c>
      <c r="AC92" s="2">
        <v>16.399999999999999</v>
      </c>
      <c r="AD92" t="s">
        <v>25</v>
      </c>
      <c r="AE92" s="1">
        <v>45108</v>
      </c>
      <c r="AF92" s="1">
        <v>45473</v>
      </c>
      <c r="AG92" t="b">
        <v>1</v>
      </c>
      <c r="AH92" t="b">
        <v>1</v>
      </c>
      <c r="AI92" t="b">
        <v>1</v>
      </c>
      <c r="AJ92" t="str">
        <f>IF(tblMergedCleaned[[#This Row],[Overall_Rating]]=
    "",
    "Unavailable",
    IF(tblMergedCleaned[[#This Row],[Overall_Rating]]&lt;=
        2,
        "Low (1-2)",
        IF(tblMergedCleaned[[#This Row],[Overall_Rating]]=
            3,
            "Middle (3)",
            "High (4-5)"
        )
    )
)</f>
        <v>High (4-5)</v>
      </c>
      <c r="AK92" cm="1">
        <f t="array" ref="AK92">IF(
    tblMergedCleaned[[#This Row],[Overall_Rating]]="",
    "",
    --(tblMergedCleaned[[#This Row],[Overall_Rating]]&lt;=2)
)</f>
        <v>0</v>
      </c>
      <c r="AL92">
        <f>IF(
    tblMergedCleaned[[#This Row],[Definitely_Recommend_Pct]]="",
    "",
    --(tblMergedCleaned[[#This Row],[Definitely_Recommend_Pct]]&lt;TX_Median_Recommend)
)</f>
        <v>1</v>
      </c>
      <c r="AM92">
        <f>IF(
    tblMergedCleaned[[#This Row],[Readmission_Comparison]]="",
    "",
    --(tblMergedCleaned[[#This Row],[Readmission_Comparison]]="Worse")
)</f>
        <v>1</v>
      </c>
      <c r="AN92">
        <f>COUNT(
    tblMergedCleaned[[#This Row],[Low_Rating_Flag]:[Worse_Readmission_Flag]]
)</f>
        <v>3</v>
      </c>
      <c r="AO92">
        <f>SUM(
    tblMergedCleaned[[#This Row],[Low_Rating_Flag]:[Worse_Readmission_Flag]]
)</f>
        <v>2</v>
      </c>
      <c r="AP9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9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92" s="2">
        <f>IF(
    tblMergedCleaned[[#This Row],[Definitely_Recommend_Pct]]="",
    "",
    tblMergedCleaned[[#This Row],[Definitely_Recommend_Pct]]-TX_Median_Recommend
)</f>
        <v>-4</v>
      </c>
      <c r="AS92" s="2">
        <f>IF(
    tblMergedCleaned[[#This Row],[Readmission_Rate_Pct]]="",
    "",
    tblMergedCleaned[[#This Row],[Readmission_Rate_Pct]]-TX_Median_Readmission
)</f>
        <v>0.90000000000000036</v>
      </c>
    </row>
    <row r="93" spans="1:45">
      <c r="A93" t="s">
        <v>596</v>
      </c>
      <c r="B93" t="s">
        <v>597</v>
      </c>
      <c r="C93" t="s">
        <v>598</v>
      </c>
      <c r="D93" t="s">
        <v>599</v>
      </c>
      <c r="E93" t="s">
        <v>18</v>
      </c>
      <c r="F93" t="s">
        <v>600</v>
      </c>
      <c r="G93" t="s">
        <v>601</v>
      </c>
      <c r="H93" t="s">
        <v>602</v>
      </c>
      <c r="I93" t="s">
        <v>21</v>
      </c>
      <c r="J93" t="s">
        <v>22</v>
      </c>
      <c r="K93" t="s">
        <v>23</v>
      </c>
      <c r="L93">
        <v>2</v>
      </c>
      <c r="M93" t="s">
        <v>24</v>
      </c>
      <c r="N93" t="s">
        <v>25</v>
      </c>
      <c r="O93" s="2">
        <v>82</v>
      </c>
      <c r="P93" s="2">
        <v>83</v>
      </c>
      <c r="Q93" s="2">
        <v>64</v>
      </c>
      <c r="R93" s="2">
        <v>87</v>
      </c>
      <c r="S93" s="2">
        <v>71</v>
      </c>
      <c r="T93" s="2">
        <v>70</v>
      </c>
      <c r="U93" t="s">
        <v>1737</v>
      </c>
      <c r="V93" s="2">
        <v>16</v>
      </c>
      <c r="W93" s="1">
        <v>45474</v>
      </c>
      <c r="X93" s="1">
        <v>45838</v>
      </c>
      <c r="Y93" s="2">
        <v>16.2</v>
      </c>
      <c r="Z93" t="s">
        <v>1884</v>
      </c>
      <c r="AA93">
        <v>717</v>
      </c>
      <c r="AB93" s="2">
        <v>14.7</v>
      </c>
      <c r="AC93" s="2">
        <v>17.8</v>
      </c>
      <c r="AD93" t="s">
        <v>25</v>
      </c>
      <c r="AE93" s="1">
        <v>45108</v>
      </c>
      <c r="AF93" s="1">
        <v>45473</v>
      </c>
      <c r="AG93" t="b">
        <v>1</v>
      </c>
      <c r="AH93" t="b">
        <v>1</v>
      </c>
      <c r="AI93" t="b">
        <v>1</v>
      </c>
      <c r="AJ93" t="str">
        <f>IF(tblMergedCleaned[[#This Row],[Overall_Rating]]=
    "",
    "Unavailable",
    IF(tblMergedCleaned[[#This Row],[Overall_Rating]]&lt;=
        2,
        "Low (1-2)",
        IF(tblMergedCleaned[[#This Row],[Overall_Rating]]=
            3,
            "Middle (3)",
            "High (4-5)"
        )
    )
)</f>
        <v>Low (1-2)</v>
      </c>
      <c r="AK93" cm="1">
        <f t="array" ref="AK93">IF(
    tblMergedCleaned[[#This Row],[Overall_Rating]]="",
    "",
    --(tblMergedCleaned[[#This Row],[Overall_Rating]]&lt;=2)
)</f>
        <v>1</v>
      </c>
      <c r="AL93">
        <f>IF(
    tblMergedCleaned[[#This Row],[Definitely_Recommend_Pct]]="",
    "",
    --(tblMergedCleaned[[#This Row],[Definitely_Recommend_Pct]]&lt;TX_Median_Recommend)
)</f>
        <v>1</v>
      </c>
      <c r="AM93">
        <f>IF(
    tblMergedCleaned[[#This Row],[Readmission_Comparison]]="",
    "",
    --(tblMergedCleaned[[#This Row],[Readmission_Comparison]]="Worse")
)</f>
        <v>0</v>
      </c>
      <c r="AN93">
        <f>COUNT(
    tblMergedCleaned[[#This Row],[Low_Rating_Flag]:[Worse_Readmission_Flag]]
)</f>
        <v>3</v>
      </c>
      <c r="AO93">
        <f>SUM(
    tblMergedCleaned[[#This Row],[Low_Rating_Flag]:[Worse_Readmission_Flag]]
)</f>
        <v>2</v>
      </c>
      <c r="AP9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9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93" s="2">
        <f>IF(
    tblMergedCleaned[[#This Row],[Definitely_Recommend_Pct]]="",
    "",
    tblMergedCleaned[[#This Row],[Definitely_Recommend_Pct]]-TX_Median_Recommend
)</f>
        <v>-1</v>
      </c>
      <c r="AS93" s="2">
        <f>IF(
    tblMergedCleaned[[#This Row],[Readmission_Rate_Pct]]="",
    "",
    tblMergedCleaned[[#This Row],[Readmission_Rate_Pct]]-TX_Median_Readmission
)</f>
        <v>1.2999999999999989</v>
      </c>
    </row>
    <row r="94" spans="1:45">
      <c r="A94" t="s">
        <v>603</v>
      </c>
      <c r="B94" t="s">
        <v>604</v>
      </c>
      <c r="C94" t="s">
        <v>605</v>
      </c>
      <c r="D94" t="s">
        <v>606</v>
      </c>
      <c r="E94" t="s">
        <v>18</v>
      </c>
      <c r="F94" t="s">
        <v>607</v>
      </c>
      <c r="G94" t="s">
        <v>608</v>
      </c>
      <c r="H94" t="s">
        <v>609</v>
      </c>
      <c r="I94" t="s">
        <v>21</v>
      </c>
      <c r="J94" t="s">
        <v>33</v>
      </c>
      <c r="K94" t="s">
        <v>23</v>
      </c>
      <c r="L94">
        <v>4</v>
      </c>
      <c r="M94" t="s">
        <v>34</v>
      </c>
      <c r="N94" t="s">
        <v>25</v>
      </c>
      <c r="O94" s="2">
        <v>83</v>
      </c>
      <c r="P94" s="2">
        <v>81</v>
      </c>
      <c r="Q94" s="2">
        <v>68</v>
      </c>
      <c r="R94" s="2">
        <v>81</v>
      </c>
      <c r="S94" s="2">
        <v>71</v>
      </c>
      <c r="T94" s="2">
        <v>61</v>
      </c>
      <c r="U94" t="s">
        <v>1738</v>
      </c>
      <c r="V94" s="2">
        <v>14</v>
      </c>
      <c r="W94" s="1">
        <v>45474</v>
      </c>
      <c r="X94" s="1">
        <v>45838</v>
      </c>
      <c r="Y94" s="2">
        <v>14.5</v>
      </c>
      <c r="Z94" t="s">
        <v>1884</v>
      </c>
      <c r="AA94">
        <v>206</v>
      </c>
      <c r="AB94" s="2">
        <v>12.9</v>
      </c>
      <c r="AC94" s="2">
        <v>16.399999999999999</v>
      </c>
      <c r="AD94" t="s">
        <v>25</v>
      </c>
      <c r="AE94" s="1">
        <v>45108</v>
      </c>
      <c r="AF94" s="1">
        <v>45473</v>
      </c>
      <c r="AG94" t="b">
        <v>1</v>
      </c>
      <c r="AH94" t="b">
        <v>1</v>
      </c>
      <c r="AI94" t="b">
        <v>1</v>
      </c>
      <c r="AJ94" t="str">
        <f>IF(tblMergedCleaned[[#This Row],[Overall_Rating]]=
    "",
    "Unavailable",
    IF(tblMergedCleaned[[#This Row],[Overall_Rating]]&lt;=
        2,
        "Low (1-2)",
        IF(tblMergedCleaned[[#This Row],[Overall_Rating]]=
            3,
            "Middle (3)",
            "High (4-5)"
        )
    )
)</f>
        <v>High (4-5)</v>
      </c>
      <c r="AK94" cm="1">
        <f t="array" ref="AK94">IF(
    tblMergedCleaned[[#This Row],[Overall_Rating]]="",
    "",
    --(tblMergedCleaned[[#This Row],[Overall_Rating]]&lt;=2)
)</f>
        <v>0</v>
      </c>
      <c r="AL94">
        <f>IF(
    tblMergedCleaned[[#This Row],[Definitely_Recommend_Pct]]="",
    "",
    --(tblMergedCleaned[[#This Row],[Definitely_Recommend_Pct]]&lt;TX_Median_Recommend)
)</f>
        <v>1</v>
      </c>
      <c r="AM94">
        <f>IF(
    tblMergedCleaned[[#This Row],[Readmission_Comparison]]="",
    "",
    --(tblMergedCleaned[[#This Row],[Readmission_Comparison]]="Worse")
)</f>
        <v>0</v>
      </c>
      <c r="AN94">
        <f>COUNT(
    tblMergedCleaned[[#This Row],[Low_Rating_Flag]:[Worse_Readmission_Flag]]
)</f>
        <v>3</v>
      </c>
      <c r="AO94">
        <f>SUM(
    tblMergedCleaned[[#This Row],[Low_Rating_Flag]:[Worse_Readmission_Flag]]
)</f>
        <v>1</v>
      </c>
      <c r="AP9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9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94" s="2">
        <f>IF(
    tblMergedCleaned[[#This Row],[Definitely_Recommend_Pct]]="",
    "",
    tblMergedCleaned[[#This Row],[Definitely_Recommend_Pct]]-TX_Median_Recommend
)</f>
        <v>-10</v>
      </c>
      <c r="AS94" s="2">
        <f>IF(
    tblMergedCleaned[[#This Row],[Readmission_Rate_Pct]]="",
    "",
    tblMergedCleaned[[#This Row],[Readmission_Rate_Pct]]-TX_Median_Readmission
)</f>
        <v>-0.40000000000000036</v>
      </c>
    </row>
    <row r="95" spans="1:45">
      <c r="A95" t="s">
        <v>610</v>
      </c>
      <c r="B95" t="s">
        <v>611</v>
      </c>
      <c r="C95" t="s">
        <v>612</v>
      </c>
      <c r="D95" t="s">
        <v>613</v>
      </c>
      <c r="E95" t="s">
        <v>18</v>
      </c>
      <c r="F95" t="s">
        <v>614</v>
      </c>
      <c r="G95" t="s">
        <v>615</v>
      </c>
      <c r="H95" t="s">
        <v>616</v>
      </c>
      <c r="I95" t="s">
        <v>21</v>
      </c>
      <c r="J95" t="s">
        <v>56</v>
      </c>
      <c r="K95" t="s">
        <v>23</v>
      </c>
      <c r="M95" t="s">
        <v>176</v>
      </c>
      <c r="N95" t="s">
        <v>177</v>
      </c>
      <c r="O95" s="2">
        <v>79</v>
      </c>
      <c r="P95" s="2">
        <v>74</v>
      </c>
      <c r="Q95" s="2">
        <v>57</v>
      </c>
      <c r="R95" s="2">
        <v>86</v>
      </c>
      <c r="S95" s="2">
        <v>72</v>
      </c>
      <c r="T95" s="2">
        <v>68</v>
      </c>
      <c r="U95" t="s">
        <v>1739</v>
      </c>
      <c r="V95" s="2">
        <v>15</v>
      </c>
      <c r="W95" s="1">
        <v>45474</v>
      </c>
      <c r="X95" s="1">
        <v>45838</v>
      </c>
      <c r="Y95" s="2">
        <v>15</v>
      </c>
      <c r="Z95" t="s">
        <v>1884</v>
      </c>
      <c r="AA95">
        <v>37</v>
      </c>
      <c r="AB95" s="2">
        <v>13.3</v>
      </c>
      <c r="AC95" s="2">
        <v>17</v>
      </c>
      <c r="AD95" t="s">
        <v>25</v>
      </c>
      <c r="AE95" s="1">
        <v>45108</v>
      </c>
      <c r="AF95" s="1">
        <v>45473</v>
      </c>
      <c r="AG95" t="b">
        <v>0</v>
      </c>
      <c r="AH95" t="b">
        <v>1</v>
      </c>
      <c r="AI95" t="b">
        <v>1</v>
      </c>
      <c r="AJ95" t="str">
        <f>IF(tblMergedCleaned[[#This Row],[Overall_Rating]]=
    "",
    "Unavailable",
    IF(tblMergedCleaned[[#This Row],[Overall_Rating]]&lt;=
        2,
        "Low (1-2)",
        IF(tblMergedCleaned[[#This Row],[Overall_Rating]]=
            3,
            "Middle (3)",
            "High (4-5)"
        )
    )
)</f>
        <v>Unavailable</v>
      </c>
      <c r="AK95" t="str" cm="1">
        <f t="array" ref="AK95">IF(
    tblMergedCleaned[[#This Row],[Overall_Rating]]="",
    "",
    --(tblMergedCleaned[[#This Row],[Overall_Rating]]&lt;=2)
)</f>
        <v/>
      </c>
      <c r="AL95">
        <f>IF(
    tblMergedCleaned[[#This Row],[Definitely_Recommend_Pct]]="",
    "",
    --(tblMergedCleaned[[#This Row],[Definitely_Recommend_Pct]]&lt;TX_Median_Recommend)
)</f>
        <v>1</v>
      </c>
      <c r="AM95">
        <f>IF(
    tblMergedCleaned[[#This Row],[Readmission_Comparison]]="",
    "",
    --(tblMergedCleaned[[#This Row],[Readmission_Comparison]]="Worse")
)</f>
        <v>0</v>
      </c>
      <c r="AN95">
        <f>COUNT(
    tblMergedCleaned[[#This Row],[Low_Rating_Flag]:[Worse_Readmission_Flag]]
)</f>
        <v>2</v>
      </c>
      <c r="AO95">
        <f>SUM(
    tblMergedCleaned[[#This Row],[Low_Rating_Flag]:[Worse_Readmission_Flag]]
)</f>
        <v>1</v>
      </c>
      <c r="AP9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9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95" s="2">
        <f>IF(
    tblMergedCleaned[[#This Row],[Definitely_Recommend_Pct]]="",
    "",
    tblMergedCleaned[[#This Row],[Definitely_Recommend_Pct]]-TX_Median_Recommend
)</f>
        <v>-3</v>
      </c>
      <c r="AS95" s="2">
        <f>IF(
    tblMergedCleaned[[#This Row],[Readmission_Rate_Pct]]="",
    "",
    tblMergedCleaned[[#This Row],[Readmission_Rate_Pct]]-TX_Median_Readmission
)</f>
        <v>9.9999999999999645E-2</v>
      </c>
    </row>
    <row r="96" spans="1:45">
      <c r="A96" t="s">
        <v>617</v>
      </c>
      <c r="B96" t="s">
        <v>618</v>
      </c>
      <c r="C96" t="s">
        <v>619</v>
      </c>
      <c r="D96" t="s">
        <v>620</v>
      </c>
      <c r="E96" t="s">
        <v>18</v>
      </c>
      <c r="F96" t="s">
        <v>621</v>
      </c>
      <c r="G96" t="s">
        <v>622</v>
      </c>
      <c r="H96" t="s">
        <v>623</v>
      </c>
      <c r="I96" t="s">
        <v>21</v>
      </c>
      <c r="J96" t="s">
        <v>22</v>
      </c>
      <c r="K96" t="s">
        <v>23</v>
      </c>
      <c r="M96" t="s">
        <v>176</v>
      </c>
      <c r="N96" t="s">
        <v>177</v>
      </c>
      <c r="O96" s="2">
        <v>90</v>
      </c>
      <c r="P96" s="2">
        <v>94</v>
      </c>
      <c r="Q96" s="2">
        <v>74</v>
      </c>
      <c r="R96" s="2">
        <v>90</v>
      </c>
      <c r="S96" s="2">
        <v>90</v>
      </c>
      <c r="T96" s="2">
        <v>88</v>
      </c>
      <c r="U96" t="s">
        <v>1740</v>
      </c>
      <c r="V96" s="2">
        <v>21</v>
      </c>
      <c r="W96" s="1">
        <v>45474</v>
      </c>
      <c r="X96" s="1">
        <v>45838</v>
      </c>
      <c r="Y96" s="2">
        <v>14.9</v>
      </c>
      <c r="Z96" t="s">
        <v>1884</v>
      </c>
      <c r="AA96">
        <v>104</v>
      </c>
      <c r="AB96" s="2">
        <v>13.3</v>
      </c>
      <c r="AC96" s="2">
        <v>17</v>
      </c>
      <c r="AD96" t="s">
        <v>25</v>
      </c>
      <c r="AE96" s="1">
        <v>45108</v>
      </c>
      <c r="AF96" s="1">
        <v>45473</v>
      </c>
      <c r="AG96" t="b">
        <v>0</v>
      </c>
      <c r="AH96" t="b">
        <v>1</v>
      </c>
      <c r="AI96" t="b">
        <v>1</v>
      </c>
      <c r="AJ96" t="str">
        <f>IF(tblMergedCleaned[[#This Row],[Overall_Rating]]=
    "",
    "Unavailable",
    IF(tblMergedCleaned[[#This Row],[Overall_Rating]]&lt;=
        2,
        "Low (1-2)",
        IF(tblMergedCleaned[[#This Row],[Overall_Rating]]=
            3,
            "Middle (3)",
            "High (4-5)"
        )
    )
)</f>
        <v>Unavailable</v>
      </c>
      <c r="AK96" t="str" cm="1">
        <f t="array" ref="AK96">IF(
    tblMergedCleaned[[#This Row],[Overall_Rating]]="",
    "",
    --(tblMergedCleaned[[#This Row],[Overall_Rating]]&lt;=2)
)</f>
        <v/>
      </c>
      <c r="AL96">
        <f>IF(
    tblMergedCleaned[[#This Row],[Definitely_Recommend_Pct]]="",
    "",
    --(tblMergedCleaned[[#This Row],[Definitely_Recommend_Pct]]&lt;TX_Median_Recommend)
)</f>
        <v>0</v>
      </c>
      <c r="AM96">
        <f>IF(
    tblMergedCleaned[[#This Row],[Readmission_Comparison]]="",
    "",
    --(tblMergedCleaned[[#This Row],[Readmission_Comparison]]="Worse")
)</f>
        <v>0</v>
      </c>
      <c r="AN96">
        <f>COUNT(
    tblMergedCleaned[[#This Row],[Low_Rating_Flag]:[Worse_Readmission_Flag]]
)</f>
        <v>2</v>
      </c>
      <c r="AO96">
        <f>SUM(
    tblMergedCleaned[[#This Row],[Low_Rating_Flag]:[Worse_Readmission_Flag]]
)</f>
        <v>0</v>
      </c>
      <c r="AP9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9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96" s="2">
        <f>IF(
    tblMergedCleaned[[#This Row],[Definitely_Recommend_Pct]]="",
    "",
    tblMergedCleaned[[#This Row],[Definitely_Recommend_Pct]]-TX_Median_Recommend
)</f>
        <v>17</v>
      </c>
      <c r="AS96" s="2">
        <f>IF(
    tblMergedCleaned[[#This Row],[Readmission_Rate_Pct]]="",
    "",
    tblMergedCleaned[[#This Row],[Readmission_Rate_Pct]]-TX_Median_Readmission
)</f>
        <v>0</v>
      </c>
    </row>
    <row r="97" spans="1:45">
      <c r="A97" t="s">
        <v>624</v>
      </c>
      <c r="B97" t="s">
        <v>625</v>
      </c>
      <c r="C97" t="s">
        <v>626</v>
      </c>
      <c r="D97" t="s">
        <v>627</v>
      </c>
      <c r="E97" t="s">
        <v>18</v>
      </c>
      <c r="F97" t="s">
        <v>628</v>
      </c>
      <c r="G97" t="s">
        <v>629</v>
      </c>
      <c r="H97" t="s">
        <v>630</v>
      </c>
      <c r="I97" t="s">
        <v>21</v>
      </c>
      <c r="J97" t="s">
        <v>22</v>
      </c>
      <c r="K97" t="s">
        <v>23</v>
      </c>
      <c r="L97">
        <v>3</v>
      </c>
      <c r="M97" t="s">
        <v>42</v>
      </c>
      <c r="N97" t="s">
        <v>25</v>
      </c>
      <c r="O97" s="2">
        <v>75</v>
      </c>
      <c r="P97" s="2">
        <v>75</v>
      </c>
      <c r="Q97" s="2">
        <v>56</v>
      </c>
      <c r="R97" s="2">
        <v>83</v>
      </c>
      <c r="S97" s="2">
        <v>67</v>
      </c>
      <c r="T97" s="2">
        <v>68</v>
      </c>
      <c r="U97" t="s">
        <v>1741</v>
      </c>
      <c r="V97" s="2">
        <v>13</v>
      </c>
      <c r="W97" s="1">
        <v>45474</v>
      </c>
      <c r="X97" s="1">
        <v>45838</v>
      </c>
      <c r="Y97" s="2">
        <v>15.7</v>
      </c>
      <c r="Z97" t="s">
        <v>1884</v>
      </c>
      <c r="AA97">
        <v>2201</v>
      </c>
      <c r="AB97" s="2">
        <v>14.6</v>
      </c>
      <c r="AC97" s="2">
        <v>16.8</v>
      </c>
      <c r="AD97" t="s">
        <v>25</v>
      </c>
      <c r="AE97" s="1">
        <v>45108</v>
      </c>
      <c r="AF97" s="1">
        <v>45473</v>
      </c>
      <c r="AG97" t="b">
        <v>1</v>
      </c>
      <c r="AH97" t="b">
        <v>1</v>
      </c>
      <c r="AI97" t="b">
        <v>1</v>
      </c>
      <c r="AJ97" t="str">
        <f>IF(tblMergedCleaned[[#This Row],[Overall_Rating]]=
    "",
    "Unavailable",
    IF(tblMergedCleaned[[#This Row],[Overall_Rating]]&lt;=
        2,
        "Low (1-2)",
        IF(tblMergedCleaned[[#This Row],[Overall_Rating]]=
            3,
            "Middle (3)",
            "High (4-5)"
        )
    )
)</f>
        <v>Middle (3)</v>
      </c>
      <c r="AK97" cm="1">
        <f t="array" ref="AK97">IF(
    tblMergedCleaned[[#This Row],[Overall_Rating]]="",
    "",
    --(tblMergedCleaned[[#This Row],[Overall_Rating]]&lt;=2)
)</f>
        <v>0</v>
      </c>
      <c r="AL97">
        <f>IF(
    tblMergedCleaned[[#This Row],[Definitely_Recommend_Pct]]="",
    "",
    --(tblMergedCleaned[[#This Row],[Definitely_Recommend_Pct]]&lt;TX_Median_Recommend)
)</f>
        <v>1</v>
      </c>
      <c r="AM97">
        <f>IF(
    tblMergedCleaned[[#This Row],[Readmission_Comparison]]="",
    "",
    --(tblMergedCleaned[[#This Row],[Readmission_Comparison]]="Worse")
)</f>
        <v>0</v>
      </c>
      <c r="AN97">
        <f>COUNT(
    tblMergedCleaned[[#This Row],[Low_Rating_Flag]:[Worse_Readmission_Flag]]
)</f>
        <v>3</v>
      </c>
      <c r="AO97">
        <f>SUM(
    tblMergedCleaned[[#This Row],[Low_Rating_Flag]:[Worse_Readmission_Flag]]
)</f>
        <v>1</v>
      </c>
      <c r="AP9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9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97" s="2">
        <f>IF(
    tblMergedCleaned[[#This Row],[Definitely_Recommend_Pct]]="",
    "",
    tblMergedCleaned[[#This Row],[Definitely_Recommend_Pct]]-TX_Median_Recommend
)</f>
        <v>-3</v>
      </c>
      <c r="AS97" s="2">
        <f>IF(
    tblMergedCleaned[[#This Row],[Readmission_Rate_Pct]]="",
    "",
    tblMergedCleaned[[#This Row],[Readmission_Rate_Pct]]-TX_Median_Readmission
)</f>
        <v>0.79999999999999893</v>
      </c>
    </row>
    <row r="98" spans="1:45">
      <c r="A98" t="s">
        <v>631</v>
      </c>
      <c r="B98" t="s">
        <v>632</v>
      </c>
      <c r="C98" t="s">
        <v>633</v>
      </c>
      <c r="D98" t="s">
        <v>634</v>
      </c>
      <c r="E98" t="s">
        <v>18</v>
      </c>
      <c r="F98" t="s">
        <v>635</v>
      </c>
      <c r="G98" t="s">
        <v>128</v>
      </c>
      <c r="H98" t="s">
        <v>636</v>
      </c>
      <c r="I98" t="s">
        <v>21</v>
      </c>
      <c r="J98" t="s">
        <v>33</v>
      </c>
      <c r="K98" t="s">
        <v>23</v>
      </c>
      <c r="L98">
        <v>4</v>
      </c>
      <c r="M98" t="s">
        <v>34</v>
      </c>
      <c r="N98" t="s">
        <v>25</v>
      </c>
      <c r="O98" s="2">
        <v>79</v>
      </c>
      <c r="P98" s="2">
        <v>79</v>
      </c>
      <c r="Q98" s="2">
        <v>58</v>
      </c>
      <c r="R98" s="2">
        <v>86</v>
      </c>
      <c r="S98" s="2">
        <v>68</v>
      </c>
      <c r="T98" s="2">
        <v>65</v>
      </c>
      <c r="U98" t="s">
        <v>1742</v>
      </c>
      <c r="V98" s="2">
        <v>17</v>
      </c>
      <c r="W98" s="1">
        <v>45474</v>
      </c>
      <c r="X98" s="1">
        <v>45838</v>
      </c>
      <c r="Y98" s="2">
        <v>14.8</v>
      </c>
      <c r="Z98" t="s">
        <v>1884</v>
      </c>
      <c r="AA98">
        <v>221</v>
      </c>
      <c r="AB98" s="2">
        <v>13.1</v>
      </c>
      <c r="AC98" s="2">
        <v>16.8</v>
      </c>
      <c r="AD98" t="s">
        <v>25</v>
      </c>
      <c r="AE98" s="1">
        <v>45108</v>
      </c>
      <c r="AF98" s="1">
        <v>45473</v>
      </c>
      <c r="AG98" t="b">
        <v>1</v>
      </c>
      <c r="AH98" t="b">
        <v>1</v>
      </c>
      <c r="AI98" t="b">
        <v>1</v>
      </c>
      <c r="AJ98" t="str">
        <f>IF(tblMergedCleaned[[#This Row],[Overall_Rating]]=
    "",
    "Unavailable",
    IF(tblMergedCleaned[[#This Row],[Overall_Rating]]&lt;=
        2,
        "Low (1-2)",
        IF(tblMergedCleaned[[#This Row],[Overall_Rating]]=
            3,
            "Middle (3)",
            "High (4-5)"
        )
    )
)</f>
        <v>High (4-5)</v>
      </c>
      <c r="AK98" cm="1">
        <f t="array" ref="AK98">IF(
    tblMergedCleaned[[#This Row],[Overall_Rating]]="",
    "",
    --(tblMergedCleaned[[#This Row],[Overall_Rating]]&lt;=2)
)</f>
        <v>0</v>
      </c>
      <c r="AL98">
        <f>IF(
    tblMergedCleaned[[#This Row],[Definitely_Recommend_Pct]]="",
    "",
    --(tblMergedCleaned[[#This Row],[Definitely_Recommend_Pct]]&lt;TX_Median_Recommend)
)</f>
        <v>1</v>
      </c>
      <c r="AM98">
        <f>IF(
    tblMergedCleaned[[#This Row],[Readmission_Comparison]]="",
    "",
    --(tblMergedCleaned[[#This Row],[Readmission_Comparison]]="Worse")
)</f>
        <v>0</v>
      </c>
      <c r="AN98">
        <f>COUNT(
    tblMergedCleaned[[#This Row],[Low_Rating_Flag]:[Worse_Readmission_Flag]]
)</f>
        <v>3</v>
      </c>
      <c r="AO98">
        <f>SUM(
    tblMergedCleaned[[#This Row],[Low_Rating_Flag]:[Worse_Readmission_Flag]]
)</f>
        <v>1</v>
      </c>
      <c r="AP9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9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98" s="2">
        <f>IF(
    tblMergedCleaned[[#This Row],[Definitely_Recommend_Pct]]="",
    "",
    tblMergedCleaned[[#This Row],[Definitely_Recommend_Pct]]-TX_Median_Recommend
)</f>
        <v>-6</v>
      </c>
      <c r="AS98" s="2">
        <f>IF(
    tblMergedCleaned[[#This Row],[Readmission_Rate_Pct]]="",
    "",
    tblMergedCleaned[[#This Row],[Readmission_Rate_Pct]]-TX_Median_Readmission
)</f>
        <v>-9.9999999999999645E-2</v>
      </c>
    </row>
    <row r="99" spans="1:45">
      <c r="A99" t="s">
        <v>637</v>
      </c>
      <c r="B99" t="s">
        <v>638</v>
      </c>
      <c r="C99" t="s">
        <v>639</v>
      </c>
      <c r="D99" t="s">
        <v>53</v>
      </c>
      <c r="E99" t="s">
        <v>18</v>
      </c>
      <c r="F99" t="s">
        <v>640</v>
      </c>
      <c r="G99" t="s">
        <v>53</v>
      </c>
      <c r="H99" t="s">
        <v>641</v>
      </c>
      <c r="I99" t="s">
        <v>21</v>
      </c>
      <c r="J99" t="s">
        <v>22</v>
      </c>
      <c r="K99" t="s">
        <v>23</v>
      </c>
      <c r="M99" t="s">
        <v>176</v>
      </c>
      <c r="N99" t="s">
        <v>177</v>
      </c>
      <c r="O99" s="2">
        <v>80</v>
      </c>
      <c r="P99" s="2">
        <v>87</v>
      </c>
      <c r="Q99" s="2">
        <v>59</v>
      </c>
      <c r="R99" s="2">
        <v>90</v>
      </c>
      <c r="S99" s="2">
        <v>79</v>
      </c>
      <c r="T99" s="2">
        <v>80</v>
      </c>
      <c r="U99" t="s">
        <v>1743</v>
      </c>
      <c r="V99" s="2">
        <v>27</v>
      </c>
      <c r="W99" s="1">
        <v>45474</v>
      </c>
      <c r="X99" s="1">
        <v>45838</v>
      </c>
      <c r="Y99" s="2">
        <v>14.7</v>
      </c>
      <c r="Z99" t="s">
        <v>1884</v>
      </c>
      <c r="AA99">
        <v>74</v>
      </c>
      <c r="AB99" s="2">
        <v>11.9</v>
      </c>
      <c r="AC99" s="2">
        <v>18.2</v>
      </c>
      <c r="AD99" t="s">
        <v>25</v>
      </c>
      <c r="AE99" s="1">
        <v>45108</v>
      </c>
      <c r="AF99" s="1">
        <v>45473</v>
      </c>
      <c r="AG99" t="b">
        <v>0</v>
      </c>
      <c r="AH99" t="b">
        <v>1</v>
      </c>
      <c r="AI99" t="b">
        <v>1</v>
      </c>
      <c r="AJ99" t="str">
        <f>IF(tblMergedCleaned[[#This Row],[Overall_Rating]]=
    "",
    "Unavailable",
    IF(tblMergedCleaned[[#This Row],[Overall_Rating]]&lt;=
        2,
        "Low (1-2)",
        IF(tblMergedCleaned[[#This Row],[Overall_Rating]]=
            3,
            "Middle (3)",
            "High (4-5)"
        )
    )
)</f>
        <v>Unavailable</v>
      </c>
      <c r="AK99" t="str" cm="1">
        <f t="array" ref="AK99">IF(
    tblMergedCleaned[[#This Row],[Overall_Rating]]="",
    "",
    --(tblMergedCleaned[[#This Row],[Overall_Rating]]&lt;=2)
)</f>
        <v/>
      </c>
      <c r="AL99">
        <f>IF(
    tblMergedCleaned[[#This Row],[Definitely_Recommend_Pct]]="",
    "",
    --(tblMergedCleaned[[#This Row],[Definitely_Recommend_Pct]]&lt;TX_Median_Recommend)
)</f>
        <v>0</v>
      </c>
      <c r="AM99">
        <f>IF(
    tblMergedCleaned[[#This Row],[Readmission_Comparison]]="",
    "",
    --(tblMergedCleaned[[#This Row],[Readmission_Comparison]]="Worse")
)</f>
        <v>0</v>
      </c>
      <c r="AN99">
        <f>COUNT(
    tblMergedCleaned[[#This Row],[Low_Rating_Flag]:[Worse_Readmission_Flag]]
)</f>
        <v>2</v>
      </c>
      <c r="AO99">
        <f>SUM(
    tblMergedCleaned[[#This Row],[Low_Rating_Flag]:[Worse_Readmission_Flag]]
)</f>
        <v>0</v>
      </c>
      <c r="AP9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9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99" s="2">
        <f>IF(
    tblMergedCleaned[[#This Row],[Definitely_Recommend_Pct]]="",
    "",
    tblMergedCleaned[[#This Row],[Definitely_Recommend_Pct]]-TX_Median_Recommend
)</f>
        <v>9</v>
      </c>
      <c r="AS99" s="2">
        <f>IF(
    tblMergedCleaned[[#This Row],[Readmission_Rate_Pct]]="",
    "",
    tblMergedCleaned[[#This Row],[Readmission_Rate_Pct]]-TX_Median_Readmission
)</f>
        <v>-0.20000000000000107</v>
      </c>
    </row>
    <row r="100" spans="1:45">
      <c r="A100" t="s">
        <v>642</v>
      </c>
      <c r="B100" t="s">
        <v>643</v>
      </c>
      <c r="C100" t="s">
        <v>644</v>
      </c>
      <c r="D100" t="s">
        <v>645</v>
      </c>
      <c r="E100" t="s">
        <v>18</v>
      </c>
      <c r="F100" t="s">
        <v>646</v>
      </c>
      <c r="G100" t="s">
        <v>121</v>
      </c>
      <c r="H100" t="s">
        <v>647</v>
      </c>
      <c r="I100" t="s">
        <v>21</v>
      </c>
      <c r="J100" t="s">
        <v>33</v>
      </c>
      <c r="K100" t="s">
        <v>23</v>
      </c>
      <c r="L100">
        <v>5</v>
      </c>
      <c r="M100" t="s">
        <v>168</v>
      </c>
      <c r="N100" t="s">
        <v>25</v>
      </c>
      <c r="O100" s="2">
        <v>81</v>
      </c>
      <c r="P100" s="2">
        <v>78</v>
      </c>
      <c r="Q100" s="2">
        <v>66</v>
      </c>
      <c r="R100" s="2">
        <v>89</v>
      </c>
      <c r="S100" s="2">
        <v>79</v>
      </c>
      <c r="T100" s="2">
        <v>78</v>
      </c>
      <c r="U100" t="s">
        <v>1744</v>
      </c>
      <c r="V100" s="2">
        <v>13</v>
      </c>
      <c r="W100" s="1">
        <v>45474</v>
      </c>
      <c r="X100" s="1">
        <v>45838</v>
      </c>
      <c r="Y100" s="2">
        <v>13.9</v>
      </c>
      <c r="Z100" t="s">
        <v>1884</v>
      </c>
      <c r="AA100">
        <v>1814</v>
      </c>
      <c r="AB100" s="2">
        <v>13</v>
      </c>
      <c r="AC100" s="2">
        <v>15</v>
      </c>
      <c r="AD100" t="s">
        <v>25</v>
      </c>
      <c r="AE100" s="1">
        <v>45108</v>
      </c>
      <c r="AF100" s="1">
        <v>45473</v>
      </c>
      <c r="AG100" t="b">
        <v>1</v>
      </c>
      <c r="AH100" t="b">
        <v>1</v>
      </c>
      <c r="AI100" t="b">
        <v>1</v>
      </c>
      <c r="AJ100" t="str">
        <f>IF(tblMergedCleaned[[#This Row],[Overall_Rating]]=
    "",
    "Unavailable",
    IF(tblMergedCleaned[[#This Row],[Overall_Rating]]&lt;=
        2,
        "Low (1-2)",
        IF(tblMergedCleaned[[#This Row],[Overall_Rating]]=
            3,
            "Middle (3)",
            "High (4-5)"
        )
    )
)</f>
        <v>High (4-5)</v>
      </c>
      <c r="AK100" cm="1">
        <f t="array" ref="AK100">IF(
    tblMergedCleaned[[#This Row],[Overall_Rating]]="",
    "",
    --(tblMergedCleaned[[#This Row],[Overall_Rating]]&lt;=2)
)</f>
        <v>0</v>
      </c>
      <c r="AL100">
        <f>IF(
    tblMergedCleaned[[#This Row],[Definitely_Recommend_Pct]]="",
    "",
    --(tblMergedCleaned[[#This Row],[Definitely_Recommend_Pct]]&lt;TX_Median_Recommend)
)</f>
        <v>0</v>
      </c>
      <c r="AM100">
        <f>IF(
    tblMergedCleaned[[#This Row],[Readmission_Comparison]]="",
    "",
    --(tblMergedCleaned[[#This Row],[Readmission_Comparison]]="Worse")
)</f>
        <v>0</v>
      </c>
      <c r="AN100">
        <f>COUNT(
    tblMergedCleaned[[#This Row],[Low_Rating_Flag]:[Worse_Readmission_Flag]]
)</f>
        <v>3</v>
      </c>
      <c r="AO100">
        <f>SUM(
    tblMergedCleaned[[#This Row],[Low_Rating_Flag]:[Worse_Readmission_Flag]]
)</f>
        <v>0</v>
      </c>
      <c r="AP10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0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00" s="2">
        <f>IF(
    tblMergedCleaned[[#This Row],[Definitely_Recommend_Pct]]="",
    "",
    tblMergedCleaned[[#This Row],[Definitely_Recommend_Pct]]-TX_Median_Recommend
)</f>
        <v>7</v>
      </c>
      <c r="AS100" s="2">
        <f>IF(
    tblMergedCleaned[[#This Row],[Readmission_Rate_Pct]]="",
    "",
    tblMergedCleaned[[#This Row],[Readmission_Rate_Pct]]-TX_Median_Readmission
)</f>
        <v>-1</v>
      </c>
    </row>
    <row r="101" spans="1:45">
      <c r="A101" t="s">
        <v>648</v>
      </c>
      <c r="B101" t="s">
        <v>649</v>
      </c>
      <c r="C101" t="s">
        <v>650</v>
      </c>
      <c r="D101" t="s">
        <v>181</v>
      </c>
      <c r="E101" t="s">
        <v>18</v>
      </c>
      <c r="F101" t="s">
        <v>182</v>
      </c>
      <c r="G101" t="s">
        <v>183</v>
      </c>
      <c r="H101" t="s">
        <v>651</v>
      </c>
      <c r="I101" t="s">
        <v>21</v>
      </c>
      <c r="J101" t="s">
        <v>22</v>
      </c>
      <c r="K101" t="s">
        <v>23</v>
      </c>
      <c r="L101">
        <v>4</v>
      </c>
      <c r="M101" t="s">
        <v>34</v>
      </c>
      <c r="N101" t="s">
        <v>25</v>
      </c>
      <c r="O101" s="2">
        <v>78</v>
      </c>
      <c r="P101" s="2">
        <v>78</v>
      </c>
      <c r="Q101" s="2">
        <v>61</v>
      </c>
      <c r="R101" s="2">
        <v>84</v>
      </c>
      <c r="S101" s="2">
        <v>73</v>
      </c>
      <c r="T101" s="2">
        <v>75</v>
      </c>
      <c r="U101" t="s">
        <v>1745</v>
      </c>
      <c r="V101" s="2">
        <v>21</v>
      </c>
      <c r="W101" s="1">
        <v>45474</v>
      </c>
      <c r="X101" s="1">
        <v>45838</v>
      </c>
      <c r="Y101" s="2">
        <v>15</v>
      </c>
      <c r="Z101" t="s">
        <v>1884</v>
      </c>
      <c r="AA101">
        <v>4955</v>
      </c>
      <c r="AB101" s="2">
        <v>14.4</v>
      </c>
      <c r="AC101" s="2">
        <v>16.2</v>
      </c>
      <c r="AD101" t="s">
        <v>25</v>
      </c>
      <c r="AE101" s="1">
        <v>45108</v>
      </c>
      <c r="AF101" s="1">
        <v>45473</v>
      </c>
      <c r="AG101" t="b">
        <v>1</v>
      </c>
      <c r="AH101" t="b">
        <v>1</v>
      </c>
      <c r="AI101" t="b">
        <v>1</v>
      </c>
      <c r="AJ101" t="str">
        <f>IF(tblMergedCleaned[[#This Row],[Overall_Rating]]=
    "",
    "Unavailable",
    IF(tblMergedCleaned[[#This Row],[Overall_Rating]]&lt;=
        2,
        "Low (1-2)",
        IF(tblMergedCleaned[[#This Row],[Overall_Rating]]=
            3,
            "Middle (3)",
            "High (4-5)"
        )
    )
)</f>
        <v>High (4-5)</v>
      </c>
      <c r="AK101" cm="1">
        <f t="array" ref="AK101">IF(
    tblMergedCleaned[[#This Row],[Overall_Rating]]="",
    "",
    --(tblMergedCleaned[[#This Row],[Overall_Rating]]&lt;=2)
)</f>
        <v>0</v>
      </c>
      <c r="AL101">
        <f>IF(
    tblMergedCleaned[[#This Row],[Definitely_Recommend_Pct]]="",
    "",
    --(tblMergedCleaned[[#This Row],[Definitely_Recommend_Pct]]&lt;TX_Median_Recommend)
)</f>
        <v>0</v>
      </c>
      <c r="AM101">
        <f>IF(
    tblMergedCleaned[[#This Row],[Readmission_Comparison]]="",
    "",
    --(tblMergedCleaned[[#This Row],[Readmission_Comparison]]="Worse")
)</f>
        <v>0</v>
      </c>
      <c r="AN101">
        <f>COUNT(
    tblMergedCleaned[[#This Row],[Low_Rating_Flag]:[Worse_Readmission_Flag]]
)</f>
        <v>3</v>
      </c>
      <c r="AO101">
        <f>SUM(
    tblMergedCleaned[[#This Row],[Low_Rating_Flag]:[Worse_Readmission_Flag]]
)</f>
        <v>0</v>
      </c>
      <c r="AP10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0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01" s="2">
        <f>IF(
    tblMergedCleaned[[#This Row],[Definitely_Recommend_Pct]]="",
    "",
    tblMergedCleaned[[#This Row],[Definitely_Recommend_Pct]]-TX_Median_Recommend
)</f>
        <v>4</v>
      </c>
      <c r="AS101" s="2">
        <f>IF(
    tblMergedCleaned[[#This Row],[Readmission_Rate_Pct]]="",
    "",
    tblMergedCleaned[[#This Row],[Readmission_Rate_Pct]]-TX_Median_Readmission
)</f>
        <v>9.9999999999999645E-2</v>
      </c>
    </row>
    <row r="102" spans="1:45">
      <c r="A102" t="s">
        <v>652</v>
      </c>
      <c r="B102" t="s">
        <v>653</v>
      </c>
      <c r="C102" t="s">
        <v>654</v>
      </c>
      <c r="D102" t="s">
        <v>655</v>
      </c>
      <c r="E102" t="s">
        <v>18</v>
      </c>
      <c r="F102" t="s">
        <v>656</v>
      </c>
      <c r="G102" t="s">
        <v>657</v>
      </c>
      <c r="H102" t="s">
        <v>658</v>
      </c>
      <c r="I102" t="s">
        <v>21</v>
      </c>
      <c r="J102" t="s">
        <v>56</v>
      </c>
      <c r="K102" t="s">
        <v>23</v>
      </c>
      <c r="L102">
        <v>2</v>
      </c>
      <c r="M102" t="s">
        <v>24</v>
      </c>
      <c r="N102" t="s">
        <v>25</v>
      </c>
      <c r="O102" s="2">
        <v>79</v>
      </c>
      <c r="P102" s="2">
        <v>80</v>
      </c>
      <c r="Q102" s="2">
        <v>63</v>
      </c>
      <c r="R102" s="2">
        <v>84</v>
      </c>
      <c r="S102" s="2">
        <v>63</v>
      </c>
      <c r="T102" s="2">
        <v>56</v>
      </c>
      <c r="U102" t="s">
        <v>1746</v>
      </c>
      <c r="V102" s="2">
        <v>11</v>
      </c>
      <c r="W102" s="1">
        <v>45474</v>
      </c>
      <c r="X102" s="1">
        <v>45838</v>
      </c>
      <c r="Y102" s="2">
        <v>16.600000000000001</v>
      </c>
      <c r="Z102" t="s">
        <v>1884</v>
      </c>
      <c r="AA102">
        <v>443</v>
      </c>
      <c r="AB102" s="2">
        <v>15</v>
      </c>
      <c r="AC102" s="2">
        <v>18.399999999999999</v>
      </c>
      <c r="AD102" t="s">
        <v>25</v>
      </c>
      <c r="AE102" s="1">
        <v>45108</v>
      </c>
      <c r="AF102" s="1">
        <v>45473</v>
      </c>
      <c r="AG102" t="b">
        <v>1</v>
      </c>
      <c r="AH102" t="b">
        <v>1</v>
      </c>
      <c r="AI102" t="b">
        <v>1</v>
      </c>
      <c r="AJ102" t="str">
        <f>IF(tblMergedCleaned[[#This Row],[Overall_Rating]]=
    "",
    "Unavailable",
    IF(tblMergedCleaned[[#This Row],[Overall_Rating]]&lt;=
        2,
        "Low (1-2)",
        IF(tblMergedCleaned[[#This Row],[Overall_Rating]]=
            3,
            "Middle (3)",
            "High (4-5)"
        )
    )
)</f>
        <v>Low (1-2)</v>
      </c>
      <c r="AK102" cm="1">
        <f t="array" ref="AK102">IF(
    tblMergedCleaned[[#This Row],[Overall_Rating]]="",
    "",
    --(tblMergedCleaned[[#This Row],[Overall_Rating]]&lt;=2)
)</f>
        <v>1</v>
      </c>
      <c r="AL102">
        <f>IF(
    tblMergedCleaned[[#This Row],[Definitely_Recommend_Pct]]="",
    "",
    --(tblMergedCleaned[[#This Row],[Definitely_Recommend_Pct]]&lt;TX_Median_Recommend)
)</f>
        <v>1</v>
      </c>
      <c r="AM102">
        <f>IF(
    tblMergedCleaned[[#This Row],[Readmission_Comparison]]="",
    "",
    --(tblMergedCleaned[[#This Row],[Readmission_Comparison]]="Worse")
)</f>
        <v>0</v>
      </c>
      <c r="AN102">
        <f>COUNT(
    tblMergedCleaned[[#This Row],[Low_Rating_Flag]:[Worse_Readmission_Flag]]
)</f>
        <v>3</v>
      </c>
      <c r="AO102">
        <f>SUM(
    tblMergedCleaned[[#This Row],[Low_Rating_Flag]:[Worse_Readmission_Flag]]
)</f>
        <v>2</v>
      </c>
      <c r="AP10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0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02" s="2">
        <f>IF(
    tblMergedCleaned[[#This Row],[Definitely_Recommend_Pct]]="",
    "",
    tblMergedCleaned[[#This Row],[Definitely_Recommend_Pct]]-TX_Median_Recommend
)</f>
        <v>-15</v>
      </c>
      <c r="AS102" s="2">
        <f>IF(
    tblMergedCleaned[[#This Row],[Readmission_Rate_Pct]]="",
    "",
    tblMergedCleaned[[#This Row],[Readmission_Rate_Pct]]-TX_Median_Readmission
)</f>
        <v>1.7000000000000011</v>
      </c>
    </row>
    <row r="103" spans="1:45">
      <c r="A103" t="s">
        <v>659</v>
      </c>
      <c r="B103" t="s">
        <v>660</v>
      </c>
      <c r="C103" t="s">
        <v>661</v>
      </c>
      <c r="D103" t="s">
        <v>662</v>
      </c>
      <c r="E103" t="s">
        <v>18</v>
      </c>
      <c r="F103" t="s">
        <v>663</v>
      </c>
      <c r="G103" t="s">
        <v>664</v>
      </c>
      <c r="H103" t="s">
        <v>665</v>
      </c>
      <c r="I103" t="s">
        <v>21</v>
      </c>
      <c r="J103" t="s">
        <v>56</v>
      </c>
      <c r="K103" t="s">
        <v>23</v>
      </c>
      <c r="M103" t="s">
        <v>176</v>
      </c>
      <c r="N103" t="s">
        <v>177</v>
      </c>
      <c r="O103" s="2">
        <v>84</v>
      </c>
      <c r="P103" s="2">
        <v>94</v>
      </c>
      <c r="Q103" s="2">
        <v>67</v>
      </c>
      <c r="R103" s="2">
        <v>91</v>
      </c>
      <c r="S103" s="2">
        <v>89</v>
      </c>
      <c r="T103" s="2">
        <v>91</v>
      </c>
      <c r="U103" t="s">
        <v>1747</v>
      </c>
      <c r="V103" s="2">
        <v>25</v>
      </c>
      <c r="W103" s="1">
        <v>45474</v>
      </c>
      <c r="X103" s="1">
        <v>45838</v>
      </c>
      <c r="Y103" s="2">
        <v>14.7</v>
      </c>
      <c r="Z103" t="s">
        <v>1884</v>
      </c>
      <c r="AA103">
        <v>85</v>
      </c>
      <c r="AB103" s="2">
        <v>12.9</v>
      </c>
      <c r="AC103" s="2">
        <v>16.8</v>
      </c>
      <c r="AD103" t="s">
        <v>25</v>
      </c>
      <c r="AE103" s="1">
        <v>45108</v>
      </c>
      <c r="AF103" s="1">
        <v>45473</v>
      </c>
      <c r="AG103" t="b">
        <v>0</v>
      </c>
      <c r="AH103" t="b">
        <v>1</v>
      </c>
      <c r="AI103" t="b">
        <v>1</v>
      </c>
      <c r="AJ103" t="str">
        <f>IF(tblMergedCleaned[[#This Row],[Overall_Rating]]=
    "",
    "Unavailable",
    IF(tblMergedCleaned[[#This Row],[Overall_Rating]]&lt;=
        2,
        "Low (1-2)",
        IF(tblMergedCleaned[[#This Row],[Overall_Rating]]=
            3,
            "Middle (3)",
            "High (4-5)"
        )
    )
)</f>
        <v>Unavailable</v>
      </c>
      <c r="AK103" t="str" cm="1">
        <f t="array" ref="AK103">IF(
    tblMergedCleaned[[#This Row],[Overall_Rating]]="",
    "",
    --(tblMergedCleaned[[#This Row],[Overall_Rating]]&lt;=2)
)</f>
        <v/>
      </c>
      <c r="AL103">
        <f>IF(
    tblMergedCleaned[[#This Row],[Definitely_Recommend_Pct]]="",
    "",
    --(tblMergedCleaned[[#This Row],[Definitely_Recommend_Pct]]&lt;TX_Median_Recommend)
)</f>
        <v>0</v>
      </c>
      <c r="AM103">
        <f>IF(
    tblMergedCleaned[[#This Row],[Readmission_Comparison]]="",
    "",
    --(tblMergedCleaned[[#This Row],[Readmission_Comparison]]="Worse")
)</f>
        <v>0</v>
      </c>
      <c r="AN103">
        <f>COUNT(
    tblMergedCleaned[[#This Row],[Low_Rating_Flag]:[Worse_Readmission_Flag]]
)</f>
        <v>2</v>
      </c>
      <c r="AO103">
        <f>SUM(
    tblMergedCleaned[[#This Row],[Low_Rating_Flag]:[Worse_Readmission_Flag]]
)</f>
        <v>0</v>
      </c>
      <c r="AP10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0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03" s="2">
        <f>IF(
    tblMergedCleaned[[#This Row],[Definitely_Recommend_Pct]]="",
    "",
    tblMergedCleaned[[#This Row],[Definitely_Recommend_Pct]]-TX_Median_Recommend
)</f>
        <v>20</v>
      </c>
      <c r="AS103" s="2">
        <f>IF(
    tblMergedCleaned[[#This Row],[Readmission_Rate_Pct]]="",
    "",
    tblMergedCleaned[[#This Row],[Readmission_Rate_Pct]]-TX_Median_Readmission
)</f>
        <v>-0.20000000000000107</v>
      </c>
    </row>
    <row r="104" spans="1:45">
      <c r="A104" t="s">
        <v>666</v>
      </c>
      <c r="B104" t="s">
        <v>667</v>
      </c>
      <c r="C104" t="s">
        <v>668</v>
      </c>
      <c r="D104" t="s">
        <v>669</v>
      </c>
      <c r="E104" t="s">
        <v>18</v>
      </c>
      <c r="F104" t="s">
        <v>670</v>
      </c>
      <c r="G104" t="s">
        <v>233</v>
      </c>
      <c r="H104" t="s">
        <v>671</v>
      </c>
      <c r="I104" t="s">
        <v>21</v>
      </c>
      <c r="J104" t="s">
        <v>56</v>
      </c>
      <c r="K104" t="s">
        <v>23</v>
      </c>
      <c r="M104" t="s">
        <v>176</v>
      </c>
      <c r="N104" t="s">
        <v>177</v>
      </c>
      <c r="O104" s="2">
        <v>92</v>
      </c>
      <c r="P104" s="2">
        <v>83</v>
      </c>
      <c r="Q104" s="2">
        <v>79</v>
      </c>
      <c r="R104" s="2">
        <v>90</v>
      </c>
      <c r="S104" s="2">
        <v>91</v>
      </c>
      <c r="T104" s="2">
        <v>83</v>
      </c>
      <c r="U104" t="s">
        <v>1748</v>
      </c>
      <c r="V104" s="2">
        <v>19</v>
      </c>
      <c r="W104" s="1">
        <v>45474</v>
      </c>
      <c r="X104" s="1">
        <v>45838</v>
      </c>
      <c r="Y104" s="2">
        <v>14.9</v>
      </c>
      <c r="Z104" t="s">
        <v>1884</v>
      </c>
      <c r="AA104">
        <v>31</v>
      </c>
      <c r="AB104" s="2">
        <v>12.9</v>
      </c>
      <c r="AC104" s="2">
        <v>17.2</v>
      </c>
      <c r="AD104" t="s">
        <v>25</v>
      </c>
      <c r="AE104" s="1">
        <v>45108</v>
      </c>
      <c r="AF104" s="1">
        <v>45473</v>
      </c>
      <c r="AG104" t="b">
        <v>0</v>
      </c>
      <c r="AH104" t="b">
        <v>1</v>
      </c>
      <c r="AI104" t="b">
        <v>1</v>
      </c>
      <c r="AJ104" t="str">
        <f>IF(tblMergedCleaned[[#This Row],[Overall_Rating]]=
    "",
    "Unavailable",
    IF(tblMergedCleaned[[#This Row],[Overall_Rating]]&lt;=
        2,
        "Low (1-2)",
        IF(tblMergedCleaned[[#This Row],[Overall_Rating]]=
            3,
            "Middle (3)",
            "High (4-5)"
        )
    )
)</f>
        <v>Unavailable</v>
      </c>
      <c r="AK104" t="str" cm="1">
        <f t="array" ref="AK104">IF(
    tblMergedCleaned[[#This Row],[Overall_Rating]]="",
    "",
    --(tblMergedCleaned[[#This Row],[Overall_Rating]]&lt;=2)
)</f>
        <v/>
      </c>
      <c r="AL104">
        <f>IF(
    tblMergedCleaned[[#This Row],[Definitely_Recommend_Pct]]="",
    "",
    --(tblMergedCleaned[[#This Row],[Definitely_Recommend_Pct]]&lt;TX_Median_Recommend)
)</f>
        <v>0</v>
      </c>
      <c r="AM104">
        <f>IF(
    tblMergedCleaned[[#This Row],[Readmission_Comparison]]="",
    "",
    --(tblMergedCleaned[[#This Row],[Readmission_Comparison]]="Worse")
)</f>
        <v>0</v>
      </c>
      <c r="AN104">
        <f>COUNT(
    tblMergedCleaned[[#This Row],[Low_Rating_Flag]:[Worse_Readmission_Flag]]
)</f>
        <v>2</v>
      </c>
      <c r="AO104">
        <f>SUM(
    tblMergedCleaned[[#This Row],[Low_Rating_Flag]:[Worse_Readmission_Flag]]
)</f>
        <v>0</v>
      </c>
      <c r="AP10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0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04" s="2">
        <f>IF(
    tblMergedCleaned[[#This Row],[Definitely_Recommend_Pct]]="",
    "",
    tblMergedCleaned[[#This Row],[Definitely_Recommend_Pct]]-TX_Median_Recommend
)</f>
        <v>12</v>
      </c>
      <c r="AS104" s="2">
        <f>IF(
    tblMergedCleaned[[#This Row],[Readmission_Rate_Pct]]="",
    "",
    tblMergedCleaned[[#This Row],[Readmission_Rate_Pct]]-TX_Median_Readmission
)</f>
        <v>0</v>
      </c>
    </row>
    <row r="105" spans="1:45">
      <c r="A105" t="s">
        <v>672</v>
      </c>
      <c r="B105" t="s">
        <v>673</v>
      </c>
      <c r="C105" t="s">
        <v>674</v>
      </c>
      <c r="D105" t="s">
        <v>53</v>
      </c>
      <c r="E105" t="s">
        <v>18</v>
      </c>
      <c r="F105" t="s">
        <v>675</v>
      </c>
      <c r="G105" t="s">
        <v>53</v>
      </c>
      <c r="H105" t="s">
        <v>676</v>
      </c>
      <c r="I105" t="s">
        <v>21</v>
      </c>
      <c r="J105" t="s">
        <v>33</v>
      </c>
      <c r="K105" t="s">
        <v>23</v>
      </c>
      <c r="L105">
        <v>4</v>
      </c>
      <c r="M105" t="s">
        <v>34</v>
      </c>
      <c r="N105" t="s">
        <v>25</v>
      </c>
      <c r="O105" s="2">
        <v>72</v>
      </c>
      <c r="P105" s="2">
        <v>76</v>
      </c>
      <c r="Q105" s="2">
        <v>55</v>
      </c>
      <c r="R105" s="2">
        <v>84</v>
      </c>
      <c r="S105" s="2">
        <v>69</v>
      </c>
      <c r="T105" s="2">
        <v>71</v>
      </c>
      <c r="U105" t="s">
        <v>1749</v>
      </c>
      <c r="V105" s="2">
        <v>15</v>
      </c>
      <c r="W105" s="1">
        <v>45474</v>
      </c>
      <c r="X105" s="1">
        <v>45838</v>
      </c>
      <c r="Y105" s="2">
        <v>13.8</v>
      </c>
      <c r="Z105" t="s">
        <v>1885</v>
      </c>
      <c r="AA105">
        <v>4414</v>
      </c>
      <c r="AB105" s="2">
        <v>12.9</v>
      </c>
      <c r="AC105" s="2">
        <v>14.6</v>
      </c>
      <c r="AD105" t="s">
        <v>25</v>
      </c>
      <c r="AE105" s="1">
        <v>45108</v>
      </c>
      <c r="AF105" s="1">
        <v>45473</v>
      </c>
      <c r="AG105" t="b">
        <v>1</v>
      </c>
      <c r="AH105" t="b">
        <v>1</v>
      </c>
      <c r="AI105" t="b">
        <v>1</v>
      </c>
      <c r="AJ105" t="str">
        <f>IF(tblMergedCleaned[[#This Row],[Overall_Rating]]=
    "",
    "Unavailable",
    IF(tblMergedCleaned[[#This Row],[Overall_Rating]]&lt;=
        2,
        "Low (1-2)",
        IF(tblMergedCleaned[[#This Row],[Overall_Rating]]=
            3,
            "Middle (3)",
            "High (4-5)"
        )
    )
)</f>
        <v>High (4-5)</v>
      </c>
      <c r="AK105" cm="1">
        <f t="array" ref="AK105">IF(
    tblMergedCleaned[[#This Row],[Overall_Rating]]="",
    "",
    --(tblMergedCleaned[[#This Row],[Overall_Rating]]&lt;=2)
)</f>
        <v>0</v>
      </c>
      <c r="AL105">
        <f>IF(
    tblMergedCleaned[[#This Row],[Definitely_Recommend_Pct]]="",
    "",
    --(tblMergedCleaned[[#This Row],[Definitely_Recommend_Pct]]&lt;TX_Median_Recommend)
)</f>
        <v>0</v>
      </c>
      <c r="AM105">
        <f>IF(
    tblMergedCleaned[[#This Row],[Readmission_Comparison]]="",
    "",
    --(tblMergedCleaned[[#This Row],[Readmission_Comparison]]="Worse")
)</f>
        <v>0</v>
      </c>
      <c r="AN105">
        <f>COUNT(
    tblMergedCleaned[[#This Row],[Low_Rating_Flag]:[Worse_Readmission_Flag]]
)</f>
        <v>3</v>
      </c>
      <c r="AO105">
        <f>SUM(
    tblMergedCleaned[[#This Row],[Low_Rating_Flag]:[Worse_Readmission_Flag]]
)</f>
        <v>0</v>
      </c>
      <c r="AP10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0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05" s="2">
        <f>IF(
    tblMergedCleaned[[#This Row],[Definitely_Recommend_Pct]]="",
    "",
    tblMergedCleaned[[#This Row],[Definitely_Recommend_Pct]]-TX_Median_Recommend
)</f>
        <v>0</v>
      </c>
      <c r="AS105" s="2">
        <f>IF(
    tblMergedCleaned[[#This Row],[Readmission_Rate_Pct]]="",
    "",
    tblMergedCleaned[[#This Row],[Readmission_Rate_Pct]]-TX_Median_Readmission
)</f>
        <v>-1.0999999999999996</v>
      </c>
    </row>
    <row r="106" spans="1:45">
      <c r="A106" t="s">
        <v>677</v>
      </c>
      <c r="B106" t="s">
        <v>678</v>
      </c>
      <c r="C106" t="s">
        <v>679</v>
      </c>
      <c r="D106" t="s">
        <v>680</v>
      </c>
      <c r="E106" t="s">
        <v>18</v>
      </c>
      <c r="F106" t="s">
        <v>681</v>
      </c>
      <c r="G106" t="s">
        <v>682</v>
      </c>
      <c r="H106" t="s">
        <v>683</v>
      </c>
      <c r="I106" t="s">
        <v>21</v>
      </c>
      <c r="J106" t="s">
        <v>56</v>
      </c>
      <c r="K106" t="s">
        <v>23</v>
      </c>
      <c r="L106">
        <v>5</v>
      </c>
      <c r="M106" t="s">
        <v>168</v>
      </c>
      <c r="N106" t="s">
        <v>25</v>
      </c>
      <c r="O106" s="2">
        <v>82</v>
      </c>
      <c r="P106" s="2">
        <v>81</v>
      </c>
      <c r="Q106" s="2">
        <v>61</v>
      </c>
      <c r="R106" s="2">
        <v>82</v>
      </c>
      <c r="S106" s="2">
        <v>74</v>
      </c>
      <c r="T106" s="2">
        <v>63</v>
      </c>
      <c r="U106" t="s">
        <v>1750</v>
      </c>
      <c r="V106" s="2">
        <v>11</v>
      </c>
      <c r="W106" s="1">
        <v>45474</v>
      </c>
      <c r="X106" s="1">
        <v>45838</v>
      </c>
      <c r="Y106" s="2">
        <v>14.2</v>
      </c>
      <c r="Z106" t="s">
        <v>1884</v>
      </c>
      <c r="AA106">
        <v>222</v>
      </c>
      <c r="AB106" s="2">
        <v>12.5</v>
      </c>
      <c r="AC106" s="2">
        <v>16.100000000000001</v>
      </c>
      <c r="AD106" t="s">
        <v>25</v>
      </c>
      <c r="AE106" s="1">
        <v>45108</v>
      </c>
      <c r="AF106" s="1">
        <v>45473</v>
      </c>
      <c r="AG106" t="b">
        <v>1</v>
      </c>
      <c r="AH106" t="b">
        <v>1</v>
      </c>
      <c r="AI106" t="b">
        <v>1</v>
      </c>
      <c r="AJ106" t="str">
        <f>IF(tblMergedCleaned[[#This Row],[Overall_Rating]]=
    "",
    "Unavailable",
    IF(tblMergedCleaned[[#This Row],[Overall_Rating]]&lt;=
        2,
        "Low (1-2)",
        IF(tblMergedCleaned[[#This Row],[Overall_Rating]]=
            3,
            "Middle (3)",
            "High (4-5)"
        )
    )
)</f>
        <v>High (4-5)</v>
      </c>
      <c r="AK106" cm="1">
        <f t="array" ref="AK106">IF(
    tblMergedCleaned[[#This Row],[Overall_Rating]]="",
    "",
    --(tblMergedCleaned[[#This Row],[Overall_Rating]]&lt;=2)
)</f>
        <v>0</v>
      </c>
      <c r="AL106">
        <f>IF(
    tblMergedCleaned[[#This Row],[Definitely_Recommend_Pct]]="",
    "",
    --(tblMergedCleaned[[#This Row],[Definitely_Recommend_Pct]]&lt;TX_Median_Recommend)
)</f>
        <v>1</v>
      </c>
      <c r="AM106">
        <f>IF(
    tblMergedCleaned[[#This Row],[Readmission_Comparison]]="",
    "",
    --(tblMergedCleaned[[#This Row],[Readmission_Comparison]]="Worse")
)</f>
        <v>0</v>
      </c>
      <c r="AN106">
        <f>COUNT(
    tblMergedCleaned[[#This Row],[Low_Rating_Flag]:[Worse_Readmission_Flag]]
)</f>
        <v>3</v>
      </c>
      <c r="AO106">
        <f>SUM(
    tblMergedCleaned[[#This Row],[Low_Rating_Flag]:[Worse_Readmission_Flag]]
)</f>
        <v>1</v>
      </c>
      <c r="AP10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0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06" s="2">
        <f>IF(
    tblMergedCleaned[[#This Row],[Definitely_Recommend_Pct]]="",
    "",
    tblMergedCleaned[[#This Row],[Definitely_Recommend_Pct]]-TX_Median_Recommend
)</f>
        <v>-8</v>
      </c>
      <c r="AS106" s="2">
        <f>IF(
    tblMergedCleaned[[#This Row],[Readmission_Rate_Pct]]="",
    "",
    tblMergedCleaned[[#This Row],[Readmission_Rate_Pct]]-TX_Median_Readmission
)</f>
        <v>-0.70000000000000107</v>
      </c>
    </row>
    <row r="107" spans="1:45">
      <c r="A107" t="s">
        <v>684</v>
      </c>
      <c r="B107" t="s">
        <v>685</v>
      </c>
      <c r="C107" t="s">
        <v>686</v>
      </c>
      <c r="D107" t="s">
        <v>687</v>
      </c>
      <c r="E107" t="s">
        <v>18</v>
      </c>
      <c r="F107" t="s">
        <v>688</v>
      </c>
      <c r="G107" t="s">
        <v>528</v>
      </c>
      <c r="H107" t="s">
        <v>689</v>
      </c>
      <c r="I107" t="s">
        <v>21</v>
      </c>
      <c r="J107" t="s">
        <v>22</v>
      </c>
      <c r="K107" t="s">
        <v>23</v>
      </c>
      <c r="L107">
        <v>2</v>
      </c>
      <c r="M107" t="s">
        <v>24</v>
      </c>
      <c r="N107" t="s">
        <v>25</v>
      </c>
      <c r="O107" s="2">
        <v>76</v>
      </c>
      <c r="P107" s="2">
        <v>75</v>
      </c>
      <c r="Q107" s="2">
        <v>68</v>
      </c>
      <c r="R107" s="2">
        <v>83</v>
      </c>
      <c r="S107" s="2">
        <v>56</v>
      </c>
      <c r="T107" s="2">
        <v>61</v>
      </c>
      <c r="U107" t="s">
        <v>1751</v>
      </c>
      <c r="V107" s="2">
        <v>14</v>
      </c>
      <c r="W107" s="1">
        <v>45474</v>
      </c>
      <c r="X107" s="1">
        <v>45838</v>
      </c>
      <c r="Y107" s="2">
        <v>14.6</v>
      </c>
      <c r="Z107" t="s">
        <v>1884</v>
      </c>
      <c r="AA107">
        <v>245</v>
      </c>
      <c r="AB107" s="2">
        <v>12.9</v>
      </c>
      <c r="AC107" s="2">
        <v>16.5</v>
      </c>
      <c r="AD107" t="s">
        <v>25</v>
      </c>
      <c r="AE107" s="1">
        <v>45108</v>
      </c>
      <c r="AF107" s="1">
        <v>45473</v>
      </c>
      <c r="AG107" t="b">
        <v>1</v>
      </c>
      <c r="AH107" t="b">
        <v>1</v>
      </c>
      <c r="AI107" t="b">
        <v>1</v>
      </c>
      <c r="AJ107" t="str">
        <f>IF(tblMergedCleaned[[#This Row],[Overall_Rating]]=
    "",
    "Unavailable",
    IF(tblMergedCleaned[[#This Row],[Overall_Rating]]&lt;=
        2,
        "Low (1-2)",
        IF(tblMergedCleaned[[#This Row],[Overall_Rating]]=
            3,
            "Middle (3)",
            "High (4-5)"
        )
    )
)</f>
        <v>Low (1-2)</v>
      </c>
      <c r="AK107" cm="1">
        <f t="array" ref="AK107">IF(
    tblMergedCleaned[[#This Row],[Overall_Rating]]="",
    "",
    --(tblMergedCleaned[[#This Row],[Overall_Rating]]&lt;=2)
)</f>
        <v>1</v>
      </c>
      <c r="AL107">
        <f>IF(
    tblMergedCleaned[[#This Row],[Definitely_Recommend_Pct]]="",
    "",
    --(tblMergedCleaned[[#This Row],[Definitely_Recommend_Pct]]&lt;TX_Median_Recommend)
)</f>
        <v>1</v>
      </c>
      <c r="AM107">
        <f>IF(
    tblMergedCleaned[[#This Row],[Readmission_Comparison]]="",
    "",
    --(tblMergedCleaned[[#This Row],[Readmission_Comparison]]="Worse")
)</f>
        <v>0</v>
      </c>
      <c r="AN107">
        <f>COUNT(
    tblMergedCleaned[[#This Row],[Low_Rating_Flag]:[Worse_Readmission_Flag]]
)</f>
        <v>3</v>
      </c>
      <c r="AO107">
        <f>SUM(
    tblMergedCleaned[[#This Row],[Low_Rating_Flag]:[Worse_Readmission_Flag]]
)</f>
        <v>2</v>
      </c>
      <c r="AP10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0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07" s="2">
        <f>IF(
    tblMergedCleaned[[#This Row],[Definitely_Recommend_Pct]]="",
    "",
    tblMergedCleaned[[#This Row],[Definitely_Recommend_Pct]]-TX_Median_Recommend
)</f>
        <v>-10</v>
      </c>
      <c r="AS107" s="2">
        <f>IF(
    tblMergedCleaned[[#This Row],[Readmission_Rate_Pct]]="",
    "",
    tblMergedCleaned[[#This Row],[Readmission_Rate_Pct]]-TX_Median_Readmission
)</f>
        <v>-0.30000000000000071</v>
      </c>
    </row>
    <row r="108" spans="1:45">
      <c r="A108" t="s">
        <v>690</v>
      </c>
      <c r="B108" t="s">
        <v>691</v>
      </c>
      <c r="C108" t="s">
        <v>692</v>
      </c>
      <c r="D108" t="s">
        <v>601</v>
      </c>
      <c r="E108" t="s">
        <v>18</v>
      </c>
      <c r="F108" t="s">
        <v>693</v>
      </c>
      <c r="G108" t="s">
        <v>694</v>
      </c>
      <c r="H108" t="s">
        <v>695</v>
      </c>
      <c r="I108" t="s">
        <v>21</v>
      </c>
      <c r="J108" t="s">
        <v>22</v>
      </c>
      <c r="K108" t="s">
        <v>23</v>
      </c>
      <c r="L108">
        <v>5</v>
      </c>
      <c r="M108" t="s">
        <v>168</v>
      </c>
      <c r="N108" t="s">
        <v>25</v>
      </c>
      <c r="O108" s="2">
        <v>82</v>
      </c>
      <c r="P108" s="2">
        <v>83</v>
      </c>
      <c r="Q108" s="2">
        <v>63</v>
      </c>
      <c r="R108" s="2">
        <v>87</v>
      </c>
      <c r="S108" s="2">
        <v>71</v>
      </c>
      <c r="T108" s="2">
        <v>68</v>
      </c>
      <c r="U108" t="s">
        <v>1708</v>
      </c>
      <c r="V108" s="2">
        <v>14</v>
      </c>
      <c r="W108" s="1">
        <v>45474</v>
      </c>
      <c r="X108" s="1">
        <v>45838</v>
      </c>
      <c r="Y108" s="2">
        <v>14.3</v>
      </c>
      <c r="Z108" t="s">
        <v>1884</v>
      </c>
      <c r="AA108">
        <v>145</v>
      </c>
      <c r="AB108" s="2">
        <v>12.6</v>
      </c>
      <c r="AC108" s="2">
        <v>16.3</v>
      </c>
      <c r="AD108" t="s">
        <v>25</v>
      </c>
      <c r="AE108" s="1">
        <v>45108</v>
      </c>
      <c r="AF108" s="1">
        <v>45473</v>
      </c>
      <c r="AG108" t="b">
        <v>1</v>
      </c>
      <c r="AH108" t="b">
        <v>1</v>
      </c>
      <c r="AI108" t="b">
        <v>1</v>
      </c>
      <c r="AJ108" t="str">
        <f>IF(tblMergedCleaned[[#This Row],[Overall_Rating]]=
    "",
    "Unavailable",
    IF(tblMergedCleaned[[#This Row],[Overall_Rating]]&lt;=
        2,
        "Low (1-2)",
        IF(tblMergedCleaned[[#This Row],[Overall_Rating]]=
            3,
            "Middle (3)",
            "High (4-5)"
        )
    )
)</f>
        <v>High (4-5)</v>
      </c>
      <c r="AK108" cm="1">
        <f t="array" ref="AK108">IF(
    tblMergedCleaned[[#This Row],[Overall_Rating]]="",
    "",
    --(tblMergedCleaned[[#This Row],[Overall_Rating]]&lt;=2)
)</f>
        <v>0</v>
      </c>
      <c r="AL108">
        <f>IF(
    tblMergedCleaned[[#This Row],[Definitely_Recommend_Pct]]="",
    "",
    --(tblMergedCleaned[[#This Row],[Definitely_Recommend_Pct]]&lt;TX_Median_Recommend)
)</f>
        <v>1</v>
      </c>
      <c r="AM108">
        <f>IF(
    tblMergedCleaned[[#This Row],[Readmission_Comparison]]="",
    "",
    --(tblMergedCleaned[[#This Row],[Readmission_Comparison]]="Worse")
)</f>
        <v>0</v>
      </c>
      <c r="AN108">
        <f>COUNT(
    tblMergedCleaned[[#This Row],[Low_Rating_Flag]:[Worse_Readmission_Flag]]
)</f>
        <v>3</v>
      </c>
      <c r="AO108">
        <f>SUM(
    tblMergedCleaned[[#This Row],[Low_Rating_Flag]:[Worse_Readmission_Flag]]
)</f>
        <v>1</v>
      </c>
      <c r="AP10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0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08" s="2">
        <f>IF(
    tblMergedCleaned[[#This Row],[Definitely_Recommend_Pct]]="",
    "",
    tblMergedCleaned[[#This Row],[Definitely_Recommend_Pct]]-TX_Median_Recommend
)</f>
        <v>-3</v>
      </c>
      <c r="AS108" s="2">
        <f>IF(
    tblMergedCleaned[[#This Row],[Readmission_Rate_Pct]]="",
    "",
    tblMergedCleaned[[#This Row],[Readmission_Rate_Pct]]-TX_Median_Readmission
)</f>
        <v>-0.59999999999999964</v>
      </c>
    </row>
    <row r="109" spans="1:45">
      <c r="A109" t="s">
        <v>696</v>
      </c>
      <c r="B109" t="s">
        <v>697</v>
      </c>
      <c r="C109" t="s">
        <v>698</v>
      </c>
      <c r="D109" t="s">
        <v>448</v>
      </c>
      <c r="E109" t="s">
        <v>18</v>
      </c>
      <c r="F109" t="s">
        <v>699</v>
      </c>
      <c r="G109" t="s">
        <v>450</v>
      </c>
      <c r="H109" t="s">
        <v>700</v>
      </c>
      <c r="I109" t="s">
        <v>21</v>
      </c>
      <c r="J109" t="s">
        <v>22</v>
      </c>
      <c r="K109" t="s">
        <v>23</v>
      </c>
      <c r="L109">
        <v>3</v>
      </c>
      <c r="M109" t="s">
        <v>42</v>
      </c>
      <c r="N109" t="s">
        <v>25</v>
      </c>
      <c r="O109" s="2">
        <v>74</v>
      </c>
      <c r="P109" s="2">
        <v>72</v>
      </c>
      <c r="Q109" s="2">
        <v>60</v>
      </c>
      <c r="R109" s="2">
        <v>82</v>
      </c>
      <c r="S109" s="2">
        <v>65</v>
      </c>
      <c r="T109" s="2">
        <v>68</v>
      </c>
      <c r="U109" t="s">
        <v>1752</v>
      </c>
      <c r="V109" s="2">
        <v>13</v>
      </c>
      <c r="W109" s="1">
        <v>45474</v>
      </c>
      <c r="X109" s="1">
        <v>45838</v>
      </c>
      <c r="Y109" s="2">
        <v>16.399999999999999</v>
      </c>
      <c r="Z109" t="s">
        <v>1886</v>
      </c>
      <c r="AA109">
        <v>1267</v>
      </c>
      <c r="AB109" s="2">
        <v>15.2</v>
      </c>
      <c r="AC109" s="2">
        <v>17.8</v>
      </c>
      <c r="AD109" t="s">
        <v>25</v>
      </c>
      <c r="AE109" s="1">
        <v>45108</v>
      </c>
      <c r="AF109" s="1">
        <v>45473</v>
      </c>
      <c r="AG109" t="b">
        <v>1</v>
      </c>
      <c r="AH109" t="b">
        <v>1</v>
      </c>
      <c r="AI109" t="b">
        <v>1</v>
      </c>
      <c r="AJ109" t="str">
        <f>IF(tblMergedCleaned[[#This Row],[Overall_Rating]]=
    "",
    "Unavailable",
    IF(tblMergedCleaned[[#This Row],[Overall_Rating]]&lt;=
        2,
        "Low (1-2)",
        IF(tblMergedCleaned[[#This Row],[Overall_Rating]]=
            3,
            "Middle (3)",
            "High (4-5)"
        )
    )
)</f>
        <v>Middle (3)</v>
      </c>
      <c r="AK109" cm="1">
        <f t="array" ref="AK109">IF(
    tblMergedCleaned[[#This Row],[Overall_Rating]]="",
    "",
    --(tblMergedCleaned[[#This Row],[Overall_Rating]]&lt;=2)
)</f>
        <v>0</v>
      </c>
      <c r="AL109">
        <f>IF(
    tblMergedCleaned[[#This Row],[Definitely_Recommend_Pct]]="",
    "",
    --(tblMergedCleaned[[#This Row],[Definitely_Recommend_Pct]]&lt;TX_Median_Recommend)
)</f>
        <v>1</v>
      </c>
      <c r="AM109">
        <f>IF(
    tblMergedCleaned[[#This Row],[Readmission_Comparison]]="",
    "",
    --(tblMergedCleaned[[#This Row],[Readmission_Comparison]]="Worse")
)</f>
        <v>1</v>
      </c>
      <c r="AN109">
        <f>COUNT(
    tblMergedCleaned[[#This Row],[Low_Rating_Flag]:[Worse_Readmission_Flag]]
)</f>
        <v>3</v>
      </c>
      <c r="AO109">
        <f>SUM(
    tblMergedCleaned[[#This Row],[Low_Rating_Flag]:[Worse_Readmission_Flag]]
)</f>
        <v>2</v>
      </c>
      <c r="AP10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0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09" s="2">
        <f>IF(
    tblMergedCleaned[[#This Row],[Definitely_Recommend_Pct]]="",
    "",
    tblMergedCleaned[[#This Row],[Definitely_Recommend_Pct]]-TX_Median_Recommend
)</f>
        <v>-3</v>
      </c>
      <c r="AS109" s="2">
        <f>IF(
    tblMergedCleaned[[#This Row],[Readmission_Rate_Pct]]="",
    "",
    tblMergedCleaned[[#This Row],[Readmission_Rate_Pct]]-TX_Median_Readmission
)</f>
        <v>1.4999999999999982</v>
      </c>
    </row>
    <row r="110" spans="1:45">
      <c r="A110" t="s">
        <v>701</v>
      </c>
      <c r="B110" t="s">
        <v>702</v>
      </c>
      <c r="C110" t="s">
        <v>703</v>
      </c>
      <c r="D110" t="s">
        <v>704</v>
      </c>
      <c r="E110" t="s">
        <v>18</v>
      </c>
      <c r="F110" t="s">
        <v>705</v>
      </c>
      <c r="G110" t="s">
        <v>706</v>
      </c>
      <c r="H110" t="s">
        <v>707</v>
      </c>
      <c r="I110" t="s">
        <v>21</v>
      </c>
      <c r="J110" t="s">
        <v>56</v>
      </c>
      <c r="K110" t="s">
        <v>23</v>
      </c>
      <c r="M110" t="s">
        <v>176</v>
      </c>
      <c r="N110" t="s">
        <v>177</v>
      </c>
      <c r="U110" t="s">
        <v>176</v>
      </c>
      <c r="W110" s="1">
        <v>45474</v>
      </c>
      <c r="X110" s="1">
        <v>45838</v>
      </c>
      <c r="Y110" s="2">
        <v>14.6</v>
      </c>
      <c r="Z110" t="s">
        <v>1884</v>
      </c>
      <c r="AA110">
        <v>45</v>
      </c>
      <c r="AB110" s="2">
        <v>12.6</v>
      </c>
      <c r="AC110" s="2">
        <v>17.100000000000001</v>
      </c>
      <c r="AD110" t="s">
        <v>25</v>
      </c>
      <c r="AE110" s="1">
        <v>45108</v>
      </c>
      <c r="AF110" s="1">
        <v>45473</v>
      </c>
      <c r="AG110" t="b">
        <v>0</v>
      </c>
      <c r="AH110" t="b">
        <v>0</v>
      </c>
      <c r="AI110" t="b">
        <v>1</v>
      </c>
      <c r="AJ110" t="str">
        <f>IF(tblMergedCleaned[[#This Row],[Overall_Rating]]=
    "",
    "Unavailable",
    IF(tblMergedCleaned[[#This Row],[Overall_Rating]]&lt;=
        2,
        "Low (1-2)",
        IF(tblMergedCleaned[[#This Row],[Overall_Rating]]=
            3,
            "Middle (3)",
            "High (4-5)"
        )
    )
)</f>
        <v>Unavailable</v>
      </c>
      <c r="AK110" t="str" cm="1">
        <f t="array" ref="AK110">IF(
    tblMergedCleaned[[#This Row],[Overall_Rating]]="",
    "",
    --(tblMergedCleaned[[#This Row],[Overall_Rating]]&lt;=2)
)</f>
        <v/>
      </c>
      <c r="AL110" t="str">
        <f>IF(
    tblMergedCleaned[[#This Row],[Definitely_Recommend_Pct]]="",
    "",
    --(tblMergedCleaned[[#This Row],[Definitely_Recommend_Pct]]&lt;TX_Median_Recommend)
)</f>
        <v/>
      </c>
      <c r="AM110">
        <f>IF(
    tblMergedCleaned[[#This Row],[Readmission_Comparison]]="",
    "",
    --(tblMergedCleaned[[#This Row],[Readmission_Comparison]]="Worse")
)</f>
        <v>0</v>
      </c>
      <c r="AN110">
        <f>COUNT(
    tblMergedCleaned[[#This Row],[Low_Rating_Flag]:[Worse_Readmission_Flag]]
)</f>
        <v>1</v>
      </c>
      <c r="AO110">
        <f>SUM(
    tblMergedCleaned[[#This Row],[Low_Rating_Flag]:[Worse_Readmission_Flag]]
)</f>
        <v>0</v>
      </c>
      <c r="AP11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1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110" s="2" t="str">
        <f>IF(
    tblMergedCleaned[[#This Row],[Definitely_Recommend_Pct]]="",
    "",
    tblMergedCleaned[[#This Row],[Definitely_Recommend_Pct]]-TX_Median_Recommend
)</f>
        <v/>
      </c>
      <c r="AS110" s="2">
        <f>IF(
    tblMergedCleaned[[#This Row],[Readmission_Rate_Pct]]="",
    "",
    tblMergedCleaned[[#This Row],[Readmission_Rate_Pct]]-TX_Median_Readmission
)</f>
        <v>-0.30000000000000071</v>
      </c>
    </row>
    <row r="111" spans="1:45">
      <c r="A111" t="s">
        <v>708</v>
      </c>
      <c r="B111" t="s">
        <v>709</v>
      </c>
      <c r="C111" t="s">
        <v>710</v>
      </c>
      <c r="D111" t="s">
        <v>711</v>
      </c>
      <c r="E111" t="s">
        <v>18</v>
      </c>
      <c r="F111" t="s">
        <v>712</v>
      </c>
      <c r="G111" t="s">
        <v>711</v>
      </c>
      <c r="H111" t="s">
        <v>713</v>
      </c>
      <c r="I111" t="s">
        <v>21</v>
      </c>
      <c r="J111" t="s">
        <v>22</v>
      </c>
      <c r="K111" t="s">
        <v>23</v>
      </c>
      <c r="L111">
        <v>2</v>
      </c>
      <c r="M111" t="s">
        <v>24</v>
      </c>
      <c r="N111" t="s">
        <v>25</v>
      </c>
      <c r="O111" s="2">
        <v>75</v>
      </c>
      <c r="P111" s="2">
        <v>72</v>
      </c>
      <c r="Q111" s="2">
        <v>57</v>
      </c>
      <c r="R111" s="2">
        <v>81</v>
      </c>
      <c r="S111" s="2">
        <v>69</v>
      </c>
      <c r="T111" s="2">
        <v>74</v>
      </c>
      <c r="U111" t="s">
        <v>1753</v>
      </c>
      <c r="V111" s="2">
        <v>11</v>
      </c>
      <c r="W111" s="1">
        <v>45474</v>
      </c>
      <c r="X111" s="1">
        <v>45838</v>
      </c>
      <c r="Y111" s="2">
        <v>15.4</v>
      </c>
      <c r="Z111" t="s">
        <v>1884</v>
      </c>
      <c r="AA111">
        <v>369</v>
      </c>
      <c r="AB111" s="2">
        <v>14</v>
      </c>
      <c r="AC111" s="2">
        <v>17.3</v>
      </c>
      <c r="AD111" t="s">
        <v>25</v>
      </c>
      <c r="AE111" s="1">
        <v>45108</v>
      </c>
      <c r="AF111" s="1">
        <v>45473</v>
      </c>
      <c r="AG111" t="b">
        <v>1</v>
      </c>
      <c r="AH111" t="b">
        <v>1</v>
      </c>
      <c r="AI111" t="b">
        <v>1</v>
      </c>
      <c r="AJ111" t="str">
        <f>IF(tblMergedCleaned[[#This Row],[Overall_Rating]]=
    "",
    "Unavailable",
    IF(tblMergedCleaned[[#This Row],[Overall_Rating]]&lt;=
        2,
        "Low (1-2)",
        IF(tblMergedCleaned[[#This Row],[Overall_Rating]]=
            3,
            "Middle (3)",
            "High (4-5)"
        )
    )
)</f>
        <v>Low (1-2)</v>
      </c>
      <c r="AK111" cm="1">
        <f t="array" ref="AK111">IF(
    tblMergedCleaned[[#This Row],[Overall_Rating]]="",
    "",
    --(tblMergedCleaned[[#This Row],[Overall_Rating]]&lt;=2)
)</f>
        <v>1</v>
      </c>
      <c r="AL111">
        <f>IF(
    tblMergedCleaned[[#This Row],[Definitely_Recommend_Pct]]="",
    "",
    --(tblMergedCleaned[[#This Row],[Definitely_Recommend_Pct]]&lt;TX_Median_Recommend)
)</f>
        <v>0</v>
      </c>
      <c r="AM111">
        <f>IF(
    tblMergedCleaned[[#This Row],[Readmission_Comparison]]="",
    "",
    --(tblMergedCleaned[[#This Row],[Readmission_Comparison]]="Worse")
)</f>
        <v>0</v>
      </c>
      <c r="AN111">
        <f>COUNT(
    tblMergedCleaned[[#This Row],[Low_Rating_Flag]:[Worse_Readmission_Flag]]
)</f>
        <v>3</v>
      </c>
      <c r="AO111">
        <f>SUM(
    tblMergedCleaned[[#This Row],[Low_Rating_Flag]:[Worse_Readmission_Flag]]
)</f>
        <v>1</v>
      </c>
      <c r="AP11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1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11" s="2">
        <f>IF(
    tblMergedCleaned[[#This Row],[Definitely_Recommend_Pct]]="",
    "",
    tblMergedCleaned[[#This Row],[Definitely_Recommend_Pct]]-TX_Median_Recommend
)</f>
        <v>3</v>
      </c>
      <c r="AS111" s="2">
        <f>IF(
    tblMergedCleaned[[#This Row],[Readmission_Rate_Pct]]="",
    "",
    tblMergedCleaned[[#This Row],[Readmission_Rate_Pct]]-TX_Median_Readmission
)</f>
        <v>0.5</v>
      </c>
    </row>
    <row r="112" spans="1:45">
      <c r="A112" t="s">
        <v>714</v>
      </c>
      <c r="B112" t="s">
        <v>715</v>
      </c>
      <c r="C112" t="s">
        <v>716</v>
      </c>
      <c r="D112" t="s">
        <v>717</v>
      </c>
      <c r="E112" t="s">
        <v>18</v>
      </c>
      <c r="F112" t="s">
        <v>718</v>
      </c>
      <c r="G112" t="s">
        <v>114</v>
      </c>
      <c r="H112" t="s">
        <v>719</v>
      </c>
      <c r="I112" t="s">
        <v>21</v>
      </c>
      <c r="J112" t="s">
        <v>81</v>
      </c>
      <c r="K112" t="s">
        <v>23</v>
      </c>
      <c r="L112">
        <v>3</v>
      </c>
      <c r="M112" t="s">
        <v>42</v>
      </c>
      <c r="N112" t="s">
        <v>25</v>
      </c>
      <c r="O112" s="2">
        <v>80</v>
      </c>
      <c r="P112" s="2">
        <v>77</v>
      </c>
      <c r="Q112" s="2">
        <v>64</v>
      </c>
      <c r="R112" s="2">
        <v>82</v>
      </c>
      <c r="S112" s="2">
        <v>64</v>
      </c>
      <c r="T112" s="2">
        <v>55</v>
      </c>
      <c r="U112" t="s">
        <v>1754</v>
      </c>
      <c r="V112" s="2">
        <v>11</v>
      </c>
      <c r="W112" s="1">
        <v>45474</v>
      </c>
      <c r="X112" s="1">
        <v>45838</v>
      </c>
      <c r="Y112" s="2">
        <v>15.2</v>
      </c>
      <c r="Z112" t="s">
        <v>1884</v>
      </c>
      <c r="AA112">
        <v>467</v>
      </c>
      <c r="AB112" s="2">
        <v>13.7</v>
      </c>
      <c r="AC112" s="2">
        <v>16.8</v>
      </c>
      <c r="AD112" t="s">
        <v>25</v>
      </c>
      <c r="AE112" s="1">
        <v>45108</v>
      </c>
      <c r="AF112" s="1">
        <v>45473</v>
      </c>
      <c r="AG112" t="b">
        <v>1</v>
      </c>
      <c r="AH112" t="b">
        <v>1</v>
      </c>
      <c r="AI112" t="b">
        <v>1</v>
      </c>
      <c r="AJ112" t="str">
        <f>IF(tblMergedCleaned[[#This Row],[Overall_Rating]]=
    "",
    "Unavailable",
    IF(tblMergedCleaned[[#This Row],[Overall_Rating]]&lt;=
        2,
        "Low (1-2)",
        IF(tblMergedCleaned[[#This Row],[Overall_Rating]]=
            3,
            "Middle (3)",
            "High (4-5)"
        )
    )
)</f>
        <v>Middle (3)</v>
      </c>
      <c r="AK112" cm="1">
        <f t="array" ref="AK112">IF(
    tblMergedCleaned[[#This Row],[Overall_Rating]]="",
    "",
    --(tblMergedCleaned[[#This Row],[Overall_Rating]]&lt;=2)
)</f>
        <v>0</v>
      </c>
      <c r="AL112">
        <f>IF(
    tblMergedCleaned[[#This Row],[Definitely_Recommend_Pct]]="",
    "",
    --(tblMergedCleaned[[#This Row],[Definitely_Recommend_Pct]]&lt;TX_Median_Recommend)
)</f>
        <v>1</v>
      </c>
      <c r="AM112">
        <f>IF(
    tblMergedCleaned[[#This Row],[Readmission_Comparison]]="",
    "",
    --(tblMergedCleaned[[#This Row],[Readmission_Comparison]]="Worse")
)</f>
        <v>0</v>
      </c>
      <c r="AN112">
        <f>COUNT(
    tblMergedCleaned[[#This Row],[Low_Rating_Flag]:[Worse_Readmission_Flag]]
)</f>
        <v>3</v>
      </c>
      <c r="AO112">
        <f>SUM(
    tblMergedCleaned[[#This Row],[Low_Rating_Flag]:[Worse_Readmission_Flag]]
)</f>
        <v>1</v>
      </c>
      <c r="AP11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1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12" s="2">
        <f>IF(
    tblMergedCleaned[[#This Row],[Definitely_Recommend_Pct]]="",
    "",
    tblMergedCleaned[[#This Row],[Definitely_Recommend_Pct]]-TX_Median_Recommend
)</f>
        <v>-16</v>
      </c>
      <c r="AS112" s="2">
        <f>IF(
    tblMergedCleaned[[#This Row],[Readmission_Rate_Pct]]="",
    "",
    tblMergedCleaned[[#This Row],[Readmission_Rate_Pct]]-TX_Median_Readmission
)</f>
        <v>0.29999999999999893</v>
      </c>
    </row>
    <row r="113" spans="1:45">
      <c r="A113" t="s">
        <v>720</v>
      </c>
      <c r="B113" t="s">
        <v>721</v>
      </c>
      <c r="C113" t="s">
        <v>722</v>
      </c>
      <c r="D113" t="s">
        <v>723</v>
      </c>
      <c r="E113" t="s">
        <v>18</v>
      </c>
      <c r="F113" t="s">
        <v>724</v>
      </c>
      <c r="G113" t="s">
        <v>629</v>
      </c>
      <c r="H113" t="s">
        <v>725</v>
      </c>
      <c r="I113" t="s">
        <v>21</v>
      </c>
      <c r="J113" t="s">
        <v>56</v>
      </c>
      <c r="K113" t="s">
        <v>23</v>
      </c>
      <c r="L113">
        <v>4</v>
      </c>
      <c r="M113" t="s">
        <v>34</v>
      </c>
      <c r="N113" t="s">
        <v>25</v>
      </c>
      <c r="O113" s="2">
        <v>78</v>
      </c>
      <c r="P113" s="2">
        <v>79</v>
      </c>
      <c r="Q113" s="2">
        <v>60</v>
      </c>
      <c r="R113" s="2">
        <v>87</v>
      </c>
      <c r="S113" s="2">
        <v>80</v>
      </c>
      <c r="T113" s="2">
        <v>79</v>
      </c>
      <c r="U113" t="s">
        <v>1755</v>
      </c>
      <c r="V113" s="2">
        <v>19</v>
      </c>
      <c r="W113" s="1">
        <v>45474</v>
      </c>
      <c r="X113" s="1">
        <v>45838</v>
      </c>
      <c r="Y113" s="2">
        <v>15.3</v>
      </c>
      <c r="Z113" t="s">
        <v>1884</v>
      </c>
      <c r="AA113">
        <v>2094</v>
      </c>
      <c r="AB113" s="2">
        <v>14.3</v>
      </c>
      <c r="AC113" s="2">
        <v>16.5</v>
      </c>
      <c r="AD113" t="s">
        <v>25</v>
      </c>
      <c r="AE113" s="1">
        <v>45108</v>
      </c>
      <c r="AF113" s="1">
        <v>45473</v>
      </c>
      <c r="AG113" t="b">
        <v>1</v>
      </c>
      <c r="AH113" t="b">
        <v>1</v>
      </c>
      <c r="AI113" t="b">
        <v>1</v>
      </c>
      <c r="AJ113" t="str">
        <f>IF(tblMergedCleaned[[#This Row],[Overall_Rating]]=
    "",
    "Unavailable",
    IF(tblMergedCleaned[[#This Row],[Overall_Rating]]&lt;=
        2,
        "Low (1-2)",
        IF(tblMergedCleaned[[#This Row],[Overall_Rating]]=
            3,
            "Middle (3)",
            "High (4-5)"
        )
    )
)</f>
        <v>High (4-5)</v>
      </c>
      <c r="AK113" cm="1">
        <f t="array" ref="AK113">IF(
    tblMergedCleaned[[#This Row],[Overall_Rating]]="",
    "",
    --(tblMergedCleaned[[#This Row],[Overall_Rating]]&lt;=2)
)</f>
        <v>0</v>
      </c>
      <c r="AL113">
        <f>IF(
    tblMergedCleaned[[#This Row],[Definitely_Recommend_Pct]]="",
    "",
    --(tblMergedCleaned[[#This Row],[Definitely_Recommend_Pct]]&lt;TX_Median_Recommend)
)</f>
        <v>0</v>
      </c>
      <c r="AM113">
        <f>IF(
    tblMergedCleaned[[#This Row],[Readmission_Comparison]]="",
    "",
    --(tblMergedCleaned[[#This Row],[Readmission_Comparison]]="Worse")
)</f>
        <v>0</v>
      </c>
      <c r="AN113">
        <f>COUNT(
    tblMergedCleaned[[#This Row],[Low_Rating_Flag]:[Worse_Readmission_Flag]]
)</f>
        <v>3</v>
      </c>
      <c r="AO113">
        <f>SUM(
    tblMergedCleaned[[#This Row],[Low_Rating_Flag]:[Worse_Readmission_Flag]]
)</f>
        <v>0</v>
      </c>
      <c r="AP11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1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13" s="2">
        <f>IF(
    tblMergedCleaned[[#This Row],[Definitely_Recommend_Pct]]="",
    "",
    tblMergedCleaned[[#This Row],[Definitely_Recommend_Pct]]-TX_Median_Recommend
)</f>
        <v>8</v>
      </c>
      <c r="AS113" s="2">
        <f>IF(
    tblMergedCleaned[[#This Row],[Readmission_Rate_Pct]]="",
    "",
    tblMergedCleaned[[#This Row],[Readmission_Rate_Pct]]-TX_Median_Readmission
)</f>
        <v>0.40000000000000036</v>
      </c>
    </row>
    <row r="114" spans="1:45">
      <c r="A114" t="s">
        <v>726</v>
      </c>
      <c r="B114" t="s">
        <v>727</v>
      </c>
      <c r="C114" t="s">
        <v>728</v>
      </c>
      <c r="D114" t="s">
        <v>729</v>
      </c>
      <c r="E114" t="s">
        <v>18</v>
      </c>
      <c r="F114" t="s">
        <v>730</v>
      </c>
      <c r="G114" t="s">
        <v>731</v>
      </c>
      <c r="H114" t="s">
        <v>732</v>
      </c>
      <c r="I114" t="s">
        <v>21</v>
      </c>
      <c r="J114" t="s">
        <v>33</v>
      </c>
      <c r="K114" t="s">
        <v>23</v>
      </c>
      <c r="L114">
        <v>4</v>
      </c>
      <c r="M114" t="s">
        <v>34</v>
      </c>
      <c r="N114" t="s">
        <v>25</v>
      </c>
      <c r="O114" s="2">
        <v>78</v>
      </c>
      <c r="P114" s="2">
        <v>82</v>
      </c>
      <c r="Q114" s="2">
        <v>63</v>
      </c>
      <c r="R114" s="2">
        <v>83</v>
      </c>
      <c r="S114" s="2">
        <v>72</v>
      </c>
      <c r="T114" s="2">
        <v>71</v>
      </c>
      <c r="U114" t="s">
        <v>1679</v>
      </c>
      <c r="V114" s="2">
        <v>15</v>
      </c>
      <c r="W114" s="1">
        <v>45474</v>
      </c>
      <c r="X114" s="1">
        <v>45838</v>
      </c>
      <c r="Y114" s="2">
        <v>14.4</v>
      </c>
      <c r="Z114" t="s">
        <v>1884</v>
      </c>
      <c r="AA114">
        <v>144</v>
      </c>
      <c r="AB114" s="2">
        <v>12.8</v>
      </c>
      <c r="AC114" s="2">
        <v>16.2</v>
      </c>
      <c r="AD114" t="s">
        <v>25</v>
      </c>
      <c r="AE114" s="1">
        <v>45108</v>
      </c>
      <c r="AF114" s="1">
        <v>45473</v>
      </c>
      <c r="AG114" t="b">
        <v>1</v>
      </c>
      <c r="AH114" t="b">
        <v>1</v>
      </c>
      <c r="AI114" t="b">
        <v>1</v>
      </c>
      <c r="AJ114" t="str">
        <f>IF(tblMergedCleaned[[#This Row],[Overall_Rating]]=
    "",
    "Unavailable",
    IF(tblMergedCleaned[[#This Row],[Overall_Rating]]&lt;=
        2,
        "Low (1-2)",
        IF(tblMergedCleaned[[#This Row],[Overall_Rating]]=
            3,
            "Middle (3)",
            "High (4-5)"
        )
    )
)</f>
        <v>High (4-5)</v>
      </c>
      <c r="AK114" cm="1">
        <f t="array" ref="AK114">IF(
    tblMergedCleaned[[#This Row],[Overall_Rating]]="",
    "",
    --(tblMergedCleaned[[#This Row],[Overall_Rating]]&lt;=2)
)</f>
        <v>0</v>
      </c>
      <c r="AL114">
        <f>IF(
    tblMergedCleaned[[#This Row],[Definitely_Recommend_Pct]]="",
    "",
    --(tblMergedCleaned[[#This Row],[Definitely_Recommend_Pct]]&lt;TX_Median_Recommend)
)</f>
        <v>0</v>
      </c>
      <c r="AM114">
        <f>IF(
    tblMergedCleaned[[#This Row],[Readmission_Comparison]]="",
    "",
    --(tblMergedCleaned[[#This Row],[Readmission_Comparison]]="Worse")
)</f>
        <v>0</v>
      </c>
      <c r="AN114">
        <f>COUNT(
    tblMergedCleaned[[#This Row],[Low_Rating_Flag]:[Worse_Readmission_Flag]]
)</f>
        <v>3</v>
      </c>
      <c r="AO114">
        <f>SUM(
    tblMergedCleaned[[#This Row],[Low_Rating_Flag]:[Worse_Readmission_Flag]]
)</f>
        <v>0</v>
      </c>
      <c r="AP11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1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14" s="2">
        <f>IF(
    tblMergedCleaned[[#This Row],[Definitely_Recommend_Pct]]="",
    "",
    tblMergedCleaned[[#This Row],[Definitely_Recommend_Pct]]-TX_Median_Recommend
)</f>
        <v>0</v>
      </c>
      <c r="AS114" s="2">
        <f>IF(
    tblMergedCleaned[[#This Row],[Readmission_Rate_Pct]]="",
    "",
    tblMergedCleaned[[#This Row],[Readmission_Rate_Pct]]-TX_Median_Readmission
)</f>
        <v>-0.5</v>
      </c>
    </row>
    <row r="115" spans="1:45">
      <c r="A115" t="s">
        <v>733</v>
      </c>
      <c r="B115" t="s">
        <v>734</v>
      </c>
      <c r="C115" t="s">
        <v>735</v>
      </c>
      <c r="D115" t="s">
        <v>736</v>
      </c>
      <c r="E115" t="s">
        <v>18</v>
      </c>
      <c r="F115" t="s">
        <v>737</v>
      </c>
      <c r="G115" t="s">
        <v>128</v>
      </c>
      <c r="H115" t="s">
        <v>738</v>
      </c>
      <c r="I115" t="s">
        <v>21</v>
      </c>
      <c r="J115" t="s">
        <v>33</v>
      </c>
      <c r="K115" t="s">
        <v>23</v>
      </c>
      <c r="L115">
        <v>4</v>
      </c>
      <c r="M115" t="s">
        <v>34</v>
      </c>
      <c r="N115" t="s">
        <v>25</v>
      </c>
      <c r="O115" s="2">
        <v>80</v>
      </c>
      <c r="P115" s="2">
        <v>78</v>
      </c>
      <c r="Q115" s="2">
        <v>61</v>
      </c>
      <c r="R115" s="2">
        <v>87</v>
      </c>
      <c r="S115" s="2">
        <v>79</v>
      </c>
      <c r="T115" s="2">
        <v>79</v>
      </c>
      <c r="U115" t="s">
        <v>1756</v>
      </c>
      <c r="V115" s="2">
        <v>16</v>
      </c>
      <c r="W115" s="1">
        <v>45474</v>
      </c>
      <c r="X115" s="1">
        <v>45838</v>
      </c>
      <c r="Y115" s="2">
        <v>15</v>
      </c>
      <c r="Z115" t="s">
        <v>1884</v>
      </c>
      <c r="AA115">
        <v>3424</v>
      </c>
      <c r="AB115" s="2">
        <v>14.1</v>
      </c>
      <c r="AC115" s="2">
        <v>15.9</v>
      </c>
      <c r="AD115" t="s">
        <v>25</v>
      </c>
      <c r="AE115" s="1">
        <v>45108</v>
      </c>
      <c r="AF115" s="1">
        <v>45473</v>
      </c>
      <c r="AG115" t="b">
        <v>1</v>
      </c>
      <c r="AH115" t="b">
        <v>1</v>
      </c>
      <c r="AI115" t="b">
        <v>1</v>
      </c>
      <c r="AJ115" t="str">
        <f>IF(tblMergedCleaned[[#This Row],[Overall_Rating]]=
    "",
    "Unavailable",
    IF(tblMergedCleaned[[#This Row],[Overall_Rating]]&lt;=
        2,
        "Low (1-2)",
        IF(tblMergedCleaned[[#This Row],[Overall_Rating]]=
            3,
            "Middle (3)",
            "High (4-5)"
        )
    )
)</f>
        <v>High (4-5)</v>
      </c>
      <c r="AK115" cm="1">
        <f t="array" ref="AK115">IF(
    tblMergedCleaned[[#This Row],[Overall_Rating]]="",
    "",
    --(tblMergedCleaned[[#This Row],[Overall_Rating]]&lt;=2)
)</f>
        <v>0</v>
      </c>
      <c r="AL115">
        <f>IF(
    tblMergedCleaned[[#This Row],[Definitely_Recommend_Pct]]="",
    "",
    --(tblMergedCleaned[[#This Row],[Definitely_Recommend_Pct]]&lt;TX_Median_Recommend)
)</f>
        <v>0</v>
      </c>
      <c r="AM115">
        <f>IF(
    tblMergedCleaned[[#This Row],[Readmission_Comparison]]="",
    "",
    --(tblMergedCleaned[[#This Row],[Readmission_Comparison]]="Worse")
)</f>
        <v>0</v>
      </c>
      <c r="AN115">
        <f>COUNT(
    tblMergedCleaned[[#This Row],[Low_Rating_Flag]:[Worse_Readmission_Flag]]
)</f>
        <v>3</v>
      </c>
      <c r="AO115">
        <f>SUM(
    tblMergedCleaned[[#This Row],[Low_Rating_Flag]:[Worse_Readmission_Flag]]
)</f>
        <v>0</v>
      </c>
      <c r="AP11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1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15" s="2">
        <f>IF(
    tblMergedCleaned[[#This Row],[Definitely_Recommend_Pct]]="",
    "",
    tblMergedCleaned[[#This Row],[Definitely_Recommend_Pct]]-TX_Median_Recommend
)</f>
        <v>8</v>
      </c>
      <c r="AS115" s="2">
        <f>IF(
    tblMergedCleaned[[#This Row],[Readmission_Rate_Pct]]="",
    "",
    tblMergedCleaned[[#This Row],[Readmission_Rate_Pct]]-TX_Median_Readmission
)</f>
        <v>9.9999999999999645E-2</v>
      </c>
    </row>
    <row r="116" spans="1:45">
      <c r="A116" t="s">
        <v>739</v>
      </c>
      <c r="B116" t="s">
        <v>740</v>
      </c>
      <c r="C116" t="s">
        <v>741</v>
      </c>
      <c r="D116" t="s">
        <v>742</v>
      </c>
      <c r="E116" t="s">
        <v>18</v>
      </c>
      <c r="F116" t="s">
        <v>743</v>
      </c>
      <c r="G116" t="s">
        <v>744</v>
      </c>
      <c r="H116" t="s">
        <v>745</v>
      </c>
      <c r="I116" t="s">
        <v>21</v>
      </c>
      <c r="J116" t="s">
        <v>56</v>
      </c>
      <c r="K116" t="s">
        <v>23</v>
      </c>
      <c r="L116">
        <v>3</v>
      </c>
      <c r="M116" t="s">
        <v>42</v>
      </c>
      <c r="N116" t="s">
        <v>25</v>
      </c>
      <c r="O116" s="2">
        <v>80</v>
      </c>
      <c r="P116" s="2">
        <v>75</v>
      </c>
      <c r="Q116" s="2">
        <v>61</v>
      </c>
      <c r="R116" s="2">
        <v>89</v>
      </c>
      <c r="S116" s="2">
        <v>69</v>
      </c>
      <c r="T116" s="2">
        <v>64</v>
      </c>
      <c r="U116" t="s">
        <v>1757</v>
      </c>
      <c r="V116" s="2">
        <v>12</v>
      </c>
      <c r="W116" s="1">
        <v>45474</v>
      </c>
      <c r="X116" s="1">
        <v>45838</v>
      </c>
      <c r="Y116" s="2">
        <v>15.1</v>
      </c>
      <c r="Z116" t="s">
        <v>1884</v>
      </c>
      <c r="AA116">
        <v>215</v>
      </c>
      <c r="AB116" s="2">
        <v>13.3</v>
      </c>
      <c r="AC116" s="2">
        <v>16.899999999999999</v>
      </c>
      <c r="AD116" t="s">
        <v>25</v>
      </c>
      <c r="AE116" s="1">
        <v>45108</v>
      </c>
      <c r="AF116" s="1">
        <v>45473</v>
      </c>
      <c r="AG116" t="b">
        <v>1</v>
      </c>
      <c r="AH116" t="b">
        <v>1</v>
      </c>
      <c r="AI116" t="b">
        <v>1</v>
      </c>
      <c r="AJ116" t="str">
        <f>IF(tblMergedCleaned[[#This Row],[Overall_Rating]]=
    "",
    "Unavailable",
    IF(tblMergedCleaned[[#This Row],[Overall_Rating]]&lt;=
        2,
        "Low (1-2)",
        IF(tblMergedCleaned[[#This Row],[Overall_Rating]]=
            3,
            "Middle (3)",
            "High (4-5)"
        )
    )
)</f>
        <v>Middle (3)</v>
      </c>
      <c r="AK116" cm="1">
        <f t="array" ref="AK116">IF(
    tblMergedCleaned[[#This Row],[Overall_Rating]]="",
    "",
    --(tblMergedCleaned[[#This Row],[Overall_Rating]]&lt;=2)
)</f>
        <v>0</v>
      </c>
      <c r="AL116">
        <f>IF(
    tblMergedCleaned[[#This Row],[Definitely_Recommend_Pct]]="",
    "",
    --(tblMergedCleaned[[#This Row],[Definitely_Recommend_Pct]]&lt;TX_Median_Recommend)
)</f>
        <v>1</v>
      </c>
      <c r="AM116">
        <f>IF(
    tblMergedCleaned[[#This Row],[Readmission_Comparison]]="",
    "",
    --(tblMergedCleaned[[#This Row],[Readmission_Comparison]]="Worse")
)</f>
        <v>0</v>
      </c>
      <c r="AN116">
        <f>COUNT(
    tblMergedCleaned[[#This Row],[Low_Rating_Flag]:[Worse_Readmission_Flag]]
)</f>
        <v>3</v>
      </c>
      <c r="AO116">
        <f>SUM(
    tblMergedCleaned[[#This Row],[Low_Rating_Flag]:[Worse_Readmission_Flag]]
)</f>
        <v>1</v>
      </c>
      <c r="AP11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1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16" s="2">
        <f>IF(
    tblMergedCleaned[[#This Row],[Definitely_Recommend_Pct]]="",
    "",
    tblMergedCleaned[[#This Row],[Definitely_Recommend_Pct]]-TX_Median_Recommend
)</f>
        <v>-7</v>
      </c>
      <c r="AS116" s="2">
        <f>IF(
    tblMergedCleaned[[#This Row],[Readmission_Rate_Pct]]="",
    "",
    tblMergedCleaned[[#This Row],[Readmission_Rate_Pct]]-TX_Median_Readmission
)</f>
        <v>0.19999999999999929</v>
      </c>
    </row>
    <row r="117" spans="1:45">
      <c r="A117" t="s">
        <v>746</v>
      </c>
      <c r="B117" t="s">
        <v>747</v>
      </c>
      <c r="C117" t="s">
        <v>748</v>
      </c>
      <c r="D117" t="s">
        <v>749</v>
      </c>
      <c r="E117" t="s">
        <v>18</v>
      </c>
      <c r="F117" t="s">
        <v>750</v>
      </c>
      <c r="G117" t="s">
        <v>751</v>
      </c>
      <c r="H117" t="s">
        <v>752</v>
      </c>
      <c r="I117" t="s">
        <v>21</v>
      </c>
      <c r="J117" t="s">
        <v>33</v>
      </c>
      <c r="K117" t="s">
        <v>23</v>
      </c>
      <c r="L117">
        <v>3</v>
      </c>
      <c r="M117" t="s">
        <v>42</v>
      </c>
      <c r="N117" t="s">
        <v>25</v>
      </c>
      <c r="O117" s="2">
        <v>75</v>
      </c>
      <c r="P117" s="2">
        <v>78</v>
      </c>
      <c r="Q117" s="2">
        <v>55</v>
      </c>
      <c r="R117" s="2">
        <v>84</v>
      </c>
      <c r="S117" s="2">
        <v>65</v>
      </c>
      <c r="T117" s="2">
        <v>65</v>
      </c>
      <c r="U117" t="s">
        <v>1758</v>
      </c>
      <c r="V117" s="2">
        <v>18</v>
      </c>
      <c r="W117" s="1">
        <v>45474</v>
      </c>
      <c r="X117" s="1">
        <v>45838</v>
      </c>
      <c r="Y117" s="2">
        <v>14.5</v>
      </c>
      <c r="Z117" t="s">
        <v>1884</v>
      </c>
      <c r="AA117">
        <v>3118</v>
      </c>
      <c r="AB117" s="2">
        <v>13.6</v>
      </c>
      <c r="AC117" s="2">
        <v>15.6</v>
      </c>
      <c r="AD117" t="s">
        <v>25</v>
      </c>
      <c r="AE117" s="1">
        <v>45108</v>
      </c>
      <c r="AF117" s="1">
        <v>45473</v>
      </c>
      <c r="AG117" t="b">
        <v>1</v>
      </c>
      <c r="AH117" t="b">
        <v>1</v>
      </c>
      <c r="AI117" t="b">
        <v>1</v>
      </c>
      <c r="AJ117" t="str">
        <f>IF(tblMergedCleaned[[#This Row],[Overall_Rating]]=
    "",
    "Unavailable",
    IF(tblMergedCleaned[[#This Row],[Overall_Rating]]&lt;=
        2,
        "Low (1-2)",
        IF(tblMergedCleaned[[#This Row],[Overall_Rating]]=
            3,
            "Middle (3)",
            "High (4-5)"
        )
    )
)</f>
        <v>Middle (3)</v>
      </c>
      <c r="AK117" cm="1">
        <f t="array" ref="AK117">IF(
    tblMergedCleaned[[#This Row],[Overall_Rating]]="",
    "",
    --(tblMergedCleaned[[#This Row],[Overall_Rating]]&lt;=2)
)</f>
        <v>0</v>
      </c>
      <c r="AL117">
        <f>IF(
    tblMergedCleaned[[#This Row],[Definitely_Recommend_Pct]]="",
    "",
    --(tblMergedCleaned[[#This Row],[Definitely_Recommend_Pct]]&lt;TX_Median_Recommend)
)</f>
        <v>1</v>
      </c>
      <c r="AM117">
        <f>IF(
    tblMergedCleaned[[#This Row],[Readmission_Comparison]]="",
    "",
    --(tblMergedCleaned[[#This Row],[Readmission_Comparison]]="Worse")
)</f>
        <v>0</v>
      </c>
      <c r="AN117">
        <f>COUNT(
    tblMergedCleaned[[#This Row],[Low_Rating_Flag]:[Worse_Readmission_Flag]]
)</f>
        <v>3</v>
      </c>
      <c r="AO117">
        <f>SUM(
    tblMergedCleaned[[#This Row],[Low_Rating_Flag]:[Worse_Readmission_Flag]]
)</f>
        <v>1</v>
      </c>
      <c r="AP11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1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17" s="2">
        <f>IF(
    tblMergedCleaned[[#This Row],[Definitely_Recommend_Pct]]="",
    "",
    tblMergedCleaned[[#This Row],[Definitely_Recommend_Pct]]-TX_Median_Recommend
)</f>
        <v>-6</v>
      </c>
      <c r="AS117" s="2">
        <f>IF(
    tblMergedCleaned[[#This Row],[Readmission_Rate_Pct]]="",
    "",
    tblMergedCleaned[[#This Row],[Readmission_Rate_Pct]]-TX_Median_Readmission
)</f>
        <v>-0.40000000000000036</v>
      </c>
    </row>
    <row r="118" spans="1:45">
      <c r="A118" t="s">
        <v>753</v>
      </c>
      <c r="B118" t="s">
        <v>754</v>
      </c>
      <c r="C118" t="s">
        <v>755</v>
      </c>
      <c r="D118" t="s">
        <v>756</v>
      </c>
      <c r="E118" t="s">
        <v>18</v>
      </c>
      <c r="F118" t="s">
        <v>757</v>
      </c>
      <c r="G118" t="s">
        <v>756</v>
      </c>
      <c r="H118" t="s">
        <v>758</v>
      </c>
      <c r="I118" t="s">
        <v>21</v>
      </c>
      <c r="J118" t="s">
        <v>33</v>
      </c>
      <c r="K118" t="s">
        <v>23</v>
      </c>
      <c r="L118">
        <v>4</v>
      </c>
      <c r="M118" t="s">
        <v>34</v>
      </c>
      <c r="N118" t="s">
        <v>25</v>
      </c>
      <c r="O118" s="2">
        <v>87</v>
      </c>
      <c r="P118" s="2">
        <v>82</v>
      </c>
      <c r="Q118" s="2">
        <v>64</v>
      </c>
      <c r="R118" s="2">
        <v>86</v>
      </c>
      <c r="S118" s="2">
        <v>76</v>
      </c>
      <c r="T118" s="2">
        <v>77</v>
      </c>
      <c r="U118" t="s">
        <v>1759</v>
      </c>
      <c r="V118" s="2">
        <v>20</v>
      </c>
      <c r="W118" s="1">
        <v>45474</v>
      </c>
      <c r="X118" s="1">
        <v>45838</v>
      </c>
      <c r="Y118" s="2">
        <v>15</v>
      </c>
      <c r="Z118" t="s">
        <v>1884</v>
      </c>
      <c r="AA118">
        <v>133</v>
      </c>
      <c r="AB118" s="2">
        <v>13.1</v>
      </c>
      <c r="AC118" s="2">
        <v>17.3</v>
      </c>
      <c r="AD118" t="s">
        <v>25</v>
      </c>
      <c r="AE118" s="1">
        <v>45108</v>
      </c>
      <c r="AF118" s="1">
        <v>45473</v>
      </c>
      <c r="AG118" t="b">
        <v>1</v>
      </c>
      <c r="AH118" t="b">
        <v>1</v>
      </c>
      <c r="AI118" t="b">
        <v>1</v>
      </c>
      <c r="AJ118" t="str">
        <f>IF(tblMergedCleaned[[#This Row],[Overall_Rating]]=
    "",
    "Unavailable",
    IF(tblMergedCleaned[[#This Row],[Overall_Rating]]&lt;=
        2,
        "Low (1-2)",
        IF(tblMergedCleaned[[#This Row],[Overall_Rating]]=
            3,
            "Middle (3)",
            "High (4-5)"
        )
    )
)</f>
        <v>High (4-5)</v>
      </c>
      <c r="AK118" cm="1">
        <f t="array" ref="AK118">IF(
    tblMergedCleaned[[#This Row],[Overall_Rating]]="",
    "",
    --(tblMergedCleaned[[#This Row],[Overall_Rating]]&lt;=2)
)</f>
        <v>0</v>
      </c>
      <c r="AL118">
        <f>IF(
    tblMergedCleaned[[#This Row],[Definitely_Recommend_Pct]]="",
    "",
    --(tblMergedCleaned[[#This Row],[Definitely_Recommend_Pct]]&lt;TX_Median_Recommend)
)</f>
        <v>0</v>
      </c>
      <c r="AM118">
        <f>IF(
    tblMergedCleaned[[#This Row],[Readmission_Comparison]]="",
    "",
    --(tblMergedCleaned[[#This Row],[Readmission_Comparison]]="Worse")
)</f>
        <v>0</v>
      </c>
      <c r="AN118">
        <f>COUNT(
    tblMergedCleaned[[#This Row],[Low_Rating_Flag]:[Worse_Readmission_Flag]]
)</f>
        <v>3</v>
      </c>
      <c r="AO118">
        <f>SUM(
    tblMergedCleaned[[#This Row],[Low_Rating_Flag]:[Worse_Readmission_Flag]]
)</f>
        <v>0</v>
      </c>
      <c r="AP11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1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18" s="2">
        <f>IF(
    tblMergedCleaned[[#This Row],[Definitely_Recommend_Pct]]="",
    "",
    tblMergedCleaned[[#This Row],[Definitely_Recommend_Pct]]-TX_Median_Recommend
)</f>
        <v>6</v>
      </c>
      <c r="AS118" s="2">
        <f>IF(
    tblMergedCleaned[[#This Row],[Readmission_Rate_Pct]]="",
    "",
    tblMergedCleaned[[#This Row],[Readmission_Rate_Pct]]-TX_Median_Readmission
)</f>
        <v>9.9999999999999645E-2</v>
      </c>
    </row>
    <row r="119" spans="1:45">
      <c r="A119" t="s">
        <v>759</v>
      </c>
      <c r="B119" t="s">
        <v>760</v>
      </c>
      <c r="C119" t="s">
        <v>761</v>
      </c>
      <c r="D119" t="s">
        <v>762</v>
      </c>
      <c r="E119" t="s">
        <v>18</v>
      </c>
      <c r="F119" t="s">
        <v>763</v>
      </c>
      <c r="G119" t="s">
        <v>764</v>
      </c>
      <c r="H119" t="s">
        <v>765</v>
      </c>
      <c r="I119" t="s">
        <v>21</v>
      </c>
      <c r="J119" t="s">
        <v>56</v>
      </c>
      <c r="K119" t="s">
        <v>23</v>
      </c>
      <c r="M119" t="s">
        <v>176</v>
      </c>
      <c r="N119" t="s">
        <v>177</v>
      </c>
      <c r="O119" s="2">
        <v>82</v>
      </c>
      <c r="P119" s="2">
        <v>88</v>
      </c>
      <c r="Q119" s="2">
        <v>64</v>
      </c>
      <c r="R119" s="2">
        <v>97</v>
      </c>
      <c r="S119" s="2">
        <v>70</v>
      </c>
      <c r="T119" s="2">
        <v>67</v>
      </c>
      <c r="U119" t="s">
        <v>1760</v>
      </c>
      <c r="V119" s="2">
        <v>24</v>
      </c>
      <c r="W119" s="1">
        <v>45474</v>
      </c>
      <c r="X119" s="1">
        <v>45838</v>
      </c>
      <c r="Y119" s="2">
        <v>14.8</v>
      </c>
      <c r="Z119" t="s">
        <v>1884</v>
      </c>
      <c r="AA119">
        <v>172</v>
      </c>
      <c r="AB119" s="2">
        <v>13</v>
      </c>
      <c r="AC119" s="2">
        <v>16.8</v>
      </c>
      <c r="AD119" t="s">
        <v>25</v>
      </c>
      <c r="AE119" s="1">
        <v>45108</v>
      </c>
      <c r="AF119" s="1">
        <v>45473</v>
      </c>
      <c r="AG119" t="b">
        <v>0</v>
      </c>
      <c r="AH119" t="b">
        <v>1</v>
      </c>
      <c r="AI119" t="b">
        <v>1</v>
      </c>
      <c r="AJ119" t="str">
        <f>IF(tblMergedCleaned[[#This Row],[Overall_Rating]]=
    "",
    "Unavailable",
    IF(tblMergedCleaned[[#This Row],[Overall_Rating]]&lt;=
        2,
        "Low (1-2)",
        IF(tblMergedCleaned[[#This Row],[Overall_Rating]]=
            3,
            "Middle (3)",
            "High (4-5)"
        )
    )
)</f>
        <v>Unavailable</v>
      </c>
      <c r="AK119" t="str" cm="1">
        <f t="array" ref="AK119">IF(
    tblMergedCleaned[[#This Row],[Overall_Rating]]="",
    "",
    --(tblMergedCleaned[[#This Row],[Overall_Rating]]&lt;=2)
)</f>
        <v/>
      </c>
      <c r="AL119">
        <f>IF(
    tblMergedCleaned[[#This Row],[Definitely_Recommend_Pct]]="",
    "",
    --(tblMergedCleaned[[#This Row],[Definitely_Recommend_Pct]]&lt;TX_Median_Recommend)
)</f>
        <v>1</v>
      </c>
      <c r="AM119">
        <f>IF(
    tblMergedCleaned[[#This Row],[Readmission_Comparison]]="",
    "",
    --(tblMergedCleaned[[#This Row],[Readmission_Comparison]]="Worse")
)</f>
        <v>0</v>
      </c>
      <c r="AN119">
        <f>COUNT(
    tblMergedCleaned[[#This Row],[Low_Rating_Flag]:[Worse_Readmission_Flag]]
)</f>
        <v>2</v>
      </c>
      <c r="AO119">
        <f>SUM(
    tblMergedCleaned[[#This Row],[Low_Rating_Flag]:[Worse_Readmission_Flag]]
)</f>
        <v>1</v>
      </c>
      <c r="AP11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1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19" s="2">
        <f>IF(
    tblMergedCleaned[[#This Row],[Definitely_Recommend_Pct]]="",
    "",
    tblMergedCleaned[[#This Row],[Definitely_Recommend_Pct]]-TX_Median_Recommend
)</f>
        <v>-4</v>
      </c>
      <c r="AS119" s="2">
        <f>IF(
    tblMergedCleaned[[#This Row],[Readmission_Rate_Pct]]="",
    "",
    tblMergedCleaned[[#This Row],[Readmission_Rate_Pct]]-TX_Median_Readmission
)</f>
        <v>-9.9999999999999645E-2</v>
      </c>
    </row>
    <row r="120" spans="1:45">
      <c r="A120" t="s">
        <v>766</v>
      </c>
      <c r="B120" t="s">
        <v>767</v>
      </c>
      <c r="C120" t="s">
        <v>768</v>
      </c>
      <c r="D120" t="s">
        <v>769</v>
      </c>
      <c r="E120" t="s">
        <v>18</v>
      </c>
      <c r="F120" t="s">
        <v>770</v>
      </c>
      <c r="G120" t="s">
        <v>771</v>
      </c>
      <c r="H120" t="s">
        <v>772</v>
      </c>
      <c r="I120" t="s">
        <v>21</v>
      </c>
      <c r="J120" t="s">
        <v>22</v>
      </c>
      <c r="K120" t="s">
        <v>23</v>
      </c>
      <c r="L120">
        <v>1</v>
      </c>
      <c r="M120" t="s">
        <v>322</v>
      </c>
      <c r="N120" t="s">
        <v>25</v>
      </c>
      <c r="O120" s="2">
        <v>75</v>
      </c>
      <c r="P120" s="2">
        <v>73</v>
      </c>
      <c r="Q120" s="2">
        <v>48</v>
      </c>
      <c r="R120" s="2">
        <v>87</v>
      </c>
      <c r="S120" s="2">
        <v>60</v>
      </c>
      <c r="T120" s="2">
        <v>55</v>
      </c>
      <c r="U120" t="s">
        <v>1761</v>
      </c>
      <c r="V120" s="2">
        <v>17</v>
      </c>
      <c r="W120" s="1">
        <v>45474</v>
      </c>
      <c r="X120" s="1">
        <v>45838</v>
      </c>
      <c r="Y120" s="2">
        <v>15.4</v>
      </c>
      <c r="Z120" t="s">
        <v>1884</v>
      </c>
      <c r="AA120">
        <v>907</v>
      </c>
      <c r="AB120" s="2">
        <v>14.1</v>
      </c>
      <c r="AC120" s="2">
        <v>17</v>
      </c>
      <c r="AD120" t="s">
        <v>25</v>
      </c>
      <c r="AE120" s="1">
        <v>45108</v>
      </c>
      <c r="AF120" s="1">
        <v>45473</v>
      </c>
      <c r="AG120" t="b">
        <v>1</v>
      </c>
      <c r="AH120" t="b">
        <v>1</v>
      </c>
      <c r="AI120" t="b">
        <v>1</v>
      </c>
      <c r="AJ120" t="str">
        <f>IF(tblMergedCleaned[[#This Row],[Overall_Rating]]=
    "",
    "Unavailable",
    IF(tblMergedCleaned[[#This Row],[Overall_Rating]]&lt;=
        2,
        "Low (1-2)",
        IF(tblMergedCleaned[[#This Row],[Overall_Rating]]=
            3,
            "Middle (3)",
            "High (4-5)"
        )
    )
)</f>
        <v>Low (1-2)</v>
      </c>
      <c r="AK120" cm="1">
        <f t="array" ref="AK120">IF(
    tblMergedCleaned[[#This Row],[Overall_Rating]]="",
    "",
    --(tblMergedCleaned[[#This Row],[Overall_Rating]]&lt;=2)
)</f>
        <v>1</v>
      </c>
      <c r="AL120">
        <f>IF(
    tblMergedCleaned[[#This Row],[Definitely_Recommend_Pct]]="",
    "",
    --(tblMergedCleaned[[#This Row],[Definitely_Recommend_Pct]]&lt;TX_Median_Recommend)
)</f>
        <v>1</v>
      </c>
      <c r="AM120">
        <f>IF(
    tblMergedCleaned[[#This Row],[Readmission_Comparison]]="",
    "",
    --(tblMergedCleaned[[#This Row],[Readmission_Comparison]]="Worse")
)</f>
        <v>0</v>
      </c>
      <c r="AN120">
        <f>COUNT(
    tblMergedCleaned[[#This Row],[Low_Rating_Flag]:[Worse_Readmission_Flag]]
)</f>
        <v>3</v>
      </c>
      <c r="AO120">
        <f>SUM(
    tblMergedCleaned[[#This Row],[Low_Rating_Flag]:[Worse_Readmission_Flag]]
)</f>
        <v>2</v>
      </c>
      <c r="AP12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2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20" s="2">
        <f>IF(
    tblMergedCleaned[[#This Row],[Definitely_Recommend_Pct]]="",
    "",
    tblMergedCleaned[[#This Row],[Definitely_Recommend_Pct]]-TX_Median_Recommend
)</f>
        <v>-16</v>
      </c>
      <c r="AS120" s="2">
        <f>IF(
    tblMergedCleaned[[#This Row],[Readmission_Rate_Pct]]="",
    "",
    tblMergedCleaned[[#This Row],[Readmission_Rate_Pct]]-TX_Median_Readmission
)</f>
        <v>0.5</v>
      </c>
    </row>
    <row r="121" spans="1:45">
      <c r="A121" t="s">
        <v>773</v>
      </c>
      <c r="B121" t="s">
        <v>774</v>
      </c>
      <c r="C121" t="s">
        <v>775</v>
      </c>
      <c r="D121" t="s">
        <v>776</v>
      </c>
      <c r="E121" t="s">
        <v>18</v>
      </c>
      <c r="F121" t="s">
        <v>777</v>
      </c>
      <c r="G121" t="s">
        <v>778</v>
      </c>
      <c r="H121" t="s">
        <v>779</v>
      </c>
      <c r="I121" t="s">
        <v>21</v>
      </c>
      <c r="J121" t="s">
        <v>22</v>
      </c>
      <c r="K121" t="s">
        <v>23</v>
      </c>
      <c r="L121">
        <v>3</v>
      </c>
      <c r="M121" t="s">
        <v>42</v>
      </c>
      <c r="N121" t="s">
        <v>25</v>
      </c>
      <c r="O121" s="2">
        <v>73</v>
      </c>
      <c r="P121" s="2">
        <v>72</v>
      </c>
      <c r="Q121" s="2">
        <v>58</v>
      </c>
      <c r="R121" s="2">
        <v>81</v>
      </c>
      <c r="S121" s="2">
        <v>55</v>
      </c>
      <c r="T121" s="2">
        <v>51</v>
      </c>
      <c r="U121" t="s">
        <v>1762</v>
      </c>
      <c r="V121" s="2">
        <v>18</v>
      </c>
      <c r="W121" s="1">
        <v>45474</v>
      </c>
      <c r="X121" s="1">
        <v>45838</v>
      </c>
      <c r="Y121" s="2">
        <v>14.8</v>
      </c>
      <c r="Z121" t="s">
        <v>1884</v>
      </c>
      <c r="AA121">
        <v>578</v>
      </c>
      <c r="AB121" s="2">
        <v>13.4</v>
      </c>
      <c r="AC121" s="2">
        <v>16.3</v>
      </c>
      <c r="AD121" t="s">
        <v>25</v>
      </c>
      <c r="AE121" s="1">
        <v>45108</v>
      </c>
      <c r="AF121" s="1">
        <v>45473</v>
      </c>
      <c r="AG121" t="b">
        <v>1</v>
      </c>
      <c r="AH121" t="b">
        <v>1</v>
      </c>
      <c r="AI121" t="b">
        <v>1</v>
      </c>
      <c r="AJ121" t="str">
        <f>IF(tblMergedCleaned[[#This Row],[Overall_Rating]]=
    "",
    "Unavailable",
    IF(tblMergedCleaned[[#This Row],[Overall_Rating]]&lt;=
        2,
        "Low (1-2)",
        IF(tblMergedCleaned[[#This Row],[Overall_Rating]]=
            3,
            "Middle (3)",
            "High (4-5)"
        )
    )
)</f>
        <v>Middle (3)</v>
      </c>
      <c r="AK121" cm="1">
        <f t="array" ref="AK121">IF(
    tblMergedCleaned[[#This Row],[Overall_Rating]]="",
    "",
    --(tblMergedCleaned[[#This Row],[Overall_Rating]]&lt;=2)
)</f>
        <v>0</v>
      </c>
      <c r="AL121">
        <f>IF(
    tblMergedCleaned[[#This Row],[Definitely_Recommend_Pct]]="",
    "",
    --(tblMergedCleaned[[#This Row],[Definitely_Recommend_Pct]]&lt;TX_Median_Recommend)
)</f>
        <v>1</v>
      </c>
      <c r="AM121">
        <f>IF(
    tblMergedCleaned[[#This Row],[Readmission_Comparison]]="",
    "",
    --(tblMergedCleaned[[#This Row],[Readmission_Comparison]]="Worse")
)</f>
        <v>0</v>
      </c>
      <c r="AN121">
        <f>COUNT(
    tblMergedCleaned[[#This Row],[Low_Rating_Flag]:[Worse_Readmission_Flag]]
)</f>
        <v>3</v>
      </c>
      <c r="AO121">
        <f>SUM(
    tblMergedCleaned[[#This Row],[Low_Rating_Flag]:[Worse_Readmission_Flag]]
)</f>
        <v>1</v>
      </c>
      <c r="AP12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2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21" s="2">
        <f>IF(
    tblMergedCleaned[[#This Row],[Definitely_Recommend_Pct]]="",
    "",
    tblMergedCleaned[[#This Row],[Definitely_Recommend_Pct]]-TX_Median_Recommend
)</f>
        <v>-20</v>
      </c>
      <c r="AS121" s="2">
        <f>IF(
    tblMergedCleaned[[#This Row],[Readmission_Rate_Pct]]="",
    "",
    tblMergedCleaned[[#This Row],[Readmission_Rate_Pct]]-TX_Median_Readmission
)</f>
        <v>-9.9999999999999645E-2</v>
      </c>
    </row>
    <row r="122" spans="1:45">
      <c r="A122" t="s">
        <v>780</v>
      </c>
      <c r="B122" t="s">
        <v>781</v>
      </c>
      <c r="C122" t="s">
        <v>782</v>
      </c>
      <c r="D122" t="s">
        <v>783</v>
      </c>
      <c r="E122" t="s">
        <v>18</v>
      </c>
      <c r="F122" t="s">
        <v>784</v>
      </c>
      <c r="G122" t="s">
        <v>785</v>
      </c>
      <c r="H122" t="s">
        <v>786</v>
      </c>
      <c r="I122" t="s">
        <v>21</v>
      </c>
      <c r="J122" t="s">
        <v>56</v>
      </c>
      <c r="K122" t="s">
        <v>23</v>
      </c>
      <c r="L122">
        <v>4</v>
      </c>
      <c r="M122" t="s">
        <v>34</v>
      </c>
      <c r="N122" t="s">
        <v>25</v>
      </c>
      <c r="O122" s="2">
        <v>83</v>
      </c>
      <c r="P122" s="2">
        <v>84</v>
      </c>
      <c r="Q122" s="2">
        <v>68</v>
      </c>
      <c r="R122" s="2">
        <v>90</v>
      </c>
      <c r="S122" s="2">
        <v>80</v>
      </c>
      <c r="T122" s="2">
        <v>68</v>
      </c>
      <c r="U122" t="s">
        <v>143</v>
      </c>
      <c r="V122" s="2">
        <v>8</v>
      </c>
      <c r="W122" s="1">
        <v>45474</v>
      </c>
      <c r="X122" s="1">
        <v>45838</v>
      </c>
      <c r="Y122" s="2">
        <v>14.6</v>
      </c>
      <c r="Z122" t="s">
        <v>1884</v>
      </c>
      <c r="AA122">
        <v>106</v>
      </c>
      <c r="AB122" s="2">
        <v>12.7</v>
      </c>
      <c r="AC122" s="2">
        <v>16.8</v>
      </c>
      <c r="AD122" t="s">
        <v>25</v>
      </c>
      <c r="AE122" s="1">
        <v>45108</v>
      </c>
      <c r="AF122" s="1">
        <v>45473</v>
      </c>
      <c r="AG122" t="b">
        <v>1</v>
      </c>
      <c r="AH122" t="b">
        <v>1</v>
      </c>
      <c r="AI122" t="b">
        <v>1</v>
      </c>
      <c r="AJ122" t="str">
        <f>IF(tblMergedCleaned[[#This Row],[Overall_Rating]]=
    "",
    "Unavailable",
    IF(tblMergedCleaned[[#This Row],[Overall_Rating]]&lt;=
        2,
        "Low (1-2)",
        IF(tblMergedCleaned[[#This Row],[Overall_Rating]]=
            3,
            "Middle (3)",
            "High (4-5)"
        )
    )
)</f>
        <v>High (4-5)</v>
      </c>
      <c r="AK122" cm="1">
        <f t="array" ref="AK122">IF(
    tblMergedCleaned[[#This Row],[Overall_Rating]]="",
    "",
    --(tblMergedCleaned[[#This Row],[Overall_Rating]]&lt;=2)
)</f>
        <v>0</v>
      </c>
      <c r="AL122">
        <f>IF(
    tblMergedCleaned[[#This Row],[Definitely_Recommend_Pct]]="",
    "",
    --(tblMergedCleaned[[#This Row],[Definitely_Recommend_Pct]]&lt;TX_Median_Recommend)
)</f>
        <v>1</v>
      </c>
      <c r="AM122">
        <f>IF(
    tblMergedCleaned[[#This Row],[Readmission_Comparison]]="",
    "",
    --(tblMergedCleaned[[#This Row],[Readmission_Comparison]]="Worse")
)</f>
        <v>0</v>
      </c>
      <c r="AN122">
        <f>COUNT(
    tblMergedCleaned[[#This Row],[Low_Rating_Flag]:[Worse_Readmission_Flag]]
)</f>
        <v>3</v>
      </c>
      <c r="AO122">
        <f>SUM(
    tblMergedCleaned[[#This Row],[Low_Rating_Flag]:[Worse_Readmission_Flag]]
)</f>
        <v>1</v>
      </c>
      <c r="AP12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2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22" s="2">
        <f>IF(
    tblMergedCleaned[[#This Row],[Definitely_Recommend_Pct]]="",
    "",
    tblMergedCleaned[[#This Row],[Definitely_Recommend_Pct]]-TX_Median_Recommend
)</f>
        <v>-3</v>
      </c>
      <c r="AS122" s="2">
        <f>IF(
    tblMergedCleaned[[#This Row],[Readmission_Rate_Pct]]="",
    "",
    tblMergedCleaned[[#This Row],[Readmission_Rate_Pct]]-TX_Median_Readmission
)</f>
        <v>-0.30000000000000071</v>
      </c>
    </row>
    <row r="123" spans="1:45">
      <c r="A123" t="s">
        <v>787</v>
      </c>
      <c r="B123" t="s">
        <v>788</v>
      </c>
      <c r="C123" t="s">
        <v>789</v>
      </c>
      <c r="D123" t="s">
        <v>790</v>
      </c>
      <c r="E123" t="s">
        <v>18</v>
      </c>
      <c r="F123" t="s">
        <v>791</v>
      </c>
      <c r="G123" t="s">
        <v>792</v>
      </c>
      <c r="H123" t="s">
        <v>793</v>
      </c>
      <c r="I123" t="s">
        <v>21</v>
      </c>
      <c r="J123" t="s">
        <v>22</v>
      </c>
      <c r="K123" t="s">
        <v>23</v>
      </c>
      <c r="L123">
        <v>4</v>
      </c>
      <c r="M123" t="s">
        <v>34</v>
      </c>
      <c r="N123" t="s">
        <v>25</v>
      </c>
      <c r="O123" s="2">
        <v>82</v>
      </c>
      <c r="P123" s="2">
        <v>81</v>
      </c>
      <c r="Q123" s="2">
        <v>62</v>
      </c>
      <c r="R123" s="2">
        <v>89</v>
      </c>
      <c r="S123" s="2">
        <v>74</v>
      </c>
      <c r="T123" s="2">
        <v>73</v>
      </c>
      <c r="U123" t="s">
        <v>1761</v>
      </c>
      <c r="V123" s="2">
        <v>27</v>
      </c>
      <c r="W123" s="1">
        <v>45474</v>
      </c>
      <c r="X123" s="1">
        <v>45838</v>
      </c>
      <c r="Y123" s="2">
        <v>14.4</v>
      </c>
      <c r="Z123" t="s">
        <v>1884</v>
      </c>
      <c r="AA123">
        <v>673</v>
      </c>
      <c r="AB123" s="2">
        <v>12.9</v>
      </c>
      <c r="AC123" s="2">
        <v>15.9</v>
      </c>
      <c r="AD123" t="s">
        <v>25</v>
      </c>
      <c r="AE123" s="1">
        <v>45108</v>
      </c>
      <c r="AF123" s="1">
        <v>45473</v>
      </c>
      <c r="AG123" t="b">
        <v>1</v>
      </c>
      <c r="AH123" t="b">
        <v>1</v>
      </c>
      <c r="AI123" t="b">
        <v>1</v>
      </c>
      <c r="AJ123" t="str">
        <f>IF(tblMergedCleaned[[#This Row],[Overall_Rating]]=
    "",
    "Unavailable",
    IF(tblMergedCleaned[[#This Row],[Overall_Rating]]&lt;=
        2,
        "Low (1-2)",
        IF(tblMergedCleaned[[#This Row],[Overall_Rating]]=
            3,
            "Middle (3)",
            "High (4-5)"
        )
    )
)</f>
        <v>High (4-5)</v>
      </c>
      <c r="AK123" cm="1">
        <f t="array" ref="AK123">IF(
    tblMergedCleaned[[#This Row],[Overall_Rating]]="",
    "",
    --(tblMergedCleaned[[#This Row],[Overall_Rating]]&lt;=2)
)</f>
        <v>0</v>
      </c>
      <c r="AL123">
        <f>IF(
    tblMergedCleaned[[#This Row],[Definitely_Recommend_Pct]]="",
    "",
    --(tblMergedCleaned[[#This Row],[Definitely_Recommend_Pct]]&lt;TX_Median_Recommend)
)</f>
        <v>0</v>
      </c>
      <c r="AM123">
        <f>IF(
    tblMergedCleaned[[#This Row],[Readmission_Comparison]]="",
    "",
    --(tblMergedCleaned[[#This Row],[Readmission_Comparison]]="Worse")
)</f>
        <v>0</v>
      </c>
      <c r="AN123">
        <f>COUNT(
    tblMergedCleaned[[#This Row],[Low_Rating_Flag]:[Worse_Readmission_Flag]]
)</f>
        <v>3</v>
      </c>
      <c r="AO123">
        <f>SUM(
    tblMergedCleaned[[#This Row],[Low_Rating_Flag]:[Worse_Readmission_Flag]]
)</f>
        <v>0</v>
      </c>
      <c r="AP12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2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23" s="2">
        <f>IF(
    tblMergedCleaned[[#This Row],[Definitely_Recommend_Pct]]="",
    "",
    tblMergedCleaned[[#This Row],[Definitely_Recommend_Pct]]-TX_Median_Recommend
)</f>
        <v>2</v>
      </c>
      <c r="AS123" s="2">
        <f>IF(
    tblMergedCleaned[[#This Row],[Readmission_Rate_Pct]]="",
    "",
    tblMergedCleaned[[#This Row],[Readmission_Rate_Pct]]-TX_Median_Readmission
)</f>
        <v>-0.5</v>
      </c>
    </row>
    <row r="124" spans="1:45">
      <c r="A124" t="s">
        <v>794</v>
      </c>
      <c r="B124" t="s">
        <v>795</v>
      </c>
      <c r="C124" t="s">
        <v>796</v>
      </c>
      <c r="D124" t="s">
        <v>119</v>
      </c>
      <c r="E124" t="s">
        <v>18</v>
      </c>
      <c r="F124" t="s">
        <v>797</v>
      </c>
      <c r="G124" t="s">
        <v>121</v>
      </c>
      <c r="H124" t="s">
        <v>798</v>
      </c>
      <c r="I124" t="s">
        <v>21</v>
      </c>
      <c r="J124" t="s">
        <v>33</v>
      </c>
      <c r="K124" t="s">
        <v>23</v>
      </c>
      <c r="L124">
        <v>4</v>
      </c>
      <c r="M124" t="s">
        <v>34</v>
      </c>
      <c r="N124" t="s">
        <v>25</v>
      </c>
      <c r="O124" s="2">
        <v>72</v>
      </c>
      <c r="P124" s="2">
        <v>78</v>
      </c>
      <c r="Q124" s="2">
        <v>54</v>
      </c>
      <c r="R124" s="2">
        <v>86</v>
      </c>
      <c r="S124" s="2">
        <v>68</v>
      </c>
      <c r="T124" s="2">
        <v>69</v>
      </c>
      <c r="U124" t="s">
        <v>1763</v>
      </c>
      <c r="V124" s="2">
        <v>15</v>
      </c>
      <c r="W124" s="1">
        <v>45474</v>
      </c>
      <c r="X124" s="1">
        <v>45838</v>
      </c>
      <c r="Y124" s="2">
        <v>14.5</v>
      </c>
      <c r="Z124" t="s">
        <v>1884</v>
      </c>
      <c r="AA124">
        <v>2495</v>
      </c>
      <c r="AB124" s="2">
        <v>13.6</v>
      </c>
      <c r="AC124" s="2">
        <v>15.6</v>
      </c>
      <c r="AD124" t="s">
        <v>25</v>
      </c>
      <c r="AE124" s="1">
        <v>45108</v>
      </c>
      <c r="AF124" s="1">
        <v>45473</v>
      </c>
      <c r="AG124" t="b">
        <v>1</v>
      </c>
      <c r="AH124" t="b">
        <v>1</v>
      </c>
      <c r="AI124" t="b">
        <v>1</v>
      </c>
      <c r="AJ124" t="str">
        <f>IF(tblMergedCleaned[[#This Row],[Overall_Rating]]=
    "",
    "Unavailable",
    IF(tblMergedCleaned[[#This Row],[Overall_Rating]]&lt;=
        2,
        "Low (1-2)",
        IF(tblMergedCleaned[[#This Row],[Overall_Rating]]=
            3,
            "Middle (3)",
            "High (4-5)"
        )
    )
)</f>
        <v>High (4-5)</v>
      </c>
      <c r="AK124" cm="1">
        <f t="array" ref="AK124">IF(
    tblMergedCleaned[[#This Row],[Overall_Rating]]="",
    "",
    --(tblMergedCleaned[[#This Row],[Overall_Rating]]&lt;=2)
)</f>
        <v>0</v>
      </c>
      <c r="AL124">
        <f>IF(
    tblMergedCleaned[[#This Row],[Definitely_Recommend_Pct]]="",
    "",
    --(tblMergedCleaned[[#This Row],[Definitely_Recommend_Pct]]&lt;TX_Median_Recommend)
)</f>
        <v>1</v>
      </c>
      <c r="AM124">
        <f>IF(
    tblMergedCleaned[[#This Row],[Readmission_Comparison]]="",
    "",
    --(tblMergedCleaned[[#This Row],[Readmission_Comparison]]="Worse")
)</f>
        <v>0</v>
      </c>
      <c r="AN124">
        <f>COUNT(
    tblMergedCleaned[[#This Row],[Low_Rating_Flag]:[Worse_Readmission_Flag]]
)</f>
        <v>3</v>
      </c>
      <c r="AO124">
        <f>SUM(
    tblMergedCleaned[[#This Row],[Low_Rating_Flag]:[Worse_Readmission_Flag]]
)</f>
        <v>1</v>
      </c>
      <c r="AP12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2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24" s="2">
        <f>IF(
    tblMergedCleaned[[#This Row],[Definitely_Recommend_Pct]]="",
    "",
    tblMergedCleaned[[#This Row],[Definitely_Recommend_Pct]]-TX_Median_Recommend
)</f>
        <v>-2</v>
      </c>
      <c r="AS124" s="2">
        <f>IF(
    tblMergedCleaned[[#This Row],[Readmission_Rate_Pct]]="",
    "",
    tblMergedCleaned[[#This Row],[Readmission_Rate_Pct]]-TX_Median_Readmission
)</f>
        <v>-0.40000000000000036</v>
      </c>
    </row>
    <row r="125" spans="1:45">
      <c r="A125" t="s">
        <v>799</v>
      </c>
      <c r="B125" t="s">
        <v>800</v>
      </c>
      <c r="C125" t="s">
        <v>801</v>
      </c>
      <c r="D125" t="s">
        <v>802</v>
      </c>
      <c r="E125" t="s">
        <v>18</v>
      </c>
      <c r="F125" t="s">
        <v>803</v>
      </c>
      <c r="G125" t="s">
        <v>121</v>
      </c>
      <c r="H125" t="s">
        <v>804</v>
      </c>
      <c r="I125" t="s">
        <v>21</v>
      </c>
      <c r="J125" t="s">
        <v>22</v>
      </c>
      <c r="K125" t="s">
        <v>23</v>
      </c>
      <c r="L125">
        <v>4</v>
      </c>
      <c r="M125" t="s">
        <v>34</v>
      </c>
      <c r="N125" t="s">
        <v>25</v>
      </c>
      <c r="O125" s="2">
        <v>72</v>
      </c>
      <c r="P125" s="2">
        <v>71</v>
      </c>
      <c r="Q125" s="2">
        <v>52</v>
      </c>
      <c r="R125" s="2">
        <v>80</v>
      </c>
      <c r="S125" s="2">
        <v>64</v>
      </c>
      <c r="T125" s="2">
        <v>61</v>
      </c>
      <c r="U125" t="s">
        <v>1764</v>
      </c>
      <c r="V125" s="2">
        <v>12</v>
      </c>
      <c r="W125" s="1">
        <v>45474</v>
      </c>
      <c r="X125" s="1">
        <v>45838</v>
      </c>
      <c r="Y125" s="2">
        <v>16.2</v>
      </c>
      <c r="Z125" t="s">
        <v>1886</v>
      </c>
      <c r="AA125">
        <v>3267</v>
      </c>
      <c r="AB125" s="2">
        <v>15.3</v>
      </c>
      <c r="AC125" s="2">
        <v>17.2</v>
      </c>
      <c r="AD125" t="s">
        <v>25</v>
      </c>
      <c r="AE125" s="1">
        <v>45108</v>
      </c>
      <c r="AF125" s="1">
        <v>45473</v>
      </c>
      <c r="AG125" t="b">
        <v>1</v>
      </c>
      <c r="AH125" t="b">
        <v>1</v>
      </c>
      <c r="AI125" t="b">
        <v>1</v>
      </c>
      <c r="AJ125" t="str">
        <f>IF(tblMergedCleaned[[#This Row],[Overall_Rating]]=
    "",
    "Unavailable",
    IF(tblMergedCleaned[[#This Row],[Overall_Rating]]&lt;=
        2,
        "Low (1-2)",
        IF(tblMergedCleaned[[#This Row],[Overall_Rating]]=
            3,
            "Middle (3)",
            "High (4-5)"
        )
    )
)</f>
        <v>High (4-5)</v>
      </c>
      <c r="AK125" cm="1">
        <f t="array" ref="AK125">IF(
    tblMergedCleaned[[#This Row],[Overall_Rating]]="",
    "",
    --(tblMergedCleaned[[#This Row],[Overall_Rating]]&lt;=2)
)</f>
        <v>0</v>
      </c>
      <c r="AL125">
        <f>IF(
    tblMergedCleaned[[#This Row],[Definitely_Recommend_Pct]]="",
    "",
    --(tblMergedCleaned[[#This Row],[Definitely_Recommend_Pct]]&lt;TX_Median_Recommend)
)</f>
        <v>1</v>
      </c>
      <c r="AM125">
        <f>IF(
    tblMergedCleaned[[#This Row],[Readmission_Comparison]]="",
    "",
    --(tblMergedCleaned[[#This Row],[Readmission_Comparison]]="Worse")
)</f>
        <v>1</v>
      </c>
      <c r="AN125">
        <f>COUNT(
    tblMergedCleaned[[#This Row],[Low_Rating_Flag]:[Worse_Readmission_Flag]]
)</f>
        <v>3</v>
      </c>
      <c r="AO125">
        <f>SUM(
    tblMergedCleaned[[#This Row],[Low_Rating_Flag]:[Worse_Readmission_Flag]]
)</f>
        <v>2</v>
      </c>
      <c r="AP12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2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25" s="2">
        <f>IF(
    tblMergedCleaned[[#This Row],[Definitely_Recommend_Pct]]="",
    "",
    tblMergedCleaned[[#This Row],[Definitely_Recommend_Pct]]-TX_Median_Recommend
)</f>
        <v>-10</v>
      </c>
      <c r="AS125" s="2">
        <f>IF(
    tblMergedCleaned[[#This Row],[Readmission_Rate_Pct]]="",
    "",
    tblMergedCleaned[[#This Row],[Readmission_Rate_Pct]]-TX_Median_Readmission
)</f>
        <v>1.2999999999999989</v>
      </c>
    </row>
    <row r="126" spans="1:45">
      <c r="A126" t="s">
        <v>805</v>
      </c>
      <c r="B126" t="s">
        <v>806</v>
      </c>
      <c r="C126" t="s">
        <v>807</v>
      </c>
      <c r="D126" t="s">
        <v>808</v>
      </c>
      <c r="E126" t="s">
        <v>18</v>
      </c>
      <c r="F126" t="s">
        <v>809</v>
      </c>
      <c r="G126" t="s">
        <v>808</v>
      </c>
      <c r="H126" t="s">
        <v>810</v>
      </c>
      <c r="I126" t="s">
        <v>21</v>
      </c>
      <c r="J126" t="s">
        <v>22</v>
      </c>
      <c r="K126" t="s">
        <v>23</v>
      </c>
      <c r="L126">
        <v>4</v>
      </c>
      <c r="M126" t="s">
        <v>34</v>
      </c>
      <c r="N126" t="s">
        <v>25</v>
      </c>
      <c r="O126" s="2">
        <v>76</v>
      </c>
      <c r="P126" s="2">
        <v>72</v>
      </c>
      <c r="Q126" s="2">
        <v>58</v>
      </c>
      <c r="R126" s="2">
        <v>83</v>
      </c>
      <c r="S126" s="2">
        <v>65</v>
      </c>
      <c r="T126" s="2">
        <v>67</v>
      </c>
      <c r="U126" t="s">
        <v>1765</v>
      </c>
      <c r="V126" s="2">
        <v>18</v>
      </c>
      <c r="W126" s="1">
        <v>45474</v>
      </c>
      <c r="X126" s="1">
        <v>45838</v>
      </c>
      <c r="Y126" s="2">
        <v>15.5</v>
      </c>
      <c r="Z126" t="s">
        <v>1884</v>
      </c>
      <c r="AA126">
        <v>2323</v>
      </c>
      <c r="AB126" s="2">
        <v>14.4</v>
      </c>
      <c r="AC126" s="2">
        <v>16.5</v>
      </c>
      <c r="AD126" t="s">
        <v>25</v>
      </c>
      <c r="AE126" s="1">
        <v>45108</v>
      </c>
      <c r="AF126" s="1">
        <v>45473</v>
      </c>
      <c r="AG126" t="b">
        <v>1</v>
      </c>
      <c r="AH126" t="b">
        <v>1</v>
      </c>
      <c r="AI126" t="b">
        <v>1</v>
      </c>
      <c r="AJ126" t="str">
        <f>IF(tblMergedCleaned[[#This Row],[Overall_Rating]]=
    "",
    "Unavailable",
    IF(tblMergedCleaned[[#This Row],[Overall_Rating]]&lt;=
        2,
        "Low (1-2)",
        IF(tblMergedCleaned[[#This Row],[Overall_Rating]]=
            3,
            "Middle (3)",
            "High (4-5)"
        )
    )
)</f>
        <v>High (4-5)</v>
      </c>
      <c r="AK126" cm="1">
        <f t="array" ref="AK126">IF(
    tblMergedCleaned[[#This Row],[Overall_Rating]]="",
    "",
    --(tblMergedCleaned[[#This Row],[Overall_Rating]]&lt;=2)
)</f>
        <v>0</v>
      </c>
      <c r="AL126">
        <f>IF(
    tblMergedCleaned[[#This Row],[Definitely_Recommend_Pct]]="",
    "",
    --(tblMergedCleaned[[#This Row],[Definitely_Recommend_Pct]]&lt;TX_Median_Recommend)
)</f>
        <v>1</v>
      </c>
      <c r="AM126">
        <f>IF(
    tblMergedCleaned[[#This Row],[Readmission_Comparison]]="",
    "",
    --(tblMergedCleaned[[#This Row],[Readmission_Comparison]]="Worse")
)</f>
        <v>0</v>
      </c>
      <c r="AN126">
        <f>COUNT(
    tblMergedCleaned[[#This Row],[Low_Rating_Flag]:[Worse_Readmission_Flag]]
)</f>
        <v>3</v>
      </c>
      <c r="AO126">
        <f>SUM(
    tblMergedCleaned[[#This Row],[Low_Rating_Flag]:[Worse_Readmission_Flag]]
)</f>
        <v>1</v>
      </c>
      <c r="AP12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2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26" s="2">
        <f>IF(
    tblMergedCleaned[[#This Row],[Definitely_Recommend_Pct]]="",
    "",
    tblMergedCleaned[[#This Row],[Definitely_Recommend_Pct]]-TX_Median_Recommend
)</f>
        <v>-4</v>
      </c>
      <c r="AS126" s="2">
        <f>IF(
    tblMergedCleaned[[#This Row],[Readmission_Rate_Pct]]="",
    "",
    tblMergedCleaned[[#This Row],[Readmission_Rate_Pct]]-TX_Median_Readmission
)</f>
        <v>0.59999999999999964</v>
      </c>
    </row>
    <row r="127" spans="1:45">
      <c r="A127" t="s">
        <v>811</v>
      </c>
      <c r="B127" t="s">
        <v>812</v>
      </c>
      <c r="C127" t="s">
        <v>813</v>
      </c>
      <c r="D127" t="s">
        <v>119</v>
      </c>
      <c r="E127" t="s">
        <v>18</v>
      </c>
      <c r="F127" t="s">
        <v>814</v>
      </c>
      <c r="G127" t="s">
        <v>121</v>
      </c>
      <c r="H127" t="s">
        <v>815</v>
      </c>
      <c r="I127" t="s">
        <v>21</v>
      </c>
      <c r="J127" t="s">
        <v>22</v>
      </c>
      <c r="K127" t="s">
        <v>23</v>
      </c>
      <c r="L127">
        <v>2</v>
      </c>
      <c r="M127" t="s">
        <v>24</v>
      </c>
      <c r="N127" t="s">
        <v>25</v>
      </c>
      <c r="O127" s="2">
        <v>72</v>
      </c>
      <c r="P127" s="2">
        <v>70</v>
      </c>
      <c r="Q127" s="2">
        <v>54</v>
      </c>
      <c r="R127" s="2">
        <v>79</v>
      </c>
      <c r="S127" s="2">
        <v>60</v>
      </c>
      <c r="T127" s="2">
        <v>58</v>
      </c>
      <c r="U127" t="s">
        <v>1766</v>
      </c>
      <c r="V127" s="2">
        <v>8</v>
      </c>
      <c r="W127" s="1">
        <v>45474</v>
      </c>
      <c r="X127" s="1">
        <v>45838</v>
      </c>
      <c r="Y127" s="2">
        <v>15.6</v>
      </c>
      <c r="Z127" t="s">
        <v>1884</v>
      </c>
      <c r="AA127">
        <v>757</v>
      </c>
      <c r="AB127" s="2">
        <v>14.2</v>
      </c>
      <c r="AC127" s="2">
        <v>17.100000000000001</v>
      </c>
      <c r="AD127" t="s">
        <v>25</v>
      </c>
      <c r="AE127" s="1">
        <v>45108</v>
      </c>
      <c r="AF127" s="1">
        <v>45473</v>
      </c>
      <c r="AG127" t="b">
        <v>1</v>
      </c>
      <c r="AH127" t="b">
        <v>1</v>
      </c>
      <c r="AI127" t="b">
        <v>1</v>
      </c>
      <c r="AJ127" t="str">
        <f>IF(tblMergedCleaned[[#This Row],[Overall_Rating]]=
    "",
    "Unavailable",
    IF(tblMergedCleaned[[#This Row],[Overall_Rating]]&lt;=
        2,
        "Low (1-2)",
        IF(tblMergedCleaned[[#This Row],[Overall_Rating]]=
            3,
            "Middle (3)",
            "High (4-5)"
        )
    )
)</f>
        <v>Low (1-2)</v>
      </c>
      <c r="AK127" cm="1">
        <f t="array" ref="AK127">IF(
    tblMergedCleaned[[#This Row],[Overall_Rating]]="",
    "",
    --(tblMergedCleaned[[#This Row],[Overall_Rating]]&lt;=2)
)</f>
        <v>1</v>
      </c>
      <c r="AL127">
        <f>IF(
    tblMergedCleaned[[#This Row],[Definitely_Recommend_Pct]]="",
    "",
    --(tblMergedCleaned[[#This Row],[Definitely_Recommend_Pct]]&lt;TX_Median_Recommend)
)</f>
        <v>1</v>
      </c>
      <c r="AM127">
        <f>IF(
    tblMergedCleaned[[#This Row],[Readmission_Comparison]]="",
    "",
    --(tblMergedCleaned[[#This Row],[Readmission_Comparison]]="Worse")
)</f>
        <v>0</v>
      </c>
      <c r="AN127">
        <f>COUNT(
    tblMergedCleaned[[#This Row],[Low_Rating_Flag]:[Worse_Readmission_Flag]]
)</f>
        <v>3</v>
      </c>
      <c r="AO127">
        <f>SUM(
    tblMergedCleaned[[#This Row],[Low_Rating_Flag]:[Worse_Readmission_Flag]]
)</f>
        <v>2</v>
      </c>
      <c r="AP12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2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27" s="2">
        <f>IF(
    tblMergedCleaned[[#This Row],[Definitely_Recommend_Pct]]="",
    "",
    tblMergedCleaned[[#This Row],[Definitely_Recommend_Pct]]-TX_Median_Recommend
)</f>
        <v>-13</v>
      </c>
      <c r="AS127" s="2">
        <f>IF(
    tblMergedCleaned[[#This Row],[Readmission_Rate_Pct]]="",
    "",
    tblMergedCleaned[[#This Row],[Readmission_Rate_Pct]]-TX_Median_Readmission
)</f>
        <v>0.69999999999999929</v>
      </c>
    </row>
    <row r="128" spans="1:45">
      <c r="A128" t="s">
        <v>816</v>
      </c>
      <c r="B128" t="s">
        <v>817</v>
      </c>
      <c r="C128" t="s">
        <v>818</v>
      </c>
      <c r="D128" t="s">
        <v>819</v>
      </c>
      <c r="E128" t="s">
        <v>18</v>
      </c>
      <c r="F128" t="s">
        <v>820</v>
      </c>
      <c r="G128" t="s">
        <v>128</v>
      </c>
      <c r="H128" t="s">
        <v>821</v>
      </c>
      <c r="I128" t="s">
        <v>21</v>
      </c>
      <c r="J128" t="s">
        <v>33</v>
      </c>
      <c r="K128" t="s">
        <v>23</v>
      </c>
      <c r="L128">
        <v>4</v>
      </c>
      <c r="M128" t="s">
        <v>34</v>
      </c>
      <c r="N128" t="s">
        <v>25</v>
      </c>
      <c r="O128" s="2">
        <v>75</v>
      </c>
      <c r="P128" s="2">
        <v>76</v>
      </c>
      <c r="Q128" s="2">
        <v>58</v>
      </c>
      <c r="R128" s="2">
        <v>89</v>
      </c>
      <c r="S128" s="2">
        <v>72</v>
      </c>
      <c r="T128" s="2">
        <v>73</v>
      </c>
      <c r="U128" t="s">
        <v>1767</v>
      </c>
      <c r="V128" s="2">
        <v>17</v>
      </c>
      <c r="W128" s="1">
        <v>45474</v>
      </c>
      <c r="X128" s="1">
        <v>45838</v>
      </c>
      <c r="Y128" s="2">
        <v>15.2</v>
      </c>
      <c r="Z128" t="s">
        <v>1884</v>
      </c>
      <c r="AA128">
        <v>1881</v>
      </c>
      <c r="AB128" s="2">
        <v>14.2</v>
      </c>
      <c r="AC128" s="2">
        <v>16.3</v>
      </c>
      <c r="AD128" t="s">
        <v>25</v>
      </c>
      <c r="AE128" s="1">
        <v>45108</v>
      </c>
      <c r="AF128" s="1">
        <v>45473</v>
      </c>
      <c r="AG128" t="b">
        <v>1</v>
      </c>
      <c r="AH128" t="b">
        <v>1</v>
      </c>
      <c r="AI128" t="b">
        <v>1</v>
      </c>
      <c r="AJ128" t="str">
        <f>IF(tblMergedCleaned[[#This Row],[Overall_Rating]]=
    "",
    "Unavailable",
    IF(tblMergedCleaned[[#This Row],[Overall_Rating]]&lt;=
        2,
        "Low (1-2)",
        IF(tblMergedCleaned[[#This Row],[Overall_Rating]]=
            3,
            "Middle (3)",
            "High (4-5)"
        )
    )
)</f>
        <v>High (4-5)</v>
      </c>
      <c r="AK128" cm="1">
        <f t="array" ref="AK128">IF(
    tblMergedCleaned[[#This Row],[Overall_Rating]]="",
    "",
    --(tblMergedCleaned[[#This Row],[Overall_Rating]]&lt;=2)
)</f>
        <v>0</v>
      </c>
      <c r="AL128">
        <f>IF(
    tblMergedCleaned[[#This Row],[Definitely_Recommend_Pct]]="",
    "",
    --(tblMergedCleaned[[#This Row],[Definitely_Recommend_Pct]]&lt;TX_Median_Recommend)
)</f>
        <v>0</v>
      </c>
      <c r="AM128">
        <f>IF(
    tblMergedCleaned[[#This Row],[Readmission_Comparison]]="",
    "",
    --(tblMergedCleaned[[#This Row],[Readmission_Comparison]]="Worse")
)</f>
        <v>0</v>
      </c>
      <c r="AN128">
        <f>COUNT(
    tblMergedCleaned[[#This Row],[Low_Rating_Flag]:[Worse_Readmission_Flag]]
)</f>
        <v>3</v>
      </c>
      <c r="AO128">
        <f>SUM(
    tblMergedCleaned[[#This Row],[Low_Rating_Flag]:[Worse_Readmission_Flag]]
)</f>
        <v>0</v>
      </c>
      <c r="AP12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2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28" s="2">
        <f>IF(
    tblMergedCleaned[[#This Row],[Definitely_Recommend_Pct]]="",
    "",
    tblMergedCleaned[[#This Row],[Definitely_Recommend_Pct]]-TX_Median_Recommend
)</f>
        <v>2</v>
      </c>
      <c r="AS128" s="2">
        <f>IF(
    tblMergedCleaned[[#This Row],[Readmission_Rate_Pct]]="",
    "",
    tblMergedCleaned[[#This Row],[Readmission_Rate_Pct]]-TX_Median_Readmission
)</f>
        <v>0.29999999999999893</v>
      </c>
    </row>
    <row r="129" spans="1:45">
      <c r="A129" t="s">
        <v>822</v>
      </c>
      <c r="B129" t="s">
        <v>823</v>
      </c>
      <c r="C129" t="s">
        <v>824</v>
      </c>
      <c r="D129" t="s">
        <v>825</v>
      </c>
      <c r="E129" t="s">
        <v>18</v>
      </c>
      <c r="F129" t="s">
        <v>826</v>
      </c>
      <c r="G129" t="s">
        <v>827</v>
      </c>
      <c r="H129" t="s">
        <v>828</v>
      </c>
      <c r="I129" t="s">
        <v>21</v>
      </c>
      <c r="J129" t="s">
        <v>56</v>
      </c>
      <c r="K129" t="s">
        <v>23</v>
      </c>
      <c r="L129">
        <v>1</v>
      </c>
      <c r="M129" t="s">
        <v>322</v>
      </c>
      <c r="N129" t="s">
        <v>25</v>
      </c>
      <c r="O129" s="2">
        <v>91</v>
      </c>
      <c r="P129" s="2">
        <v>94</v>
      </c>
      <c r="Q129" s="2">
        <v>80</v>
      </c>
      <c r="R129" s="2">
        <v>88</v>
      </c>
      <c r="S129" s="2">
        <v>83</v>
      </c>
      <c r="T129" s="2">
        <v>88</v>
      </c>
      <c r="U129" t="s">
        <v>1768</v>
      </c>
      <c r="V129" s="2">
        <v>19</v>
      </c>
      <c r="W129" s="1">
        <v>45474</v>
      </c>
      <c r="X129" s="1">
        <v>45838</v>
      </c>
      <c r="Y129" s="2">
        <v>15.9</v>
      </c>
      <c r="Z129" t="s">
        <v>1884</v>
      </c>
      <c r="AA129">
        <v>130</v>
      </c>
      <c r="AB129" s="2">
        <v>13.6</v>
      </c>
      <c r="AC129" s="2">
        <v>18.5</v>
      </c>
      <c r="AD129" t="s">
        <v>25</v>
      </c>
      <c r="AE129" s="1">
        <v>45108</v>
      </c>
      <c r="AF129" s="1">
        <v>45473</v>
      </c>
      <c r="AG129" t="b">
        <v>1</v>
      </c>
      <c r="AH129" t="b">
        <v>1</v>
      </c>
      <c r="AI129" t="b">
        <v>1</v>
      </c>
      <c r="AJ129" t="str">
        <f>IF(tblMergedCleaned[[#This Row],[Overall_Rating]]=
    "",
    "Unavailable",
    IF(tblMergedCleaned[[#This Row],[Overall_Rating]]&lt;=
        2,
        "Low (1-2)",
        IF(tblMergedCleaned[[#This Row],[Overall_Rating]]=
            3,
            "Middle (3)",
            "High (4-5)"
        )
    )
)</f>
        <v>Low (1-2)</v>
      </c>
      <c r="AK129" cm="1">
        <f t="array" ref="AK129">IF(
    tblMergedCleaned[[#This Row],[Overall_Rating]]="",
    "",
    --(tblMergedCleaned[[#This Row],[Overall_Rating]]&lt;=2)
)</f>
        <v>1</v>
      </c>
      <c r="AL129">
        <f>IF(
    tblMergedCleaned[[#This Row],[Definitely_Recommend_Pct]]="",
    "",
    --(tblMergedCleaned[[#This Row],[Definitely_Recommend_Pct]]&lt;TX_Median_Recommend)
)</f>
        <v>0</v>
      </c>
      <c r="AM129">
        <f>IF(
    tblMergedCleaned[[#This Row],[Readmission_Comparison]]="",
    "",
    --(tblMergedCleaned[[#This Row],[Readmission_Comparison]]="Worse")
)</f>
        <v>0</v>
      </c>
      <c r="AN129">
        <f>COUNT(
    tblMergedCleaned[[#This Row],[Low_Rating_Flag]:[Worse_Readmission_Flag]]
)</f>
        <v>3</v>
      </c>
      <c r="AO129">
        <f>SUM(
    tblMergedCleaned[[#This Row],[Low_Rating_Flag]:[Worse_Readmission_Flag]]
)</f>
        <v>1</v>
      </c>
      <c r="AP12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2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29" s="2">
        <f>IF(
    tblMergedCleaned[[#This Row],[Definitely_Recommend_Pct]]="",
    "",
    tblMergedCleaned[[#This Row],[Definitely_Recommend_Pct]]-TX_Median_Recommend
)</f>
        <v>17</v>
      </c>
      <c r="AS129" s="2">
        <f>IF(
    tblMergedCleaned[[#This Row],[Readmission_Rate_Pct]]="",
    "",
    tblMergedCleaned[[#This Row],[Readmission_Rate_Pct]]-TX_Median_Readmission
)</f>
        <v>1</v>
      </c>
    </row>
    <row r="130" spans="1:45">
      <c r="A130" t="s">
        <v>829</v>
      </c>
      <c r="B130" t="s">
        <v>830</v>
      </c>
      <c r="C130" t="s">
        <v>831</v>
      </c>
      <c r="D130" t="s">
        <v>92</v>
      </c>
      <c r="E130" t="s">
        <v>18</v>
      </c>
      <c r="F130" t="s">
        <v>832</v>
      </c>
      <c r="G130" t="s">
        <v>94</v>
      </c>
      <c r="H130" t="s">
        <v>833</v>
      </c>
      <c r="I130" t="s">
        <v>21</v>
      </c>
      <c r="J130" t="s">
        <v>22</v>
      </c>
      <c r="K130" t="s">
        <v>23</v>
      </c>
      <c r="L130">
        <v>4</v>
      </c>
      <c r="M130" t="s">
        <v>34</v>
      </c>
      <c r="N130" t="s">
        <v>25</v>
      </c>
      <c r="O130" s="2">
        <v>79</v>
      </c>
      <c r="P130" s="2">
        <v>78</v>
      </c>
      <c r="Q130" s="2">
        <v>63</v>
      </c>
      <c r="R130" s="2">
        <v>86</v>
      </c>
      <c r="S130" s="2">
        <v>68</v>
      </c>
      <c r="T130" s="2">
        <v>68</v>
      </c>
      <c r="U130" t="s">
        <v>1769</v>
      </c>
      <c r="V130" s="2">
        <v>6</v>
      </c>
      <c r="W130" s="1">
        <v>45474</v>
      </c>
      <c r="X130" s="1">
        <v>45838</v>
      </c>
      <c r="Y130" s="2">
        <v>15.9</v>
      </c>
      <c r="Z130" t="s">
        <v>1884</v>
      </c>
      <c r="AA130">
        <v>642</v>
      </c>
      <c r="AB130" s="2">
        <v>14.4</v>
      </c>
      <c r="AC130" s="2">
        <v>17.5</v>
      </c>
      <c r="AD130" t="s">
        <v>25</v>
      </c>
      <c r="AE130" s="1">
        <v>45108</v>
      </c>
      <c r="AF130" s="1">
        <v>45473</v>
      </c>
      <c r="AG130" t="b">
        <v>1</v>
      </c>
      <c r="AH130" t="b">
        <v>1</v>
      </c>
      <c r="AI130" t="b">
        <v>1</v>
      </c>
      <c r="AJ130" t="str">
        <f>IF(tblMergedCleaned[[#This Row],[Overall_Rating]]=
    "",
    "Unavailable",
    IF(tblMergedCleaned[[#This Row],[Overall_Rating]]&lt;=
        2,
        "Low (1-2)",
        IF(tblMergedCleaned[[#This Row],[Overall_Rating]]=
            3,
            "Middle (3)",
            "High (4-5)"
        )
    )
)</f>
        <v>High (4-5)</v>
      </c>
      <c r="AK130" cm="1">
        <f t="array" ref="AK130">IF(
    tblMergedCleaned[[#This Row],[Overall_Rating]]="",
    "",
    --(tblMergedCleaned[[#This Row],[Overall_Rating]]&lt;=2)
)</f>
        <v>0</v>
      </c>
      <c r="AL130">
        <f>IF(
    tblMergedCleaned[[#This Row],[Definitely_Recommend_Pct]]="",
    "",
    --(tblMergedCleaned[[#This Row],[Definitely_Recommend_Pct]]&lt;TX_Median_Recommend)
)</f>
        <v>1</v>
      </c>
      <c r="AM130">
        <f>IF(
    tblMergedCleaned[[#This Row],[Readmission_Comparison]]="",
    "",
    --(tblMergedCleaned[[#This Row],[Readmission_Comparison]]="Worse")
)</f>
        <v>0</v>
      </c>
      <c r="AN130">
        <f>COUNT(
    tblMergedCleaned[[#This Row],[Low_Rating_Flag]:[Worse_Readmission_Flag]]
)</f>
        <v>3</v>
      </c>
      <c r="AO130">
        <f>SUM(
    tblMergedCleaned[[#This Row],[Low_Rating_Flag]:[Worse_Readmission_Flag]]
)</f>
        <v>1</v>
      </c>
      <c r="AP13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3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30" s="2">
        <f>IF(
    tblMergedCleaned[[#This Row],[Definitely_Recommend_Pct]]="",
    "",
    tblMergedCleaned[[#This Row],[Definitely_Recommend_Pct]]-TX_Median_Recommend
)</f>
        <v>-3</v>
      </c>
      <c r="AS130" s="2">
        <f>IF(
    tblMergedCleaned[[#This Row],[Readmission_Rate_Pct]]="",
    "",
    tblMergedCleaned[[#This Row],[Readmission_Rate_Pct]]-TX_Median_Readmission
)</f>
        <v>1</v>
      </c>
    </row>
    <row r="131" spans="1:45">
      <c r="A131" t="s">
        <v>834</v>
      </c>
      <c r="B131" t="s">
        <v>835</v>
      </c>
      <c r="C131" t="s">
        <v>836</v>
      </c>
      <c r="D131" t="s">
        <v>119</v>
      </c>
      <c r="E131" t="s">
        <v>18</v>
      </c>
      <c r="F131" t="s">
        <v>837</v>
      </c>
      <c r="G131" t="s">
        <v>121</v>
      </c>
      <c r="H131" t="s">
        <v>838</v>
      </c>
      <c r="I131" t="s">
        <v>21</v>
      </c>
      <c r="J131" t="s">
        <v>22</v>
      </c>
      <c r="K131" t="s">
        <v>23</v>
      </c>
      <c r="L131">
        <v>1</v>
      </c>
      <c r="M131" t="s">
        <v>322</v>
      </c>
      <c r="N131" t="s">
        <v>25</v>
      </c>
      <c r="O131" s="2">
        <v>70</v>
      </c>
      <c r="P131" s="2">
        <v>70</v>
      </c>
      <c r="Q131" s="2">
        <v>47</v>
      </c>
      <c r="R131" s="2">
        <v>79</v>
      </c>
      <c r="S131" s="2">
        <v>59</v>
      </c>
      <c r="T131" s="2">
        <v>56</v>
      </c>
      <c r="U131" t="s">
        <v>1770</v>
      </c>
      <c r="V131" s="2">
        <v>9</v>
      </c>
      <c r="W131" s="1">
        <v>45474</v>
      </c>
      <c r="X131" s="1">
        <v>45838</v>
      </c>
      <c r="Y131" s="2">
        <v>15.6</v>
      </c>
      <c r="Z131" t="s">
        <v>1884</v>
      </c>
      <c r="AA131">
        <v>603</v>
      </c>
      <c r="AB131" s="2">
        <v>14.2</v>
      </c>
      <c r="AC131" s="2">
        <v>17.100000000000001</v>
      </c>
      <c r="AD131" t="s">
        <v>25</v>
      </c>
      <c r="AE131" s="1">
        <v>45108</v>
      </c>
      <c r="AF131" s="1">
        <v>45473</v>
      </c>
      <c r="AG131" t="b">
        <v>1</v>
      </c>
      <c r="AH131" t="b">
        <v>1</v>
      </c>
      <c r="AI131" t="b">
        <v>1</v>
      </c>
      <c r="AJ131" t="str">
        <f>IF(tblMergedCleaned[[#This Row],[Overall_Rating]]=
    "",
    "Unavailable",
    IF(tblMergedCleaned[[#This Row],[Overall_Rating]]&lt;=
        2,
        "Low (1-2)",
        IF(tblMergedCleaned[[#This Row],[Overall_Rating]]=
            3,
            "Middle (3)",
            "High (4-5)"
        )
    )
)</f>
        <v>Low (1-2)</v>
      </c>
      <c r="AK131" cm="1">
        <f t="array" ref="AK131">IF(
    tblMergedCleaned[[#This Row],[Overall_Rating]]="",
    "",
    --(tblMergedCleaned[[#This Row],[Overall_Rating]]&lt;=2)
)</f>
        <v>1</v>
      </c>
      <c r="AL131">
        <f>IF(
    tblMergedCleaned[[#This Row],[Definitely_Recommend_Pct]]="",
    "",
    --(tblMergedCleaned[[#This Row],[Definitely_Recommend_Pct]]&lt;TX_Median_Recommend)
)</f>
        <v>1</v>
      </c>
      <c r="AM131">
        <f>IF(
    tblMergedCleaned[[#This Row],[Readmission_Comparison]]="",
    "",
    --(tblMergedCleaned[[#This Row],[Readmission_Comparison]]="Worse")
)</f>
        <v>0</v>
      </c>
      <c r="AN131">
        <f>COUNT(
    tblMergedCleaned[[#This Row],[Low_Rating_Flag]:[Worse_Readmission_Flag]]
)</f>
        <v>3</v>
      </c>
      <c r="AO131">
        <f>SUM(
    tblMergedCleaned[[#This Row],[Low_Rating_Flag]:[Worse_Readmission_Flag]]
)</f>
        <v>2</v>
      </c>
      <c r="AP13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3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31" s="2">
        <f>IF(
    tblMergedCleaned[[#This Row],[Definitely_Recommend_Pct]]="",
    "",
    tblMergedCleaned[[#This Row],[Definitely_Recommend_Pct]]-TX_Median_Recommend
)</f>
        <v>-15</v>
      </c>
      <c r="AS131" s="2">
        <f>IF(
    tblMergedCleaned[[#This Row],[Readmission_Rate_Pct]]="",
    "",
    tblMergedCleaned[[#This Row],[Readmission_Rate_Pct]]-TX_Median_Readmission
)</f>
        <v>0.69999999999999929</v>
      </c>
    </row>
    <row r="132" spans="1:45">
      <c r="A132" t="s">
        <v>839</v>
      </c>
      <c r="B132" t="s">
        <v>840</v>
      </c>
      <c r="C132" t="s">
        <v>841</v>
      </c>
      <c r="D132" t="s">
        <v>53</v>
      </c>
      <c r="E132" t="s">
        <v>18</v>
      </c>
      <c r="F132" t="s">
        <v>842</v>
      </c>
      <c r="G132" t="s">
        <v>53</v>
      </c>
      <c r="H132" t="s">
        <v>843</v>
      </c>
      <c r="I132" t="s">
        <v>21</v>
      </c>
      <c r="J132" t="s">
        <v>22</v>
      </c>
      <c r="K132" t="s">
        <v>23</v>
      </c>
      <c r="L132">
        <v>3</v>
      </c>
      <c r="M132" t="s">
        <v>42</v>
      </c>
      <c r="N132" t="s">
        <v>25</v>
      </c>
      <c r="O132" s="2">
        <v>71</v>
      </c>
      <c r="P132" s="2">
        <v>74</v>
      </c>
      <c r="Q132" s="2">
        <v>55</v>
      </c>
      <c r="R132" s="2">
        <v>80</v>
      </c>
      <c r="S132" s="2">
        <v>66</v>
      </c>
      <c r="T132" s="2">
        <v>67</v>
      </c>
      <c r="U132" t="s">
        <v>1771</v>
      </c>
      <c r="V132" s="2">
        <v>17</v>
      </c>
      <c r="W132" s="1">
        <v>45474</v>
      </c>
      <c r="X132" s="1">
        <v>45838</v>
      </c>
      <c r="Y132" s="2">
        <v>15.5</v>
      </c>
      <c r="Z132" t="s">
        <v>1884</v>
      </c>
      <c r="AA132">
        <v>3046</v>
      </c>
      <c r="AB132" s="2">
        <v>14.5</v>
      </c>
      <c r="AC132" s="2">
        <v>16.5</v>
      </c>
      <c r="AD132" t="s">
        <v>25</v>
      </c>
      <c r="AE132" s="1">
        <v>45108</v>
      </c>
      <c r="AF132" s="1">
        <v>45473</v>
      </c>
      <c r="AG132" t="b">
        <v>1</v>
      </c>
      <c r="AH132" t="b">
        <v>1</v>
      </c>
      <c r="AI132" t="b">
        <v>1</v>
      </c>
      <c r="AJ132" t="str">
        <f>IF(tblMergedCleaned[[#This Row],[Overall_Rating]]=
    "",
    "Unavailable",
    IF(tblMergedCleaned[[#This Row],[Overall_Rating]]&lt;=
        2,
        "Low (1-2)",
        IF(tblMergedCleaned[[#This Row],[Overall_Rating]]=
            3,
            "Middle (3)",
            "High (4-5)"
        )
    )
)</f>
        <v>Middle (3)</v>
      </c>
      <c r="AK132" cm="1">
        <f t="array" ref="AK132">IF(
    tblMergedCleaned[[#This Row],[Overall_Rating]]="",
    "",
    --(tblMergedCleaned[[#This Row],[Overall_Rating]]&lt;=2)
)</f>
        <v>0</v>
      </c>
      <c r="AL132">
        <f>IF(
    tblMergedCleaned[[#This Row],[Definitely_Recommend_Pct]]="",
    "",
    --(tblMergedCleaned[[#This Row],[Definitely_Recommend_Pct]]&lt;TX_Median_Recommend)
)</f>
        <v>1</v>
      </c>
      <c r="AM132">
        <f>IF(
    tblMergedCleaned[[#This Row],[Readmission_Comparison]]="",
    "",
    --(tblMergedCleaned[[#This Row],[Readmission_Comparison]]="Worse")
)</f>
        <v>0</v>
      </c>
      <c r="AN132">
        <f>COUNT(
    tblMergedCleaned[[#This Row],[Low_Rating_Flag]:[Worse_Readmission_Flag]]
)</f>
        <v>3</v>
      </c>
      <c r="AO132">
        <f>SUM(
    tblMergedCleaned[[#This Row],[Low_Rating_Flag]:[Worse_Readmission_Flag]]
)</f>
        <v>1</v>
      </c>
      <c r="AP13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3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32" s="2">
        <f>IF(
    tblMergedCleaned[[#This Row],[Definitely_Recommend_Pct]]="",
    "",
    tblMergedCleaned[[#This Row],[Definitely_Recommend_Pct]]-TX_Median_Recommend
)</f>
        <v>-4</v>
      </c>
      <c r="AS132" s="2">
        <f>IF(
    tblMergedCleaned[[#This Row],[Readmission_Rate_Pct]]="",
    "",
    tblMergedCleaned[[#This Row],[Readmission_Rate_Pct]]-TX_Median_Readmission
)</f>
        <v>0.59999999999999964</v>
      </c>
    </row>
    <row r="133" spans="1:45">
      <c r="A133" t="s">
        <v>844</v>
      </c>
      <c r="B133" t="s">
        <v>845</v>
      </c>
      <c r="C133" t="s">
        <v>846</v>
      </c>
      <c r="D133" t="s">
        <v>847</v>
      </c>
      <c r="E133" t="s">
        <v>18</v>
      </c>
      <c r="F133" t="s">
        <v>848</v>
      </c>
      <c r="G133" t="s">
        <v>629</v>
      </c>
      <c r="H133" t="s">
        <v>849</v>
      </c>
      <c r="I133" t="s">
        <v>21</v>
      </c>
      <c r="J133" t="s">
        <v>22</v>
      </c>
      <c r="K133" t="s">
        <v>23</v>
      </c>
      <c r="L133">
        <v>3</v>
      </c>
      <c r="M133" t="s">
        <v>42</v>
      </c>
      <c r="N133" t="s">
        <v>25</v>
      </c>
      <c r="O133" s="2">
        <v>73</v>
      </c>
      <c r="P133" s="2">
        <v>74</v>
      </c>
      <c r="Q133" s="2">
        <v>56</v>
      </c>
      <c r="R133" s="2">
        <v>81</v>
      </c>
      <c r="S133" s="2">
        <v>66</v>
      </c>
      <c r="T133" s="2">
        <v>66</v>
      </c>
      <c r="U133" t="s">
        <v>1772</v>
      </c>
      <c r="V133" s="2">
        <v>16</v>
      </c>
      <c r="W133" s="1">
        <v>45474</v>
      </c>
      <c r="X133" s="1">
        <v>45838</v>
      </c>
      <c r="Y133" s="2">
        <v>16.5</v>
      </c>
      <c r="Z133" t="s">
        <v>1886</v>
      </c>
      <c r="AA133">
        <v>4783</v>
      </c>
      <c r="AB133" s="2">
        <v>15.6</v>
      </c>
      <c r="AC133" s="2">
        <v>17.5</v>
      </c>
      <c r="AD133" t="s">
        <v>25</v>
      </c>
      <c r="AE133" s="1">
        <v>45108</v>
      </c>
      <c r="AF133" s="1">
        <v>45473</v>
      </c>
      <c r="AG133" t="b">
        <v>1</v>
      </c>
      <c r="AH133" t="b">
        <v>1</v>
      </c>
      <c r="AI133" t="b">
        <v>1</v>
      </c>
      <c r="AJ133" t="str">
        <f>IF(tblMergedCleaned[[#This Row],[Overall_Rating]]=
    "",
    "Unavailable",
    IF(tblMergedCleaned[[#This Row],[Overall_Rating]]&lt;=
        2,
        "Low (1-2)",
        IF(tblMergedCleaned[[#This Row],[Overall_Rating]]=
            3,
            "Middle (3)",
            "High (4-5)"
        )
    )
)</f>
        <v>Middle (3)</v>
      </c>
      <c r="AK133" cm="1">
        <f t="array" ref="AK133">IF(
    tblMergedCleaned[[#This Row],[Overall_Rating]]="",
    "",
    --(tblMergedCleaned[[#This Row],[Overall_Rating]]&lt;=2)
)</f>
        <v>0</v>
      </c>
      <c r="AL133">
        <f>IF(
    tblMergedCleaned[[#This Row],[Definitely_Recommend_Pct]]="",
    "",
    --(tblMergedCleaned[[#This Row],[Definitely_Recommend_Pct]]&lt;TX_Median_Recommend)
)</f>
        <v>1</v>
      </c>
      <c r="AM133">
        <f>IF(
    tblMergedCleaned[[#This Row],[Readmission_Comparison]]="",
    "",
    --(tblMergedCleaned[[#This Row],[Readmission_Comparison]]="Worse")
)</f>
        <v>1</v>
      </c>
      <c r="AN133">
        <f>COUNT(
    tblMergedCleaned[[#This Row],[Low_Rating_Flag]:[Worse_Readmission_Flag]]
)</f>
        <v>3</v>
      </c>
      <c r="AO133">
        <f>SUM(
    tblMergedCleaned[[#This Row],[Low_Rating_Flag]:[Worse_Readmission_Flag]]
)</f>
        <v>2</v>
      </c>
      <c r="AP13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3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33" s="2">
        <f>IF(
    tblMergedCleaned[[#This Row],[Definitely_Recommend_Pct]]="",
    "",
    tblMergedCleaned[[#This Row],[Definitely_Recommend_Pct]]-TX_Median_Recommend
)</f>
        <v>-5</v>
      </c>
      <c r="AS133" s="2">
        <f>IF(
    tblMergedCleaned[[#This Row],[Readmission_Rate_Pct]]="",
    "",
    tblMergedCleaned[[#This Row],[Readmission_Rate_Pct]]-TX_Median_Readmission
)</f>
        <v>1.5999999999999996</v>
      </c>
    </row>
    <row r="134" spans="1:45">
      <c r="A134" t="s">
        <v>850</v>
      </c>
      <c r="B134" t="s">
        <v>851</v>
      </c>
      <c r="C134" t="s">
        <v>852</v>
      </c>
      <c r="D134" t="s">
        <v>853</v>
      </c>
      <c r="E134" t="s">
        <v>18</v>
      </c>
      <c r="F134" t="s">
        <v>854</v>
      </c>
      <c r="G134" t="s">
        <v>855</v>
      </c>
      <c r="H134" t="s">
        <v>856</v>
      </c>
      <c r="I134" t="s">
        <v>21</v>
      </c>
      <c r="J134" t="s">
        <v>22</v>
      </c>
      <c r="K134" t="s">
        <v>23</v>
      </c>
      <c r="M134" t="s">
        <v>176</v>
      </c>
      <c r="N134" t="s">
        <v>177</v>
      </c>
      <c r="O134" s="2">
        <v>84</v>
      </c>
      <c r="P134" s="2">
        <v>86</v>
      </c>
      <c r="Q134" s="2">
        <v>72</v>
      </c>
      <c r="R134" s="2">
        <v>87</v>
      </c>
      <c r="S134" s="2">
        <v>56</v>
      </c>
      <c r="T134" s="2">
        <v>53</v>
      </c>
      <c r="U134" t="s">
        <v>1773</v>
      </c>
      <c r="V134" s="2">
        <v>10</v>
      </c>
      <c r="W134" s="1">
        <v>45474</v>
      </c>
      <c r="X134" s="1">
        <v>45838</v>
      </c>
      <c r="Y134" s="2">
        <v>15.1</v>
      </c>
      <c r="Z134" t="s">
        <v>1884</v>
      </c>
      <c r="AA134">
        <v>96</v>
      </c>
      <c r="AB134" s="2">
        <v>13.2</v>
      </c>
      <c r="AC134" s="2">
        <v>17.3</v>
      </c>
      <c r="AD134" t="s">
        <v>25</v>
      </c>
      <c r="AE134" s="1">
        <v>45108</v>
      </c>
      <c r="AF134" s="1">
        <v>45473</v>
      </c>
      <c r="AG134" t="b">
        <v>0</v>
      </c>
      <c r="AH134" t="b">
        <v>1</v>
      </c>
      <c r="AI134" t="b">
        <v>1</v>
      </c>
      <c r="AJ134" t="str">
        <f>IF(tblMergedCleaned[[#This Row],[Overall_Rating]]=
    "",
    "Unavailable",
    IF(tblMergedCleaned[[#This Row],[Overall_Rating]]&lt;=
        2,
        "Low (1-2)",
        IF(tblMergedCleaned[[#This Row],[Overall_Rating]]=
            3,
            "Middle (3)",
            "High (4-5)"
        )
    )
)</f>
        <v>Unavailable</v>
      </c>
      <c r="AK134" t="str" cm="1">
        <f t="array" ref="AK134">IF(
    tblMergedCleaned[[#This Row],[Overall_Rating]]="",
    "",
    --(tblMergedCleaned[[#This Row],[Overall_Rating]]&lt;=2)
)</f>
        <v/>
      </c>
      <c r="AL134">
        <f>IF(
    tblMergedCleaned[[#This Row],[Definitely_Recommend_Pct]]="",
    "",
    --(tblMergedCleaned[[#This Row],[Definitely_Recommend_Pct]]&lt;TX_Median_Recommend)
)</f>
        <v>1</v>
      </c>
      <c r="AM134">
        <f>IF(
    tblMergedCleaned[[#This Row],[Readmission_Comparison]]="",
    "",
    --(tblMergedCleaned[[#This Row],[Readmission_Comparison]]="Worse")
)</f>
        <v>0</v>
      </c>
      <c r="AN134">
        <f>COUNT(
    tblMergedCleaned[[#This Row],[Low_Rating_Flag]:[Worse_Readmission_Flag]]
)</f>
        <v>2</v>
      </c>
      <c r="AO134">
        <f>SUM(
    tblMergedCleaned[[#This Row],[Low_Rating_Flag]:[Worse_Readmission_Flag]]
)</f>
        <v>1</v>
      </c>
      <c r="AP13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3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34" s="2">
        <f>IF(
    tblMergedCleaned[[#This Row],[Definitely_Recommend_Pct]]="",
    "",
    tblMergedCleaned[[#This Row],[Definitely_Recommend_Pct]]-TX_Median_Recommend
)</f>
        <v>-18</v>
      </c>
      <c r="AS134" s="2">
        <f>IF(
    tblMergedCleaned[[#This Row],[Readmission_Rate_Pct]]="",
    "",
    tblMergedCleaned[[#This Row],[Readmission_Rate_Pct]]-TX_Median_Readmission
)</f>
        <v>0.19999999999999929</v>
      </c>
    </row>
    <row r="135" spans="1:45">
      <c r="A135" t="s">
        <v>857</v>
      </c>
      <c r="B135" t="s">
        <v>858</v>
      </c>
      <c r="C135" t="s">
        <v>859</v>
      </c>
      <c r="D135" t="s">
        <v>860</v>
      </c>
      <c r="E135" t="s">
        <v>18</v>
      </c>
      <c r="F135" t="s">
        <v>861</v>
      </c>
      <c r="G135" t="s">
        <v>862</v>
      </c>
      <c r="H135" t="s">
        <v>863</v>
      </c>
      <c r="I135" t="s">
        <v>21</v>
      </c>
      <c r="J135" t="s">
        <v>56</v>
      </c>
      <c r="K135" t="s">
        <v>23</v>
      </c>
      <c r="L135">
        <v>2</v>
      </c>
      <c r="M135" t="s">
        <v>24</v>
      </c>
      <c r="N135" t="s">
        <v>25</v>
      </c>
      <c r="O135" s="2">
        <v>85</v>
      </c>
      <c r="P135" s="2">
        <v>87</v>
      </c>
      <c r="Q135" s="2">
        <v>67</v>
      </c>
      <c r="R135" s="2">
        <v>97</v>
      </c>
      <c r="S135" s="2">
        <v>63</v>
      </c>
      <c r="T135" s="2">
        <v>63</v>
      </c>
      <c r="U135" t="s">
        <v>1774</v>
      </c>
      <c r="V135" s="2">
        <v>7</v>
      </c>
      <c r="W135" s="1">
        <v>45474</v>
      </c>
      <c r="X135" s="1">
        <v>45838</v>
      </c>
      <c r="Y135" s="2">
        <v>15.1</v>
      </c>
      <c r="Z135" t="s">
        <v>1884</v>
      </c>
      <c r="AA135">
        <v>108</v>
      </c>
      <c r="AB135" s="2">
        <v>13.2</v>
      </c>
      <c r="AC135" s="2">
        <v>17.399999999999999</v>
      </c>
      <c r="AD135" t="s">
        <v>25</v>
      </c>
      <c r="AE135" s="1">
        <v>45108</v>
      </c>
      <c r="AF135" s="1">
        <v>45473</v>
      </c>
      <c r="AG135" t="b">
        <v>1</v>
      </c>
      <c r="AH135" t="b">
        <v>1</v>
      </c>
      <c r="AI135" t="b">
        <v>1</v>
      </c>
      <c r="AJ135" t="str">
        <f>IF(tblMergedCleaned[[#This Row],[Overall_Rating]]=
    "",
    "Unavailable",
    IF(tblMergedCleaned[[#This Row],[Overall_Rating]]&lt;=
        2,
        "Low (1-2)",
        IF(tblMergedCleaned[[#This Row],[Overall_Rating]]=
            3,
            "Middle (3)",
            "High (4-5)"
        )
    )
)</f>
        <v>Low (1-2)</v>
      </c>
      <c r="AK135" cm="1">
        <f t="array" ref="AK135">IF(
    tblMergedCleaned[[#This Row],[Overall_Rating]]="",
    "",
    --(tblMergedCleaned[[#This Row],[Overall_Rating]]&lt;=2)
)</f>
        <v>1</v>
      </c>
      <c r="AL135">
        <f>IF(
    tblMergedCleaned[[#This Row],[Definitely_Recommend_Pct]]="",
    "",
    --(tblMergedCleaned[[#This Row],[Definitely_Recommend_Pct]]&lt;TX_Median_Recommend)
)</f>
        <v>1</v>
      </c>
      <c r="AM135">
        <f>IF(
    tblMergedCleaned[[#This Row],[Readmission_Comparison]]="",
    "",
    --(tblMergedCleaned[[#This Row],[Readmission_Comparison]]="Worse")
)</f>
        <v>0</v>
      </c>
      <c r="AN135">
        <f>COUNT(
    tblMergedCleaned[[#This Row],[Low_Rating_Flag]:[Worse_Readmission_Flag]]
)</f>
        <v>3</v>
      </c>
      <c r="AO135">
        <f>SUM(
    tblMergedCleaned[[#This Row],[Low_Rating_Flag]:[Worse_Readmission_Flag]]
)</f>
        <v>2</v>
      </c>
      <c r="AP13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3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35" s="2">
        <f>IF(
    tblMergedCleaned[[#This Row],[Definitely_Recommend_Pct]]="",
    "",
    tblMergedCleaned[[#This Row],[Definitely_Recommend_Pct]]-TX_Median_Recommend
)</f>
        <v>-8</v>
      </c>
      <c r="AS135" s="2">
        <f>IF(
    tblMergedCleaned[[#This Row],[Readmission_Rate_Pct]]="",
    "",
    tblMergedCleaned[[#This Row],[Readmission_Rate_Pct]]-TX_Median_Readmission
)</f>
        <v>0.19999999999999929</v>
      </c>
    </row>
    <row r="136" spans="1:45">
      <c r="A136" t="s">
        <v>864</v>
      </c>
      <c r="B136" t="s">
        <v>865</v>
      </c>
      <c r="C136" t="s">
        <v>866</v>
      </c>
      <c r="D136" t="s">
        <v>711</v>
      </c>
      <c r="E136" t="s">
        <v>18</v>
      </c>
      <c r="F136" t="s">
        <v>867</v>
      </c>
      <c r="G136" t="s">
        <v>711</v>
      </c>
      <c r="H136" t="s">
        <v>868</v>
      </c>
      <c r="I136" t="s">
        <v>21</v>
      </c>
      <c r="J136" t="s">
        <v>75</v>
      </c>
      <c r="K136" t="s">
        <v>23</v>
      </c>
      <c r="L136">
        <v>3</v>
      </c>
      <c r="M136" t="s">
        <v>42</v>
      </c>
      <c r="N136" t="s">
        <v>25</v>
      </c>
      <c r="O136" s="2">
        <v>84</v>
      </c>
      <c r="P136" s="2">
        <v>82</v>
      </c>
      <c r="Q136" s="2">
        <v>62</v>
      </c>
      <c r="R136" s="2">
        <v>86</v>
      </c>
      <c r="S136" s="2">
        <v>73</v>
      </c>
      <c r="T136" s="2">
        <v>71</v>
      </c>
      <c r="U136" t="s">
        <v>1775</v>
      </c>
      <c r="V136" s="2">
        <v>13</v>
      </c>
      <c r="W136" s="1">
        <v>45474</v>
      </c>
      <c r="X136" s="1">
        <v>45838</v>
      </c>
      <c r="Y136" s="2">
        <v>15.9</v>
      </c>
      <c r="Z136" t="s">
        <v>1884</v>
      </c>
      <c r="AA136">
        <v>980</v>
      </c>
      <c r="AB136" s="2">
        <v>14.6</v>
      </c>
      <c r="AC136" s="2">
        <v>17.3</v>
      </c>
      <c r="AD136" t="s">
        <v>25</v>
      </c>
      <c r="AE136" s="1">
        <v>45108</v>
      </c>
      <c r="AF136" s="1">
        <v>45473</v>
      </c>
      <c r="AG136" t="b">
        <v>1</v>
      </c>
      <c r="AH136" t="b">
        <v>1</v>
      </c>
      <c r="AI136" t="b">
        <v>1</v>
      </c>
      <c r="AJ136" t="str">
        <f>IF(tblMergedCleaned[[#This Row],[Overall_Rating]]=
    "",
    "Unavailable",
    IF(tblMergedCleaned[[#This Row],[Overall_Rating]]&lt;=
        2,
        "Low (1-2)",
        IF(tblMergedCleaned[[#This Row],[Overall_Rating]]=
            3,
            "Middle (3)",
            "High (4-5)"
        )
    )
)</f>
        <v>Middle (3)</v>
      </c>
      <c r="AK136" cm="1">
        <f t="array" ref="AK136">IF(
    tblMergedCleaned[[#This Row],[Overall_Rating]]="",
    "",
    --(tblMergedCleaned[[#This Row],[Overall_Rating]]&lt;=2)
)</f>
        <v>0</v>
      </c>
      <c r="AL136">
        <f>IF(
    tblMergedCleaned[[#This Row],[Definitely_Recommend_Pct]]="",
    "",
    --(tblMergedCleaned[[#This Row],[Definitely_Recommend_Pct]]&lt;TX_Median_Recommend)
)</f>
        <v>0</v>
      </c>
      <c r="AM136">
        <f>IF(
    tblMergedCleaned[[#This Row],[Readmission_Comparison]]="",
    "",
    --(tblMergedCleaned[[#This Row],[Readmission_Comparison]]="Worse")
)</f>
        <v>0</v>
      </c>
      <c r="AN136">
        <f>COUNT(
    tblMergedCleaned[[#This Row],[Low_Rating_Flag]:[Worse_Readmission_Flag]]
)</f>
        <v>3</v>
      </c>
      <c r="AO136">
        <f>SUM(
    tblMergedCleaned[[#This Row],[Low_Rating_Flag]:[Worse_Readmission_Flag]]
)</f>
        <v>0</v>
      </c>
      <c r="AP13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3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36" s="2">
        <f>IF(
    tblMergedCleaned[[#This Row],[Definitely_Recommend_Pct]]="",
    "",
    tblMergedCleaned[[#This Row],[Definitely_Recommend_Pct]]-TX_Median_Recommend
)</f>
        <v>0</v>
      </c>
      <c r="AS136" s="2">
        <f>IF(
    tblMergedCleaned[[#This Row],[Readmission_Rate_Pct]]="",
    "",
    tblMergedCleaned[[#This Row],[Readmission_Rate_Pct]]-TX_Median_Readmission
)</f>
        <v>1</v>
      </c>
    </row>
    <row r="137" spans="1:45">
      <c r="A137" t="s">
        <v>869</v>
      </c>
      <c r="B137" t="s">
        <v>870</v>
      </c>
      <c r="C137" t="s">
        <v>871</v>
      </c>
      <c r="D137" t="s">
        <v>872</v>
      </c>
      <c r="E137" t="s">
        <v>18</v>
      </c>
      <c r="F137" t="s">
        <v>873</v>
      </c>
      <c r="G137" t="s">
        <v>874</v>
      </c>
      <c r="H137" t="s">
        <v>875</v>
      </c>
      <c r="I137" t="s">
        <v>21</v>
      </c>
      <c r="J137" t="s">
        <v>56</v>
      </c>
      <c r="K137" t="s">
        <v>23</v>
      </c>
      <c r="M137" t="s">
        <v>176</v>
      </c>
      <c r="N137" t="s">
        <v>177</v>
      </c>
      <c r="U137" t="s">
        <v>176</v>
      </c>
      <c r="W137" s="1">
        <v>45474</v>
      </c>
      <c r="X137" s="1">
        <v>45838</v>
      </c>
      <c r="Y137" s="2">
        <v>14.3</v>
      </c>
      <c r="Z137" t="s">
        <v>1884</v>
      </c>
      <c r="AA137">
        <v>74</v>
      </c>
      <c r="AB137" s="2">
        <v>12.6</v>
      </c>
      <c r="AC137" s="2">
        <v>16.7</v>
      </c>
      <c r="AD137" t="s">
        <v>25</v>
      </c>
      <c r="AE137" s="1">
        <v>45108</v>
      </c>
      <c r="AF137" s="1">
        <v>45473</v>
      </c>
      <c r="AG137" t="b">
        <v>0</v>
      </c>
      <c r="AH137" t="b">
        <v>0</v>
      </c>
      <c r="AI137" t="b">
        <v>1</v>
      </c>
      <c r="AJ137" t="str">
        <f>IF(tblMergedCleaned[[#This Row],[Overall_Rating]]=
    "",
    "Unavailable",
    IF(tblMergedCleaned[[#This Row],[Overall_Rating]]&lt;=
        2,
        "Low (1-2)",
        IF(tblMergedCleaned[[#This Row],[Overall_Rating]]=
            3,
            "Middle (3)",
            "High (4-5)"
        )
    )
)</f>
        <v>Unavailable</v>
      </c>
      <c r="AK137" t="str" cm="1">
        <f t="array" ref="AK137">IF(
    tblMergedCleaned[[#This Row],[Overall_Rating]]="",
    "",
    --(tblMergedCleaned[[#This Row],[Overall_Rating]]&lt;=2)
)</f>
        <v/>
      </c>
      <c r="AL137" t="str">
        <f>IF(
    tblMergedCleaned[[#This Row],[Definitely_Recommend_Pct]]="",
    "",
    --(tblMergedCleaned[[#This Row],[Definitely_Recommend_Pct]]&lt;TX_Median_Recommend)
)</f>
        <v/>
      </c>
      <c r="AM137">
        <f>IF(
    tblMergedCleaned[[#This Row],[Readmission_Comparison]]="",
    "",
    --(tblMergedCleaned[[#This Row],[Readmission_Comparison]]="Worse")
)</f>
        <v>0</v>
      </c>
      <c r="AN137">
        <f>COUNT(
    tblMergedCleaned[[#This Row],[Low_Rating_Flag]:[Worse_Readmission_Flag]]
)</f>
        <v>1</v>
      </c>
      <c r="AO137">
        <f>SUM(
    tblMergedCleaned[[#This Row],[Low_Rating_Flag]:[Worse_Readmission_Flag]]
)</f>
        <v>0</v>
      </c>
      <c r="AP13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3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137" s="2" t="str">
        <f>IF(
    tblMergedCleaned[[#This Row],[Definitely_Recommend_Pct]]="",
    "",
    tblMergedCleaned[[#This Row],[Definitely_Recommend_Pct]]-TX_Median_Recommend
)</f>
        <v/>
      </c>
      <c r="AS137" s="2">
        <f>IF(
    tblMergedCleaned[[#This Row],[Readmission_Rate_Pct]]="",
    "",
    tblMergedCleaned[[#This Row],[Readmission_Rate_Pct]]-TX_Median_Readmission
)</f>
        <v>-0.59999999999999964</v>
      </c>
    </row>
    <row r="138" spans="1:45">
      <c r="A138" t="s">
        <v>876</v>
      </c>
      <c r="B138" t="s">
        <v>877</v>
      </c>
      <c r="C138" t="s">
        <v>878</v>
      </c>
      <c r="D138" t="s">
        <v>119</v>
      </c>
      <c r="E138" t="s">
        <v>18</v>
      </c>
      <c r="F138" t="s">
        <v>879</v>
      </c>
      <c r="G138" t="s">
        <v>121</v>
      </c>
      <c r="H138" t="s">
        <v>880</v>
      </c>
      <c r="I138" t="s">
        <v>21</v>
      </c>
      <c r="J138" t="s">
        <v>22</v>
      </c>
      <c r="K138" t="s">
        <v>23</v>
      </c>
      <c r="L138">
        <v>4</v>
      </c>
      <c r="M138" t="s">
        <v>34</v>
      </c>
      <c r="N138" t="s">
        <v>25</v>
      </c>
      <c r="O138" s="2">
        <v>74</v>
      </c>
      <c r="P138" s="2">
        <v>75</v>
      </c>
      <c r="Q138" s="2">
        <v>55</v>
      </c>
      <c r="R138" s="2">
        <v>79</v>
      </c>
      <c r="S138" s="2">
        <v>68</v>
      </c>
      <c r="T138" s="2">
        <v>62</v>
      </c>
      <c r="U138" t="s">
        <v>1776</v>
      </c>
      <c r="V138" s="2">
        <v>15</v>
      </c>
      <c r="W138" s="1">
        <v>45474</v>
      </c>
      <c r="X138" s="1">
        <v>45838</v>
      </c>
      <c r="Y138" s="2">
        <v>14.9</v>
      </c>
      <c r="Z138" t="s">
        <v>1884</v>
      </c>
      <c r="AA138">
        <v>569</v>
      </c>
      <c r="AB138" s="2">
        <v>13.5</v>
      </c>
      <c r="AC138" s="2">
        <v>16.5</v>
      </c>
      <c r="AD138" t="s">
        <v>25</v>
      </c>
      <c r="AE138" s="1">
        <v>45108</v>
      </c>
      <c r="AF138" s="1">
        <v>45473</v>
      </c>
      <c r="AG138" t="b">
        <v>1</v>
      </c>
      <c r="AH138" t="b">
        <v>1</v>
      </c>
      <c r="AI138" t="b">
        <v>1</v>
      </c>
      <c r="AJ138" t="str">
        <f>IF(tblMergedCleaned[[#This Row],[Overall_Rating]]=
    "",
    "Unavailable",
    IF(tblMergedCleaned[[#This Row],[Overall_Rating]]&lt;=
        2,
        "Low (1-2)",
        IF(tblMergedCleaned[[#This Row],[Overall_Rating]]=
            3,
            "Middle (3)",
            "High (4-5)"
        )
    )
)</f>
        <v>High (4-5)</v>
      </c>
      <c r="AK138" cm="1">
        <f t="array" ref="AK138">IF(
    tblMergedCleaned[[#This Row],[Overall_Rating]]="",
    "",
    --(tblMergedCleaned[[#This Row],[Overall_Rating]]&lt;=2)
)</f>
        <v>0</v>
      </c>
      <c r="AL138">
        <f>IF(
    tblMergedCleaned[[#This Row],[Definitely_Recommend_Pct]]="",
    "",
    --(tblMergedCleaned[[#This Row],[Definitely_Recommend_Pct]]&lt;TX_Median_Recommend)
)</f>
        <v>1</v>
      </c>
      <c r="AM138">
        <f>IF(
    tblMergedCleaned[[#This Row],[Readmission_Comparison]]="",
    "",
    --(tblMergedCleaned[[#This Row],[Readmission_Comparison]]="Worse")
)</f>
        <v>0</v>
      </c>
      <c r="AN138">
        <f>COUNT(
    tblMergedCleaned[[#This Row],[Low_Rating_Flag]:[Worse_Readmission_Flag]]
)</f>
        <v>3</v>
      </c>
      <c r="AO138">
        <f>SUM(
    tblMergedCleaned[[#This Row],[Low_Rating_Flag]:[Worse_Readmission_Flag]]
)</f>
        <v>1</v>
      </c>
      <c r="AP13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3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38" s="2">
        <f>IF(
    tblMergedCleaned[[#This Row],[Definitely_Recommend_Pct]]="",
    "",
    tblMergedCleaned[[#This Row],[Definitely_Recommend_Pct]]-TX_Median_Recommend
)</f>
        <v>-9</v>
      </c>
      <c r="AS138" s="2">
        <f>IF(
    tblMergedCleaned[[#This Row],[Readmission_Rate_Pct]]="",
    "",
    tblMergedCleaned[[#This Row],[Readmission_Rate_Pct]]-TX_Median_Readmission
)</f>
        <v>0</v>
      </c>
    </row>
    <row r="139" spans="1:45">
      <c r="A139" t="s">
        <v>881</v>
      </c>
      <c r="B139" t="s">
        <v>882</v>
      </c>
      <c r="C139" t="s">
        <v>883</v>
      </c>
      <c r="D139" t="s">
        <v>312</v>
      </c>
      <c r="E139" t="s">
        <v>18</v>
      </c>
      <c r="F139" t="s">
        <v>313</v>
      </c>
      <c r="G139" t="s">
        <v>314</v>
      </c>
      <c r="H139" t="s">
        <v>884</v>
      </c>
      <c r="I139" t="s">
        <v>21</v>
      </c>
      <c r="J139" t="s">
        <v>22</v>
      </c>
      <c r="K139" t="s">
        <v>23</v>
      </c>
      <c r="L139">
        <v>3</v>
      </c>
      <c r="M139" t="s">
        <v>42</v>
      </c>
      <c r="N139" t="s">
        <v>25</v>
      </c>
      <c r="O139" s="2">
        <v>72</v>
      </c>
      <c r="P139" s="2">
        <v>77</v>
      </c>
      <c r="Q139" s="2">
        <v>59</v>
      </c>
      <c r="R139" s="2">
        <v>80</v>
      </c>
      <c r="S139" s="2">
        <v>61</v>
      </c>
      <c r="T139" s="2">
        <v>61</v>
      </c>
      <c r="U139" t="s">
        <v>1754</v>
      </c>
      <c r="V139" s="2">
        <v>8</v>
      </c>
      <c r="W139" s="1">
        <v>45474</v>
      </c>
      <c r="X139" s="1">
        <v>45838</v>
      </c>
      <c r="Y139" s="2">
        <v>14.3</v>
      </c>
      <c r="Z139" t="s">
        <v>1884</v>
      </c>
      <c r="AA139">
        <v>326</v>
      </c>
      <c r="AB139" s="2">
        <v>12.9</v>
      </c>
      <c r="AC139" s="2">
        <v>16</v>
      </c>
      <c r="AD139" t="s">
        <v>25</v>
      </c>
      <c r="AE139" s="1">
        <v>45108</v>
      </c>
      <c r="AF139" s="1">
        <v>45473</v>
      </c>
      <c r="AG139" t="b">
        <v>1</v>
      </c>
      <c r="AH139" t="b">
        <v>1</v>
      </c>
      <c r="AI139" t="b">
        <v>1</v>
      </c>
      <c r="AJ139" t="str">
        <f>IF(tblMergedCleaned[[#This Row],[Overall_Rating]]=
    "",
    "Unavailable",
    IF(tblMergedCleaned[[#This Row],[Overall_Rating]]&lt;=
        2,
        "Low (1-2)",
        IF(tblMergedCleaned[[#This Row],[Overall_Rating]]=
            3,
            "Middle (3)",
            "High (4-5)"
        )
    )
)</f>
        <v>Middle (3)</v>
      </c>
      <c r="AK139" cm="1">
        <f t="array" ref="AK139">IF(
    tblMergedCleaned[[#This Row],[Overall_Rating]]="",
    "",
    --(tblMergedCleaned[[#This Row],[Overall_Rating]]&lt;=2)
)</f>
        <v>0</v>
      </c>
      <c r="AL139">
        <f>IF(
    tblMergedCleaned[[#This Row],[Definitely_Recommend_Pct]]="",
    "",
    --(tblMergedCleaned[[#This Row],[Definitely_Recommend_Pct]]&lt;TX_Median_Recommend)
)</f>
        <v>1</v>
      </c>
      <c r="AM139">
        <f>IF(
    tblMergedCleaned[[#This Row],[Readmission_Comparison]]="",
    "",
    --(tblMergedCleaned[[#This Row],[Readmission_Comparison]]="Worse")
)</f>
        <v>0</v>
      </c>
      <c r="AN139">
        <f>COUNT(
    tblMergedCleaned[[#This Row],[Low_Rating_Flag]:[Worse_Readmission_Flag]]
)</f>
        <v>3</v>
      </c>
      <c r="AO139">
        <f>SUM(
    tblMergedCleaned[[#This Row],[Low_Rating_Flag]:[Worse_Readmission_Flag]]
)</f>
        <v>1</v>
      </c>
      <c r="AP13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3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39" s="2">
        <f>IF(
    tblMergedCleaned[[#This Row],[Definitely_Recommend_Pct]]="",
    "",
    tblMergedCleaned[[#This Row],[Definitely_Recommend_Pct]]-TX_Median_Recommend
)</f>
        <v>-10</v>
      </c>
      <c r="AS139" s="2">
        <f>IF(
    tblMergedCleaned[[#This Row],[Readmission_Rate_Pct]]="",
    "",
    tblMergedCleaned[[#This Row],[Readmission_Rate_Pct]]-TX_Median_Readmission
)</f>
        <v>-0.59999999999999964</v>
      </c>
    </row>
    <row r="140" spans="1:45">
      <c r="A140" t="s">
        <v>885</v>
      </c>
      <c r="B140" t="s">
        <v>886</v>
      </c>
      <c r="C140" t="s">
        <v>887</v>
      </c>
      <c r="D140" t="s">
        <v>85</v>
      </c>
      <c r="E140" t="s">
        <v>18</v>
      </c>
      <c r="F140" t="s">
        <v>888</v>
      </c>
      <c r="G140" t="s">
        <v>87</v>
      </c>
      <c r="H140" t="s">
        <v>889</v>
      </c>
      <c r="I140" t="s">
        <v>21</v>
      </c>
      <c r="J140" t="s">
        <v>22</v>
      </c>
      <c r="K140" t="s">
        <v>23</v>
      </c>
      <c r="L140">
        <v>2</v>
      </c>
      <c r="M140" t="s">
        <v>24</v>
      </c>
      <c r="N140" t="s">
        <v>25</v>
      </c>
      <c r="O140" s="2">
        <v>74</v>
      </c>
      <c r="P140" s="2">
        <v>72</v>
      </c>
      <c r="Q140" s="2">
        <v>59</v>
      </c>
      <c r="R140" s="2">
        <v>80</v>
      </c>
      <c r="S140" s="2">
        <v>63</v>
      </c>
      <c r="T140" s="2">
        <v>66</v>
      </c>
      <c r="U140" t="s">
        <v>1777</v>
      </c>
      <c r="V140" s="2">
        <v>10</v>
      </c>
      <c r="W140" s="1">
        <v>45474</v>
      </c>
      <c r="X140" s="1">
        <v>45838</v>
      </c>
      <c r="Y140" s="2">
        <v>15</v>
      </c>
      <c r="Z140" t="s">
        <v>1884</v>
      </c>
      <c r="AA140">
        <v>790</v>
      </c>
      <c r="AB140" s="2">
        <v>13.7</v>
      </c>
      <c r="AC140" s="2">
        <v>16.5</v>
      </c>
      <c r="AD140" t="s">
        <v>25</v>
      </c>
      <c r="AE140" s="1">
        <v>45108</v>
      </c>
      <c r="AF140" s="1">
        <v>45473</v>
      </c>
      <c r="AG140" t="b">
        <v>1</v>
      </c>
      <c r="AH140" t="b">
        <v>1</v>
      </c>
      <c r="AI140" t="b">
        <v>1</v>
      </c>
      <c r="AJ140" t="str">
        <f>IF(tblMergedCleaned[[#This Row],[Overall_Rating]]=
    "",
    "Unavailable",
    IF(tblMergedCleaned[[#This Row],[Overall_Rating]]&lt;=
        2,
        "Low (1-2)",
        IF(tblMergedCleaned[[#This Row],[Overall_Rating]]=
            3,
            "Middle (3)",
            "High (4-5)"
        )
    )
)</f>
        <v>Low (1-2)</v>
      </c>
      <c r="AK140" cm="1">
        <f t="array" ref="AK140">IF(
    tblMergedCleaned[[#This Row],[Overall_Rating]]="",
    "",
    --(tblMergedCleaned[[#This Row],[Overall_Rating]]&lt;=2)
)</f>
        <v>1</v>
      </c>
      <c r="AL140">
        <f>IF(
    tblMergedCleaned[[#This Row],[Definitely_Recommend_Pct]]="",
    "",
    --(tblMergedCleaned[[#This Row],[Definitely_Recommend_Pct]]&lt;TX_Median_Recommend)
)</f>
        <v>1</v>
      </c>
      <c r="AM140">
        <f>IF(
    tblMergedCleaned[[#This Row],[Readmission_Comparison]]="",
    "",
    --(tblMergedCleaned[[#This Row],[Readmission_Comparison]]="Worse")
)</f>
        <v>0</v>
      </c>
      <c r="AN140">
        <f>COUNT(
    tblMergedCleaned[[#This Row],[Low_Rating_Flag]:[Worse_Readmission_Flag]]
)</f>
        <v>3</v>
      </c>
      <c r="AO140">
        <f>SUM(
    tblMergedCleaned[[#This Row],[Low_Rating_Flag]:[Worse_Readmission_Flag]]
)</f>
        <v>2</v>
      </c>
      <c r="AP14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4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40" s="2">
        <f>IF(
    tblMergedCleaned[[#This Row],[Definitely_Recommend_Pct]]="",
    "",
    tblMergedCleaned[[#This Row],[Definitely_Recommend_Pct]]-TX_Median_Recommend
)</f>
        <v>-5</v>
      </c>
      <c r="AS140" s="2">
        <f>IF(
    tblMergedCleaned[[#This Row],[Readmission_Rate_Pct]]="",
    "",
    tblMergedCleaned[[#This Row],[Readmission_Rate_Pct]]-TX_Median_Readmission
)</f>
        <v>9.9999999999999645E-2</v>
      </c>
    </row>
    <row r="141" spans="1:45">
      <c r="A141" t="s">
        <v>890</v>
      </c>
      <c r="B141" t="s">
        <v>891</v>
      </c>
      <c r="C141" t="s">
        <v>892</v>
      </c>
      <c r="D141" t="s">
        <v>17</v>
      </c>
      <c r="E141" t="s">
        <v>18</v>
      </c>
      <c r="F141" t="s">
        <v>19</v>
      </c>
      <c r="G141" t="s">
        <v>17</v>
      </c>
      <c r="H141" t="s">
        <v>893</v>
      </c>
      <c r="I141" t="s">
        <v>21</v>
      </c>
      <c r="J141" t="s">
        <v>22</v>
      </c>
      <c r="K141" t="s">
        <v>23</v>
      </c>
      <c r="L141">
        <v>2</v>
      </c>
      <c r="M141" t="s">
        <v>24</v>
      </c>
      <c r="N141" t="s">
        <v>25</v>
      </c>
      <c r="O141" s="2">
        <v>74</v>
      </c>
      <c r="P141" s="2">
        <v>77</v>
      </c>
      <c r="Q141" s="2">
        <v>59</v>
      </c>
      <c r="R141" s="2">
        <v>81</v>
      </c>
      <c r="S141" s="2">
        <v>64</v>
      </c>
      <c r="T141" s="2">
        <v>64</v>
      </c>
      <c r="U141" t="s">
        <v>1778</v>
      </c>
      <c r="V141" s="2">
        <v>19</v>
      </c>
      <c r="W141" s="1">
        <v>45474</v>
      </c>
      <c r="X141" s="1">
        <v>45838</v>
      </c>
      <c r="Y141" s="2">
        <v>14.7</v>
      </c>
      <c r="Z141" t="s">
        <v>1884</v>
      </c>
      <c r="AA141">
        <v>1063</v>
      </c>
      <c r="AB141" s="2">
        <v>13.5</v>
      </c>
      <c r="AC141" s="2">
        <v>16.100000000000001</v>
      </c>
      <c r="AD141" t="s">
        <v>25</v>
      </c>
      <c r="AE141" s="1">
        <v>45108</v>
      </c>
      <c r="AF141" s="1">
        <v>45473</v>
      </c>
      <c r="AG141" t="b">
        <v>1</v>
      </c>
      <c r="AH141" t="b">
        <v>1</v>
      </c>
      <c r="AI141" t="b">
        <v>1</v>
      </c>
      <c r="AJ141" t="str">
        <f>IF(tblMergedCleaned[[#This Row],[Overall_Rating]]=
    "",
    "Unavailable",
    IF(tblMergedCleaned[[#This Row],[Overall_Rating]]&lt;=
        2,
        "Low (1-2)",
        IF(tblMergedCleaned[[#This Row],[Overall_Rating]]=
            3,
            "Middle (3)",
            "High (4-5)"
        )
    )
)</f>
        <v>Low (1-2)</v>
      </c>
      <c r="AK141" cm="1">
        <f t="array" ref="AK141">IF(
    tblMergedCleaned[[#This Row],[Overall_Rating]]="",
    "",
    --(tblMergedCleaned[[#This Row],[Overall_Rating]]&lt;=2)
)</f>
        <v>1</v>
      </c>
      <c r="AL141">
        <f>IF(
    tblMergedCleaned[[#This Row],[Definitely_Recommend_Pct]]="",
    "",
    --(tblMergedCleaned[[#This Row],[Definitely_Recommend_Pct]]&lt;TX_Median_Recommend)
)</f>
        <v>1</v>
      </c>
      <c r="AM141">
        <f>IF(
    tblMergedCleaned[[#This Row],[Readmission_Comparison]]="",
    "",
    --(tblMergedCleaned[[#This Row],[Readmission_Comparison]]="Worse")
)</f>
        <v>0</v>
      </c>
      <c r="AN141">
        <f>COUNT(
    tblMergedCleaned[[#This Row],[Low_Rating_Flag]:[Worse_Readmission_Flag]]
)</f>
        <v>3</v>
      </c>
      <c r="AO141">
        <f>SUM(
    tblMergedCleaned[[#This Row],[Low_Rating_Flag]:[Worse_Readmission_Flag]]
)</f>
        <v>2</v>
      </c>
      <c r="AP14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4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41" s="2">
        <f>IF(
    tblMergedCleaned[[#This Row],[Definitely_Recommend_Pct]]="",
    "",
    tblMergedCleaned[[#This Row],[Definitely_Recommend_Pct]]-TX_Median_Recommend
)</f>
        <v>-7</v>
      </c>
      <c r="AS141" s="2">
        <f>IF(
    tblMergedCleaned[[#This Row],[Readmission_Rate_Pct]]="",
    "",
    tblMergedCleaned[[#This Row],[Readmission_Rate_Pct]]-TX_Median_Readmission
)</f>
        <v>-0.20000000000000107</v>
      </c>
    </row>
    <row r="142" spans="1:45">
      <c r="A142" t="s">
        <v>894</v>
      </c>
      <c r="B142" t="s">
        <v>895</v>
      </c>
      <c r="C142" t="s">
        <v>896</v>
      </c>
      <c r="D142" t="s">
        <v>897</v>
      </c>
      <c r="E142" t="s">
        <v>18</v>
      </c>
      <c r="F142" t="s">
        <v>898</v>
      </c>
      <c r="G142" t="s">
        <v>808</v>
      </c>
      <c r="H142" t="s">
        <v>899</v>
      </c>
      <c r="I142" t="s">
        <v>21</v>
      </c>
      <c r="J142" t="s">
        <v>33</v>
      </c>
      <c r="K142" t="s">
        <v>23</v>
      </c>
      <c r="L142">
        <v>3</v>
      </c>
      <c r="M142" t="s">
        <v>42</v>
      </c>
      <c r="N142" t="s">
        <v>25</v>
      </c>
      <c r="O142" s="2">
        <v>78</v>
      </c>
      <c r="P142" s="2">
        <v>76</v>
      </c>
      <c r="Q142" s="2">
        <v>60</v>
      </c>
      <c r="R142" s="2">
        <v>85</v>
      </c>
      <c r="S142" s="2">
        <v>69</v>
      </c>
      <c r="T142" s="2">
        <v>70</v>
      </c>
      <c r="U142" t="s">
        <v>1779</v>
      </c>
      <c r="V142" s="2">
        <v>13</v>
      </c>
      <c r="W142" s="1">
        <v>45474</v>
      </c>
      <c r="X142" s="1">
        <v>45838</v>
      </c>
      <c r="Y142" s="2">
        <v>15.4</v>
      </c>
      <c r="Z142" t="s">
        <v>1884</v>
      </c>
      <c r="AA142">
        <v>942</v>
      </c>
      <c r="AB142" s="2">
        <v>14</v>
      </c>
      <c r="AC142" s="2">
        <v>16.8</v>
      </c>
      <c r="AD142" t="s">
        <v>25</v>
      </c>
      <c r="AE142" s="1">
        <v>45108</v>
      </c>
      <c r="AF142" s="1">
        <v>45473</v>
      </c>
      <c r="AG142" t="b">
        <v>1</v>
      </c>
      <c r="AH142" t="b">
        <v>1</v>
      </c>
      <c r="AI142" t="b">
        <v>1</v>
      </c>
      <c r="AJ142" t="str">
        <f>IF(tblMergedCleaned[[#This Row],[Overall_Rating]]=
    "",
    "Unavailable",
    IF(tblMergedCleaned[[#This Row],[Overall_Rating]]&lt;=
        2,
        "Low (1-2)",
        IF(tblMergedCleaned[[#This Row],[Overall_Rating]]=
            3,
            "Middle (3)",
            "High (4-5)"
        )
    )
)</f>
        <v>Middle (3)</v>
      </c>
      <c r="AK142" cm="1">
        <f t="array" ref="AK142">IF(
    tblMergedCleaned[[#This Row],[Overall_Rating]]="",
    "",
    --(tblMergedCleaned[[#This Row],[Overall_Rating]]&lt;=2)
)</f>
        <v>0</v>
      </c>
      <c r="AL142">
        <f>IF(
    tblMergedCleaned[[#This Row],[Definitely_Recommend_Pct]]="",
    "",
    --(tblMergedCleaned[[#This Row],[Definitely_Recommend_Pct]]&lt;TX_Median_Recommend)
)</f>
        <v>1</v>
      </c>
      <c r="AM142">
        <f>IF(
    tblMergedCleaned[[#This Row],[Readmission_Comparison]]="",
    "",
    --(tblMergedCleaned[[#This Row],[Readmission_Comparison]]="Worse")
)</f>
        <v>0</v>
      </c>
      <c r="AN142">
        <f>COUNT(
    tblMergedCleaned[[#This Row],[Low_Rating_Flag]:[Worse_Readmission_Flag]]
)</f>
        <v>3</v>
      </c>
      <c r="AO142">
        <f>SUM(
    tblMergedCleaned[[#This Row],[Low_Rating_Flag]:[Worse_Readmission_Flag]]
)</f>
        <v>1</v>
      </c>
      <c r="AP14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4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42" s="2">
        <f>IF(
    tblMergedCleaned[[#This Row],[Definitely_Recommend_Pct]]="",
    "",
    tblMergedCleaned[[#This Row],[Definitely_Recommend_Pct]]-TX_Median_Recommend
)</f>
        <v>-1</v>
      </c>
      <c r="AS142" s="2">
        <f>IF(
    tblMergedCleaned[[#This Row],[Readmission_Rate_Pct]]="",
    "",
    tblMergedCleaned[[#This Row],[Readmission_Rate_Pct]]-TX_Median_Readmission
)</f>
        <v>0.5</v>
      </c>
    </row>
    <row r="143" spans="1:45">
      <c r="A143" t="s">
        <v>900</v>
      </c>
      <c r="B143" t="s">
        <v>901</v>
      </c>
      <c r="C143" t="s">
        <v>902</v>
      </c>
      <c r="D143" t="s">
        <v>903</v>
      </c>
      <c r="E143" t="s">
        <v>18</v>
      </c>
      <c r="F143" t="s">
        <v>904</v>
      </c>
      <c r="G143" t="s">
        <v>121</v>
      </c>
      <c r="H143" t="s">
        <v>905</v>
      </c>
      <c r="I143" t="s">
        <v>21</v>
      </c>
      <c r="J143" t="s">
        <v>22</v>
      </c>
      <c r="K143" t="s">
        <v>23</v>
      </c>
      <c r="L143">
        <v>3</v>
      </c>
      <c r="M143" t="s">
        <v>42</v>
      </c>
      <c r="N143" t="s">
        <v>25</v>
      </c>
      <c r="O143" s="2">
        <v>76</v>
      </c>
      <c r="P143" s="2">
        <v>72</v>
      </c>
      <c r="Q143" s="2">
        <v>54</v>
      </c>
      <c r="R143" s="2">
        <v>82</v>
      </c>
      <c r="S143" s="2">
        <v>66</v>
      </c>
      <c r="T143" s="2">
        <v>61</v>
      </c>
      <c r="U143" t="s">
        <v>1780</v>
      </c>
      <c r="V143" s="2">
        <v>15</v>
      </c>
      <c r="W143" s="1">
        <v>45474</v>
      </c>
      <c r="X143" s="1">
        <v>45838</v>
      </c>
      <c r="Y143" s="2">
        <v>15.6</v>
      </c>
      <c r="Z143" t="s">
        <v>1884</v>
      </c>
      <c r="AA143">
        <v>1136</v>
      </c>
      <c r="AB143" s="2">
        <v>14.4</v>
      </c>
      <c r="AC143" s="2">
        <v>17</v>
      </c>
      <c r="AD143" t="s">
        <v>25</v>
      </c>
      <c r="AE143" s="1">
        <v>45108</v>
      </c>
      <c r="AF143" s="1">
        <v>45473</v>
      </c>
      <c r="AG143" t="b">
        <v>1</v>
      </c>
      <c r="AH143" t="b">
        <v>1</v>
      </c>
      <c r="AI143" t="b">
        <v>1</v>
      </c>
      <c r="AJ143" t="str">
        <f>IF(tblMergedCleaned[[#This Row],[Overall_Rating]]=
    "",
    "Unavailable",
    IF(tblMergedCleaned[[#This Row],[Overall_Rating]]&lt;=
        2,
        "Low (1-2)",
        IF(tblMergedCleaned[[#This Row],[Overall_Rating]]=
            3,
            "Middle (3)",
            "High (4-5)"
        )
    )
)</f>
        <v>Middle (3)</v>
      </c>
      <c r="AK143" cm="1">
        <f t="array" ref="AK143">IF(
    tblMergedCleaned[[#This Row],[Overall_Rating]]="",
    "",
    --(tblMergedCleaned[[#This Row],[Overall_Rating]]&lt;=2)
)</f>
        <v>0</v>
      </c>
      <c r="AL143">
        <f>IF(
    tblMergedCleaned[[#This Row],[Definitely_Recommend_Pct]]="",
    "",
    --(tblMergedCleaned[[#This Row],[Definitely_Recommend_Pct]]&lt;TX_Median_Recommend)
)</f>
        <v>1</v>
      </c>
      <c r="AM143">
        <f>IF(
    tblMergedCleaned[[#This Row],[Readmission_Comparison]]="",
    "",
    --(tblMergedCleaned[[#This Row],[Readmission_Comparison]]="Worse")
)</f>
        <v>0</v>
      </c>
      <c r="AN143">
        <f>COUNT(
    tblMergedCleaned[[#This Row],[Low_Rating_Flag]:[Worse_Readmission_Flag]]
)</f>
        <v>3</v>
      </c>
      <c r="AO143">
        <f>SUM(
    tblMergedCleaned[[#This Row],[Low_Rating_Flag]:[Worse_Readmission_Flag]]
)</f>
        <v>1</v>
      </c>
      <c r="AP14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4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43" s="2">
        <f>IF(
    tblMergedCleaned[[#This Row],[Definitely_Recommend_Pct]]="",
    "",
    tblMergedCleaned[[#This Row],[Definitely_Recommend_Pct]]-TX_Median_Recommend
)</f>
        <v>-10</v>
      </c>
      <c r="AS143" s="2">
        <f>IF(
    tblMergedCleaned[[#This Row],[Readmission_Rate_Pct]]="",
    "",
    tblMergedCleaned[[#This Row],[Readmission_Rate_Pct]]-TX_Median_Readmission
)</f>
        <v>0.69999999999999929</v>
      </c>
    </row>
    <row r="144" spans="1:45">
      <c r="A144" t="s">
        <v>906</v>
      </c>
      <c r="B144" t="s">
        <v>907</v>
      </c>
      <c r="C144" t="s">
        <v>908</v>
      </c>
      <c r="D144" t="s">
        <v>126</v>
      </c>
      <c r="E144" t="s">
        <v>18</v>
      </c>
      <c r="F144" t="s">
        <v>127</v>
      </c>
      <c r="G144" t="s">
        <v>128</v>
      </c>
      <c r="H144" t="s">
        <v>909</v>
      </c>
      <c r="I144" t="s">
        <v>21</v>
      </c>
      <c r="J144" t="s">
        <v>22</v>
      </c>
      <c r="K144" t="s">
        <v>23</v>
      </c>
      <c r="L144">
        <v>2</v>
      </c>
      <c r="M144" t="s">
        <v>24</v>
      </c>
      <c r="N144" t="s">
        <v>25</v>
      </c>
      <c r="O144" s="2">
        <v>73</v>
      </c>
      <c r="P144" s="2">
        <v>75</v>
      </c>
      <c r="Q144" s="2">
        <v>53</v>
      </c>
      <c r="R144" s="2">
        <v>83</v>
      </c>
      <c r="S144" s="2">
        <v>67</v>
      </c>
      <c r="T144" s="2">
        <v>66</v>
      </c>
      <c r="U144" t="s">
        <v>1781</v>
      </c>
      <c r="V144" s="2">
        <v>18</v>
      </c>
      <c r="W144" s="1">
        <v>45474</v>
      </c>
      <c r="X144" s="1">
        <v>45838</v>
      </c>
      <c r="Y144" s="2">
        <v>16.899999999999999</v>
      </c>
      <c r="Z144" t="s">
        <v>1886</v>
      </c>
      <c r="AA144">
        <v>2062</v>
      </c>
      <c r="AB144" s="2">
        <v>15.8</v>
      </c>
      <c r="AC144" s="2">
        <v>18.100000000000001</v>
      </c>
      <c r="AD144" t="s">
        <v>25</v>
      </c>
      <c r="AE144" s="1">
        <v>45108</v>
      </c>
      <c r="AF144" s="1">
        <v>45473</v>
      </c>
      <c r="AG144" t="b">
        <v>1</v>
      </c>
      <c r="AH144" t="b">
        <v>1</v>
      </c>
      <c r="AI144" t="b">
        <v>1</v>
      </c>
      <c r="AJ144" t="str">
        <f>IF(tblMergedCleaned[[#This Row],[Overall_Rating]]=
    "",
    "Unavailable",
    IF(tblMergedCleaned[[#This Row],[Overall_Rating]]&lt;=
        2,
        "Low (1-2)",
        IF(tblMergedCleaned[[#This Row],[Overall_Rating]]=
            3,
            "Middle (3)",
            "High (4-5)"
        )
    )
)</f>
        <v>Low (1-2)</v>
      </c>
      <c r="AK144" cm="1">
        <f t="array" ref="AK144">IF(
    tblMergedCleaned[[#This Row],[Overall_Rating]]="",
    "",
    --(tblMergedCleaned[[#This Row],[Overall_Rating]]&lt;=2)
)</f>
        <v>1</v>
      </c>
      <c r="AL144">
        <f>IF(
    tblMergedCleaned[[#This Row],[Definitely_Recommend_Pct]]="",
    "",
    --(tblMergedCleaned[[#This Row],[Definitely_Recommend_Pct]]&lt;TX_Median_Recommend)
)</f>
        <v>1</v>
      </c>
      <c r="AM144">
        <f>IF(
    tblMergedCleaned[[#This Row],[Readmission_Comparison]]="",
    "",
    --(tblMergedCleaned[[#This Row],[Readmission_Comparison]]="Worse")
)</f>
        <v>1</v>
      </c>
      <c r="AN144">
        <f>COUNT(
    tblMergedCleaned[[#This Row],[Low_Rating_Flag]:[Worse_Readmission_Flag]]
)</f>
        <v>3</v>
      </c>
      <c r="AO144">
        <f>SUM(
    tblMergedCleaned[[#This Row],[Low_Rating_Flag]:[Worse_Readmission_Flag]]
)</f>
        <v>3</v>
      </c>
      <c r="AP14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1</v>
      </c>
      <c r="AQ14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44" s="2">
        <f>IF(
    tblMergedCleaned[[#This Row],[Definitely_Recommend_Pct]]="",
    "",
    tblMergedCleaned[[#This Row],[Definitely_Recommend_Pct]]-TX_Median_Recommend
)</f>
        <v>-5</v>
      </c>
      <c r="AS144" s="2">
        <f>IF(
    tblMergedCleaned[[#This Row],[Readmission_Rate_Pct]]="",
    "",
    tblMergedCleaned[[#This Row],[Readmission_Rate_Pct]]-TX_Median_Readmission
)</f>
        <v>1.9999999999999982</v>
      </c>
    </row>
    <row r="145" spans="1:45">
      <c r="A145" t="s">
        <v>910</v>
      </c>
      <c r="B145" t="s">
        <v>911</v>
      </c>
      <c r="C145" t="s">
        <v>912</v>
      </c>
      <c r="D145" t="s">
        <v>119</v>
      </c>
      <c r="E145" t="s">
        <v>18</v>
      </c>
      <c r="F145" t="s">
        <v>913</v>
      </c>
      <c r="G145" t="s">
        <v>121</v>
      </c>
      <c r="H145" t="s">
        <v>914</v>
      </c>
      <c r="I145" t="s">
        <v>21</v>
      </c>
      <c r="J145" t="s">
        <v>22</v>
      </c>
      <c r="K145" t="s">
        <v>23</v>
      </c>
      <c r="L145">
        <v>4</v>
      </c>
      <c r="M145" t="s">
        <v>34</v>
      </c>
      <c r="N145" t="s">
        <v>25</v>
      </c>
      <c r="O145" s="2">
        <v>72</v>
      </c>
      <c r="P145" s="2">
        <v>76</v>
      </c>
      <c r="Q145" s="2">
        <v>54</v>
      </c>
      <c r="R145" s="2">
        <v>80</v>
      </c>
      <c r="S145" s="2">
        <v>67</v>
      </c>
      <c r="T145" s="2">
        <v>68</v>
      </c>
      <c r="U145" t="s">
        <v>1782</v>
      </c>
      <c r="V145" s="2">
        <v>10</v>
      </c>
      <c r="W145" s="1">
        <v>45474</v>
      </c>
      <c r="X145" s="1">
        <v>45838</v>
      </c>
      <c r="Y145" s="2">
        <v>14.7</v>
      </c>
      <c r="Z145" t="s">
        <v>1884</v>
      </c>
      <c r="AA145">
        <v>35</v>
      </c>
      <c r="AB145" s="2">
        <v>11.9</v>
      </c>
      <c r="AC145" s="2">
        <v>18.3</v>
      </c>
      <c r="AD145" t="s">
        <v>25</v>
      </c>
      <c r="AE145" s="1">
        <v>45108</v>
      </c>
      <c r="AF145" s="1">
        <v>45473</v>
      </c>
      <c r="AG145" t="b">
        <v>1</v>
      </c>
      <c r="AH145" t="b">
        <v>1</v>
      </c>
      <c r="AI145" t="b">
        <v>1</v>
      </c>
      <c r="AJ145" t="str">
        <f>IF(tblMergedCleaned[[#This Row],[Overall_Rating]]=
    "",
    "Unavailable",
    IF(tblMergedCleaned[[#This Row],[Overall_Rating]]&lt;=
        2,
        "Low (1-2)",
        IF(tblMergedCleaned[[#This Row],[Overall_Rating]]=
            3,
            "Middle (3)",
            "High (4-5)"
        )
    )
)</f>
        <v>High (4-5)</v>
      </c>
      <c r="AK145" cm="1">
        <f t="array" ref="AK145">IF(
    tblMergedCleaned[[#This Row],[Overall_Rating]]="",
    "",
    --(tblMergedCleaned[[#This Row],[Overall_Rating]]&lt;=2)
)</f>
        <v>0</v>
      </c>
      <c r="AL145">
        <f>IF(
    tblMergedCleaned[[#This Row],[Definitely_Recommend_Pct]]="",
    "",
    --(tblMergedCleaned[[#This Row],[Definitely_Recommend_Pct]]&lt;TX_Median_Recommend)
)</f>
        <v>1</v>
      </c>
      <c r="AM145">
        <f>IF(
    tblMergedCleaned[[#This Row],[Readmission_Comparison]]="",
    "",
    --(tblMergedCleaned[[#This Row],[Readmission_Comparison]]="Worse")
)</f>
        <v>0</v>
      </c>
      <c r="AN145">
        <f>COUNT(
    tblMergedCleaned[[#This Row],[Low_Rating_Flag]:[Worse_Readmission_Flag]]
)</f>
        <v>3</v>
      </c>
      <c r="AO145">
        <f>SUM(
    tblMergedCleaned[[#This Row],[Low_Rating_Flag]:[Worse_Readmission_Flag]]
)</f>
        <v>1</v>
      </c>
      <c r="AP14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4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45" s="2">
        <f>IF(
    tblMergedCleaned[[#This Row],[Definitely_Recommend_Pct]]="",
    "",
    tblMergedCleaned[[#This Row],[Definitely_Recommend_Pct]]-TX_Median_Recommend
)</f>
        <v>-3</v>
      </c>
      <c r="AS145" s="2">
        <f>IF(
    tblMergedCleaned[[#This Row],[Readmission_Rate_Pct]]="",
    "",
    tblMergedCleaned[[#This Row],[Readmission_Rate_Pct]]-TX_Median_Readmission
)</f>
        <v>-0.20000000000000107</v>
      </c>
    </row>
    <row r="146" spans="1:45">
      <c r="A146" t="s">
        <v>915</v>
      </c>
      <c r="B146" t="s">
        <v>916</v>
      </c>
      <c r="C146" t="s">
        <v>917</v>
      </c>
      <c r="D146" t="s">
        <v>195</v>
      </c>
      <c r="E146" t="s">
        <v>18</v>
      </c>
      <c r="F146" t="s">
        <v>918</v>
      </c>
      <c r="G146" t="s">
        <v>128</v>
      </c>
      <c r="H146" t="s">
        <v>919</v>
      </c>
      <c r="I146" t="s">
        <v>21</v>
      </c>
      <c r="J146" t="s">
        <v>22</v>
      </c>
      <c r="K146" t="s">
        <v>23</v>
      </c>
      <c r="L146">
        <v>2</v>
      </c>
      <c r="M146" t="s">
        <v>24</v>
      </c>
      <c r="N146" t="s">
        <v>25</v>
      </c>
      <c r="O146" s="2">
        <v>71</v>
      </c>
      <c r="P146" s="2">
        <v>71</v>
      </c>
      <c r="Q146" s="2">
        <v>51</v>
      </c>
      <c r="R146" s="2">
        <v>80</v>
      </c>
      <c r="S146" s="2">
        <v>60</v>
      </c>
      <c r="T146" s="2">
        <v>58</v>
      </c>
      <c r="U146" t="s">
        <v>1783</v>
      </c>
      <c r="V146" s="2">
        <v>10</v>
      </c>
      <c r="W146" s="1">
        <v>45474</v>
      </c>
      <c r="X146" s="1">
        <v>45838</v>
      </c>
      <c r="Y146" s="2">
        <v>16.2</v>
      </c>
      <c r="Z146" t="s">
        <v>1886</v>
      </c>
      <c r="AA146">
        <v>1651</v>
      </c>
      <c r="AB146" s="2">
        <v>15.1</v>
      </c>
      <c r="AC146" s="2">
        <v>17.399999999999999</v>
      </c>
      <c r="AD146" t="s">
        <v>25</v>
      </c>
      <c r="AE146" s="1">
        <v>45108</v>
      </c>
      <c r="AF146" s="1">
        <v>45473</v>
      </c>
      <c r="AG146" t="b">
        <v>1</v>
      </c>
      <c r="AH146" t="b">
        <v>1</v>
      </c>
      <c r="AI146" t="b">
        <v>1</v>
      </c>
      <c r="AJ146" t="str">
        <f>IF(tblMergedCleaned[[#This Row],[Overall_Rating]]=
    "",
    "Unavailable",
    IF(tblMergedCleaned[[#This Row],[Overall_Rating]]&lt;=
        2,
        "Low (1-2)",
        IF(tblMergedCleaned[[#This Row],[Overall_Rating]]=
            3,
            "Middle (3)",
            "High (4-5)"
        )
    )
)</f>
        <v>Low (1-2)</v>
      </c>
      <c r="AK146" cm="1">
        <f t="array" ref="AK146">IF(
    tblMergedCleaned[[#This Row],[Overall_Rating]]="",
    "",
    --(tblMergedCleaned[[#This Row],[Overall_Rating]]&lt;=2)
)</f>
        <v>1</v>
      </c>
      <c r="AL146">
        <f>IF(
    tblMergedCleaned[[#This Row],[Definitely_Recommend_Pct]]="",
    "",
    --(tblMergedCleaned[[#This Row],[Definitely_Recommend_Pct]]&lt;TX_Median_Recommend)
)</f>
        <v>1</v>
      </c>
      <c r="AM146">
        <f>IF(
    tblMergedCleaned[[#This Row],[Readmission_Comparison]]="",
    "",
    --(tblMergedCleaned[[#This Row],[Readmission_Comparison]]="Worse")
)</f>
        <v>1</v>
      </c>
      <c r="AN146">
        <f>COUNT(
    tblMergedCleaned[[#This Row],[Low_Rating_Flag]:[Worse_Readmission_Flag]]
)</f>
        <v>3</v>
      </c>
      <c r="AO146">
        <f>SUM(
    tblMergedCleaned[[#This Row],[Low_Rating_Flag]:[Worse_Readmission_Flag]]
)</f>
        <v>3</v>
      </c>
      <c r="AP14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1</v>
      </c>
      <c r="AQ14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46" s="2">
        <f>IF(
    tblMergedCleaned[[#This Row],[Definitely_Recommend_Pct]]="",
    "",
    tblMergedCleaned[[#This Row],[Definitely_Recommend_Pct]]-TX_Median_Recommend
)</f>
        <v>-13</v>
      </c>
      <c r="AS146" s="2">
        <f>IF(
    tblMergedCleaned[[#This Row],[Readmission_Rate_Pct]]="",
    "",
    tblMergedCleaned[[#This Row],[Readmission_Rate_Pct]]-TX_Median_Readmission
)</f>
        <v>1.2999999999999989</v>
      </c>
    </row>
    <row r="147" spans="1:45">
      <c r="A147" t="s">
        <v>920</v>
      </c>
      <c r="B147" t="s">
        <v>921</v>
      </c>
      <c r="C147" t="s">
        <v>922</v>
      </c>
      <c r="D147" t="s">
        <v>126</v>
      </c>
      <c r="E147" t="s">
        <v>18</v>
      </c>
      <c r="F147" t="s">
        <v>923</v>
      </c>
      <c r="G147" t="s">
        <v>128</v>
      </c>
      <c r="H147" t="s">
        <v>924</v>
      </c>
      <c r="I147" t="s">
        <v>21</v>
      </c>
      <c r="J147" t="s">
        <v>354</v>
      </c>
      <c r="K147" t="s">
        <v>23</v>
      </c>
      <c r="L147">
        <v>3</v>
      </c>
      <c r="M147" t="s">
        <v>42</v>
      </c>
      <c r="N147" t="s">
        <v>25</v>
      </c>
      <c r="O147" s="2">
        <v>77</v>
      </c>
      <c r="P147" s="2">
        <v>75</v>
      </c>
      <c r="Q147" s="2">
        <v>58</v>
      </c>
      <c r="R147" s="2">
        <v>87</v>
      </c>
      <c r="S147" s="2">
        <v>73</v>
      </c>
      <c r="T147" s="2">
        <v>71</v>
      </c>
      <c r="U147" t="s">
        <v>1784</v>
      </c>
      <c r="V147" s="2">
        <v>13</v>
      </c>
      <c r="W147" s="1">
        <v>45474</v>
      </c>
      <c r="X147" s="1">
        <v>45838</v>
      </c>
      <c r="Y147" s="2">
        <v>14.2</v>
      </c>
      <c r="Z147" t="s">
        <v>1884</v>
      </c>
      <c r="AA147">
        <v>1579</v>
      </c>
      <c r="AB147" s="2">
        <v>13.1</v>
      </c>
      <c r="AC147" s="2">
        <v>15.3</v>
      </c>
      <c r="AD147" t="s">
        <v>25</v>
      </c>
      <c r="AE147" s="1">
        <v>45108</v>
      </c>
      <c r="AF147" s="1">
        <v>45473</v>
      </c>
      <c r="AG147" t="b">
        <v>1</v>
      </c>
      <c r="AH147" t="b">
        <v>1</v>
      </c>
      <c r="AI147" t="b">
        <v>1</v>
      </c>
      <c r="AJ147" t="str">
        <f>IF(tblMergedCleaned[[#This Row],[Overall_Rating]]=
    "",
    "Unavailable",
    IF(tblMergedCleaned[[#This Row],[Overall_Rating]]&lt;=
        2,
        "Low (1-2)",
        IF(tblMergedCleaned[[#This Row],[Overall_Rating]]=
            3,
            "Middle (3)",
            "High (4-5)"
        )
    )
)</f>
        <v>Middle (3)</v>
      </c>
      <c r="AK147" cm="1">
        <f t="array" ref="AK147">IF(
    tblMergedCleaned[[#This Row],[Overall_Rating]]="",
    "",
    --(tblMergedCleaned[[#This Row],[Overall_Rating]]&lt;=2)
)</f>
        <v>0</v>
      </c>
      <c r="AL147">
        <f>IF(
    tblMergedCleaned[[#This Row],[Definitely_Recommend_Pct]]="",
    "",
    --(tblMergedCleaned[[#This Row],[Definitely_Recommend_Pct]]&lt;TX_Median_Recommend)
)</f>
        <v>0</v>
      </c>
      <c r="AM147">
        <f>IF(
    tblMergedCleaned[[#This Row],[Readmission_Comparison]]="",
    "",
    --(tblMergedCleaned[[#This Row],[Readmission_Comparison]]="Worse")
)</f>
        <v>0</v>
      </c>
      <c r="AN147">
        <f>COUNT(
    tblMergedCleaned[[#This Row],[Low_Rating_Flag]:[Worse_Readmission_Flag]]
)</f>
        <v>3</v>
      </c>
      <c r="AO147">
        <f>SUM(
    tblMergedCleaned[[#This Row],[Low_Rating_Flag]:[Worse_Readmission_Flag]]
)</f>
        <v>0</v>
      </c>
      <c r="AP14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4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47" s="2">
        <f>IF(
    tblMergedCleaned[[#This Row],[Definitely_Recommend_Pct]]="",
    "",
    tblMergedCleaned[[#This Row],[Definitely_Recommend_Pct]]-TX_Median_Recommend
)</f>
        <v>0</v>
      </c>
      <c r="AS147" s="2">
        <f>IF(
    tblMergedCleaned[[#This Row],[Readmission_Rate_Pct]]="",
    "",
    tblMergedCleaned[[#This Row],[Readmission_Rate_Pct]]-TX_Median_Readmission
)</f>
        <v>-0.70000000000000107</v>
      </c>
    </row>
    <row r="148" spans="1:45">
      <c r="A148" t="s">
        <v>925</v>
      </c>
      <c r="B148" t="s">
        <v>926</v>
      </c>
      <c r="C148" t="s">
        <v>927</v>
      </c>
      <c r="D148" t="s">
        <v>53</v>
      </c>
      <c r="E148" t="s">
        <v>18</v>
      </c>
      <c r="F148" t="s">
        <v>928</v>
      </c>
      <c r="G148" t="s">
        <v>53</v>
      </c>
      <c r="H148" t="s">
        <v>929</v>
      </c>
      <c r="I148" t="s">
        <v>21</v>
      </c>
      <c r="J148" t="s">
        <v>22</v>
      </c>
      <c r="K148" t="s">
        <v>23</v>
      </c>
      <c r="L148">
        <v>2</v>
      </c>
      <c r="M148" t="s">
        <v>24</v>
      </c>
      <c r="N148" t="s">
        <v>25</v>
      </c>
      <c r="U148" t="s">
        <v>176</v>
      </c>
      <c r="W148" s="1">
        <v>45474</v>
      </c>
      <c r="X148" s="1">
        <v>45838</v>
      </c>
      <c r="Y148" s="2">
        <v>16.399999999999999</v>
      </c>
      <c r="Z148" t="s">
        <v>1884</v>
      </c>
      <c r="AA148">
        <v>257</v>
      </c>
      <c r="AB148" s="2">
        <v>14.7</v>
      </c>
      <c r="AC148" s="2">
        <v>18.2</v>
      </c>
      <c r="AD148" t="s">
        <v>25</v>
      </c>
      <c r="AE148" s="1">
        <v>45108</v>
      </c>
      <c r="AF148" s="1">
        <v>45473</v>
      </c>
      <c r="AG148" t="b">
        <v>1</v>
      </c>
      <c r="AH148" t="b">
        <v>0</v>
      </c>
      <c r="AI148" t="b">
        <v>1</v>
      </c>
      <c r="AJ148" t="str">
        <f>IF(tblMergedCleaned[[#This Row],[Overall_Rating]]=
    "",
    "Unavailable",
    IF(tblMergedCleaned[[#This Row],[Overall_Rating]]&lt;=
        2,
        "Low (1-2)",
        IF(tblMergedCleaned[[#This Row],[Overall_Rating]]=
            3,
            "Middle (3)",
            "High (4-5)"
        )
    )
)</f>
        <v>Low (1-2)</v>
      </c>
      <c r="AK148" cm="1">
        <f t="array" ref="AK148">IF(
    tblMergedCleaned[[#This Row],[Overall_Rating]]="",
    "",
    --(tblMergedCleaned[[#This Row],[Overall_Rating]]&lt;=2)
)</f>
        <v>1</v>
      </c>
      <c r="AL148" t="str">
        <f>IF(
    tblMergedCleaned[[#This Row],[Definitely_Recommend_Pct]]="",
    "",
    --(tblMergedCleaned[[#This Row],[Definitely_Recommend_Pct]]&lt;TX_Median_Recommend)
)</f>
        <v/>
      </c>
      <c r="AM148">
        <f>IF(
    tblMergedCleaned[[#This Row],[Readmission_Comparison]]="",
    "",
    --(tblMergedCleaned[[#This Row],[Readmission_Comparison]]="Worse")
)</f>
        <v>0</v>
      </c>
      <c r="AN148">
        <f>COUNT(
    tblMergedCleaned[[#This Row],[Low_Rating_Flag]:[Worse_Readmission_Flag]]
)</f>
        <v>2</v>
      </c>
      <c r="AO148">
        <f>SUM(
    tblMergedCleaned[[#This Row],[Low_Rating_Flag]:[Worse_Readmission_Flag]]
)</f>
        <v>1</v>
      </c>
      <c r="AP14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4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148" s="2" t="str">
        <f>IF(
    tblMergedCleaned[[#This Row],[Definitely_Recommend_Pct]]="",
    "",
    tblMergedCleaned[[#This Row],[Definitely_Recommend_Pct]]-TX_Median_Recommend
)</f>
        <v/>
      </c>
      <c r="AS148" s="2">
        <f>IF(
    tblMergedCleaned[[#This Row],[Readmission_Rate_Pct]]="",
    "",
    tblMergedCleaned[[#This Row],[Readmission_Rate_Pct]]-TX_Median_Readmission
)</f>
        <v>1.4999999999999982</v>
      </c>
    </row>
    <row r="149" spans="1:45">
      <c r="A149" t="s">
        <v>930</v>
      </c>
      <c r="B149" t="s">
        <v>931</v>
      </c>
      <c r="C149" t="s">
        <v>932</v>
      </c>
      <c r="D149" t="s">
        <v>933</v>
      </c>
      <c r="E149" t="s">
        <v>18</v>
      </c>
      <c r="F149" t="s">
        <v>934</v>
      </c>
      <c r="G149" t="s">
        <v>121</v>
      </c>
      <c r="H149" t="s">
        <v>935</v>
      </c>
      <c r="I149" t="s">
        <v>21</v>
      </c>
      <c r="J149" t="s">
        <v>33</v>
      </c>
      <c r="K149" t="s">
        <v>23</v>
      </c>
      <c r="L149">
        <v>3</v>
      </c>
      <c r="M149" t="s">
        <v>42</v>
      </c>
      <c r="N149" t="s">
        <v>25</v>
      </c>
      <c r="O149" s="2">
        <v>76</v>
      </c>
      <c r="P149" s="2">
        <v>77</v>
      </c>
      <c r="Q149" s="2">
        <v>60</v>
      </c>
      <c r="R149" s="2">
        <v>83</v>
      </c>
      <c r="S149" s="2">
        <v>71</v>
      </c>
      <c r="T149" s="2">
        <v>70</v>
      </c>
      <c r="U149" t="s">
        <v>1785</v>
      </c>
      <c r="V149" s="2">
        <v>11</v>
      </c>
      <c r="W149" s="1">
        <v>45474</v>
      </c>
      <c r="X149" s="1">
        <v>45838</v>
      </c>
      <c r="Y149" s="2">
        <v>15</v>
      </c>
      <c r="Z149" t="s">
        <v>1884</v>
      </c>
      <c r="AA149">
        <v>1441</v>
      </c>
      <c r="AB149" s="2">
        <v>13.9</v>
      </c>
      <c r="AC149" s="2">
        <v>16.2</v>
      </c>
      <c r="AD149" t="s">
        <v>25</v>
      </c>
      <c r="AE149" s="1">
        <v>45108</v>
      </c>
      <c r="AF149" s="1">
        <v>45473</v>
      </c>
      <c r="AG149" t="b">
        <v>1</v>
      </c>
      <c r="AH149" t="b">
        <v>1</v>
      </c>
      <c r="AI149" t="b">
        <v>1</v>
      </c>
      <c r="AJ149" t="str">
        <f>IF(tblMergedCleaned[[#This Row],[Overall_Rating]]=
    "",
    "Unavailable",
    IF(tblMergedCleaned[[#This Row],[Overall_Rating]]&lt;=
        2,
        "Low (1-2)",
        IF(tblMergedCleaned[[#This Row],[Overall_Rating]]=
            3,
            "Middle (3)",
            "High (4-5)"
        )
    )
)</f>
        <v>Middle (3)</v>
      </c>
      <c r="AK149" cm="1">
        <f t="array" ref="AK149">IF(
    tblMergedCleaned[[#This Row],[Overall_Rating]]="",
    "",
    --(tblMergedCleaned[[#This Row],[Overall_Rating]]&lt;=2)
)</f>
        <v>0</v>
      </c>
      <c r="AL149">
        <f>IF(
    tblMergedCleaned[[#This Row],[Definitely_Recommend_Pct]]="",
    "",
    --(tblMergedCleaned[[#This Row],[Definitely_Recommend_Pct]]&lt;TX_Median_Recommend)
)</f>
        <v>1</v>
      </c>
      <c r="AM149">
        <f>IF(
    tblMergedCleaned[[#This Row],[Readmission_Comparison]]="",
    "",
    --(tblMergedCleaned[[#This Row],[Readmission_Comparison]]="Worse")
)</f>
        <v>0</v>
      </c>
      <c r="AN149">
        <f>COUNT(
    tblMergedCleaned[[#This Row],[Low_Rating_Flag]:[Worse_Readmission_Flag]]
)</f>
        <v>3</v>
      </c>
      <c r="AO149">
        <f>SUM(
    tblMergedCleaned[[#This Row],[Low_Rating_Flag]:[Worse_Readmission_Flag]]
)</f>
        <v>1</v>
      </c>
      <c r="AP14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4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49" s="2">
        <f>IF(
    tblMergedCleaned[[#This Row],[Definitely_Recommend_Pct]]="",
    "",
    tblMergedCleaned[[#This Row],[Definitely_Recommend_Pct]]-TX_Median_Recommend
)</f>
        <v>-1</v>
      </c>
      <c r="AS149" s="2">
        <f>IF(
    tblMergedCleaned[[#This Row],[Readmission_Rate_Pct]]="",
    "",
    tblMergedCleaned[[#This Row],[Readmission_Rate_Pct]]-TX_Median_Readmission
)</f>
        <v>9.9999999999999645E-2</v>
      </c>
    </row>
    <row r="150" spans="1:45">
      <c r="A150" t="s">
        <v>936</v>
      </c>
      <c r="B150" t="s">
        <v>937</v>
      </c>
      <c r="C150" t="s">
        <v>938</v>
      </c>
      <c r="D150" t="s">
        <v>133</v>
      </c>
      <c r="E150" t="s">
        <v>18</v>
      </c>
      <c r="F150" t="s">
        <v>939</v>
      </c>
      <c r="G150" t="s">
        <v>133</v>
      </c>
      <c r="H150" t="s">
        <v>940</v>
      </c>
      <c r="I150" t="s">
        <v>21</v>
      </c>
      <c r="J150" t="s">
        <v>56</v>
      </c>
      <c r="K150" t="s">
        <v>23</v>
      </c>
      <c r="L150">
        <v>2</v>
      </c>
      <c r="M150" t="s">
        <v>24</v>
      </c>
      <c r="N150" t="s">
        <v>25</v>
      </c>
      <c r="O150" s="2">
        <v>79</v>
      </c>
      <c r="P150" s="2">
        <v>78</v>
      </c>
      <c r="Q150" s="2">
        <v>64</v>
      </c>
      <c r="R150" s="2">
        <v>86</v>
      </c>
      <c r="S150" s="2">
        <v>76</v>
      </c>
      <c r="T150" s="2">
        <v>79</v>
      </c>
      <c r="U150" t="s">
        <v>1786</v>
      </c>
      <c r="V150" s="2">
        <v>13</v>
      </c>
      <c r="W150" s="1">
        <v>45474</v>
      </c>
      <c r="X150" s="1">
        <v>45838</v>
      </c>
      <c r="Y150" s="2">
        <v>14.6</v>
      </c>
      <c r="Z150" t="s">
        <v>1884</v>
      </c>
      <c r="AA150">
        <v>2264</v>
      </c>
      <c r="AB150" s="2">
        <v>13.5</v>
      </c>
      <c r="AC150" s="2">
        <v>15.7</v>
      </c>
      <c r="AD150" t="s">
        <v>25</v>
      </c>
      <c r="AE150" s="1">
        <v>45108</v>
      </c>
      <c r="AF150" s="1">
        <v>45473</v>
      </c>
      <c r="AG150" t="b">
        <v>1</v>
      </c>
      <c r="AH150" t="b">
        <v>1</v>
      </c>
      <c r="AI150" t="b">
        <v>1</v>
      </c>
      <c r="AJ150" t="str">
        <f>IF(tblMergedCleaned[[#This Row],[Overall_Rating]]=
    "",
    "Unavailable",
    IF(tblMergedCleaned[[#This Row],[Overall_Rating]]&lt;=
        2,
        "Low (1-2)",
        IF(tblMergedCleaned[[#This Row],[Overall_Rating]]=
            3,
            "Middle (3)",
            "High (4-5)"
        )
    )
)</f>
        <v>Low (1-2)</v>
      </c>
      <c r="AK150" cm="1">
        <f t="array" ref="AK150">IF(
    tblMergedCleaned[[#This Row],[Overall_Rating]]="",
    "",
    --(tblMergedCleaned[[#This Row],[Overall_Rating]]&lt;=2)
)</f>
        <v>1</v>
      </c>
      <c r="AL150">
        <f>IF(
    tblMergedCleaned[[#This Row],[Definitely_Recommend_Pct]]="",
    "",
    --(tblMergedCleaned[[#This Row],[Definitely_Recommend_Pct]]&lt;TX_Median_Recommend)
)</f>
        <v>0</v>
      </c>
      <c r="AM150">
        <f>IF(
    tblMergedCleaned[[#This Row],[Readmission_Comparison]]="",
    "",
    --(tblMergedCleaned[[#This Row],[Readmission_Comparison]]="Worse")
)</f>
        <v>0</v>
      </c>
      <c r="AN150">
        <f>COUNT(
    tblMergedCleaned[[#This Row],[Low_Rating_Flag]:[Worse_Readmission_Flag]]
)</f>
        <v>3</v>
      </c>
      <c r="AO150">
        <f>SUM(
    tblMergedCleaned[[#This Row],[Low_Rating_Flag]:[Worse_Readmission_Flag]]
)</f>
        <v>1</v>
      </c>
      <c r="AP15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5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50" s="2">
        <f>IF(
    tblMergedCleaned[[#This Row],[Definitely_Recommend_Pct]]="",
    "",
    tblMergedCleaned[[#This Row],[Definitely_Recommend_Pct]]-TX_Median_Recommend
)</f>
        <v>8</v>
      </c>
      <c r="AS150" s="2">
        <f>IF(
    tblMergedCleaned[[#This Row],[Readmission_Rate_Pct]]="",
    "",
    tblMergedCleaned[[#This Row],[Readmission_Rate_Pct]]-TX_Median_Readmission
)</f>
        <v>-0.30000000000000071</v>
      </c>
    </row>
    <row r="151" spans="1:45">
      <c r="A151" t="s">
        <v>941</v>
      </c>
      <c r="B151" t="s">
        <v>942</v>
      </c>
      <c r="C151" t="s">
        <v>943</v>
      </c>
      <c r="D151" t="s">
        <v>944</v>
      </c>
      <c r="E151" t="s">
        <v>18</v>
      </c>
      <c r="F151" t="s">
        <v>945</v>
      </c>
      <c r="G151" t="s">
        <v>53</v>
      </c>
      <c r="H151" t="s">
        <v>946</v>
      </c>
      <c r="I151" t="s">
        <v>21</v>
      </c>
      <c r="J151" t="s">
        <v>22</v>
      </c>
      <c r="K151" t="s">
        <v>23</v>
      </c>
      <c r="L151">
        <v>3</v>
      </c>
      <c r="M151" t="s">
        <v>42</v>
      </c>
      <c r="N151" t="s">
        <v>25</v>
      </c>
      <c r="O151" s="2">
        <v>70</v>
      </c>
      <c r="P151" s="2">
        <v>75</v>
      </c>
      <c r="Q151" s="2">
        <v>57</v>
      </c>
      <c r="R151" s="2">
        <v>77</v>
      </c>
      <c r="S151" s="2">
        <v>62</v>
      </c>
      <c r="T151" s="2">
        <v>59</v>
      </c>
      <c r="U151" t="s">
        <v>1787</v>
      </c>
      <c r="V151" s="2">
        <v>21</v>
      </c>
      <c r="W151" s="1">
        <v>45474</v>
      </c>
      <c r="X151" s="1">
        <v>45838</v>
      </c>
      <c r="Y151" s="2">
        <v>14.8</v>
      </c>
      <c r="Z151" t="s">
        <v>1884</v>
      </c>
      <c r="AA151">
        <v>552</v>
      </c>
      <c r="AB151" s="2">
        <v>13.4</v>
      </c>
      <c r="AC151" s="2">
        <v>16.399999999999999</v>
      </c>
      <c r="AD151" t="s">
        <v>25</v>
      </c>
      <c r="AE151" s="1">
        <v>45108</v>
      </c>
      <c r="AF151" s="1">
        <v>45473</v>
      </c>
      <c r="AG151" t="b">
        <v>1</v>
      </c>
      <c r="AH151" t="b">
        <v>1</v>
      </c>
      <c r="AI151" t="b">
        <v>1</v>
      </c>
      <c r="AJ151" t="str">
        <f>IF(tblMergedCleaned[[#This Row],[Overall_Rating]]=
    "",
    "Unavailable",
    IF(tblMergedCleaned[[#This Row],[Overall_Rating]]&lt;=
        2,
        "Low (1-2)",
        IF(tblMergedCleaned[[#This Row],[Overall_Rating]]=
            3,
            "Middle (3)",
            "High (4-5)"
        )
    )
)</f>
        <v>Middle (3)</v>
      </c>
      <c r="AK151" cm="1">
        <f t="array" ref="AK151">IF(
    tblMergedCleaned[[#This Row],[Overall_Rating]]="",
    "",
    --(tblMergedCleaned[[#This Row],[Overall_Rating]]&lt;=2)
)</f>
        <v>0</v>
      </c>
      <c r="AL151">
        <f>IF(
    tblMergedCleaned[[#This Row],[Definitely_Recommend_Pct]]="",
    "",
    --(tblMergedCleaned[[#This Row],[Definitely_Recommend_Pct]]&lt;TX_Median_Recommend)
)</f>
        <v>1</v>
      </c>
      <c r="AM151">
        <f>IF(
    tblMergedCleaned[[#This Row],[Readmission_Comparison]]="",
    "",
    --(tblMergedCleaned[[#This Row],[Readmission_Comparison]]="Worse")
)</f>
        <v>0</v>
      </c>
      <c r="AN151">
        <f>COUNT(
    tblMergedCleaned[[#This Row],[Low_Rating_Flag]:[Worse_Readmission_Flag]]
)</f>
        <v>3</v>
      </c>
      <c r="AO151">
        <f>SUM(
    tblMergedCleaned[[#This Row],[Low_Rating_Flag]:[Worse_Readmission_Flag]]
)</f>
        <v>1</v>
      </c>
      <c r="AP15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5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51" s="2">
        <f>IF(
    tblMergedCleaned[[#This Row],[Definitely_Recommend_Pct]]="",
    "",
    tblMergedCleaned[[#This Row],[Definitely_Recommend_Pct]]-TX_Median_Recommend
)</f>
        <v>-12</v>
      </c>
      <c r="AS151" s="2">
        <f>IF(
    tblMergedCleaned[[#This Row],[Readmission_Rate_Pct]]="",
    "",
    tblMergedCleaned[[#This Row],[Readmission_Rate_Pct]]-TX_Median_Readmission
)</f>
        <v>-9.9999999999999645E-2</v>
      </c>
    </row>
    <row r="152" spans="1:45">
      <c r="A152" t="s">
        <v>947</v>
      </c>
      <c r="B152" t="s">
        <v>948</v>
      </c>
      <c r="C152" t="s">
        <v>949</v>
      </c>
      <c r="D152" t="s">
        <v>233</v>
      </c>
      <c r="E152" t="s">
        <v>18</v>
      </c>
      <c r="F152" t="s">
        <v>950</v>
      </c>
      <c r="G152" t="s">
        <v>235</v>
      </c>
      <c r="H152" t="s">
        <v>951</v>
      </c>
      <c r="I152" t="s">
        <v>21</v>
      </c>
      <c r="J152" t="s">
        <v>63</v>
      </c>
      <c r="K152" t="s">
        <v>23</v>
      </c>
      <c r="L152">
        <v>4</v>
      </c>
      <c r="M152" t="s">
        <v>34</v>
      </c>
      <c r="N152" t="s">
        <v>25</v>
      </c>
      <c r="O152" s="2">
        <v>84</v>
      </c>
      <c r="P152" s="2">
        <v>88</v>
      </c>
      <c r="Q152" s="2">
        <v>68</v>
      </c>
      <c r="R152" s="2">
        <v>96</v>
      </c>
      <c r="S152" s="2">
        <v>81</v>
      </c>
      <c r="T152" s="2">
        <v>82</v>
      </c>
      <c r="U152" t="s">
        <v>1788</v>
      </c>
      <c r="V152" s="2">
        <v>15</v>
      </c>
      <c r="W152" s="1">
        <v>45474</v>
      </c>
      <c r="X152" s="1">
        <v>45838</v>
      </c>
      <c r="Y152" s="2">
        <v>14.5</v>
      </c>
      <c r="Z152" t="s">
        <v>1884</v>
      </c>
      <c r="AA152">
        <v>120</v>
      </c>
      <c r="AB152" s="2">
        <v>12.8</v>
      </c>
      <c r="AC152" s="2">
        <v>16.5</v>
      </c>
      <c r="AD152" t="s">
        <v>25</v>
      </c>
      <c r="AE152" s="1">
        <v>45108</v>
      </c>
      <c r="AF152" s="1">
        <v>45473</v>
      </c>
      <c r="AG152" t="b">
        <v>1</v>
      </c>
      <c r="AH152" t="b">
        <v>1</v>
      </c>
      <c r="AI152" t="b">
        <v>1</v>
      </c>
      <c r="AJ152" t="str">
        <f>IF(tblMergedCleaned[[#This Row],[Overall_Rating]]=
    "",
    "Unavailable",
    IF(tblMergedCleaned[[#This Row],[Overall_Rating]]&lt;=
        2,
        "Low (1-2)",
        IF(tblMergedCleaned[[#This Row],[Overall_Rating]]=
            3,
            "Middle (3)",
            "High (4-5)"
        )
    )
)</f>
        <v>High (4-5)</v>
      </c>
      <c r="AK152" cm="1">
        <f t="array" ref="AK152">IF(
    tblMergedCleaned[[#This Row],[Overall_Rating]]="",
    "",
    --(tblMergedCleaned[[#This Row],[Overall_Rating]]&lt;=2)
)</f>
        <v>0</v>
      </c>
      <c r="AL152">
        <f>IF(
    tblMergedCleaned[[#This Row],[Definitely_Recommend_Pct]]="",
    "",
    --(tblMergedCleaned[[#This Row],[Definitely_Recommend_Pct]]&lt;TX_Median_Recommend)
)</f>
        <v>0</v>
      </c>
      <c r="AM152">
        <f>IF(
    tblMergedCleaned[[#This Row],[Readmission_Comparison]]="",
    "",
    --(tblMergedCleaned[[#This Row],[Readmission_Comparison]]="Worse")
)</f>
        <v>0</v>
      </c>
      <c r="AN152">
        <f>COUNT(
    tblMergedCleaned[[#This Row],[Low_Rating_Flag]:[Worse_Readmission_Flag]]
)</f>
        <v>3</v>
      </c>
      <c r="AO152">
        <f>SUM(
    tblMergedCleaned[[#This Row],[Low_Rating_Flag]:[Worse_Readmission_Flag]]
)</f>
        <v>0</v>
      </c>
      <c r="AP15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5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52" s="2">
        <f>IF(
    tblMergedCleaned[[#This Row],[Definitely_Recommend_Pct]]="",
    "",
    tblMergedCleaned[[#This Row],[Definitely_Recommend_Pct]]-TX_Median_Recommend
)</f>
        <v>11</v>
      </c>
      <c r="AS152" s="2">
        <f>IF(
    tblMergedCleaned[[#This Row],[Readmission_Rate_Pct]]="",
    "",
    tblMergedCleaned[[#This Row],[Readmission_Rate_Pct]]-TX_Median_Readmission
)</f>
        <v>-0.40000000000000036</v>
      </c>
    </row>
    <row r="153" spans="1:45">
      <c r="A153" t="s">
        <v>952</v>
      </c>
      <c r="B153" t="s">
        <v>953</v>
      </c>
      <c r="C153" t="s">
        <v>954</v>
      </c>
      <c r="D153" t="s">
        <v>955</v>
      </c>
      <c r="E153" t="s">
        <v>18</v>
      </c>
      <c r="F153" t="s">
        <v>956</v>
      </c>
      <c r="G153" t="s">
        <v>957</v>
      </c>
      <c r="H153" t="s">
        <v>958</v>
      </c>
      <c r="I153" t="s">
        <v>21</v>
      </c>
      <c r="J153" t="s">
        <v>75</v>
      </c>
      <c r="K153" t="s">
        <v>23</v>
      </c>
      <c r="L153">
        <v>3</v>
      </c>
      <c r="M153" t="s">
        <v>42</v>
      </c>
      <c r="N153" t="s">
        <v>25</v>
      </c>
      <c r="O153" s="2">
        <v>73</v>
      </c>
      <c r="P153" s="2">
        <v>80</v>
      </c>
      <c r="Q153" s="2">
        <v>58</v>
      </c>
      <c r="R153" s="2">
        <v>84</v>
      </c>
      <c r="S153" s="2">
        <v>54</v>
      </c>
      <c r="T153" s="2">
        <v>56</v>
      </c>
      <c r="U153" t="s">
        <v>1789</v>
      </c>
      <c r="V153" s="2">
        <v>24</v>
      </c>
      <c r="W153" s="1">
        <v>45474</v>
      </c>
      <c r="X153" s="1">
        <v>45838</v>
      </c>
      <c r="Y153" s="2">
        <v>14.7</v>
      </c>
      <c r="Z153" t="s">
        <v>1884</v>
      </c>
      <c r="AA153">
        <v>198</v>
      </c>
      <c r="AB153" s="2">
        <v>12.9</v>
      </c>
      <c r="AC153" s="2">
        <v>16.600000000000001</v>
      </c>
      <c r="AD153" t="s">
        <v>25</v>
      </c>
      <c r="AE153" s="1">
        <v>45108</v>
      </c>
      <c r="AF153" s="1">
        <v>45473</v>
      </c>
      <c r="AG153" t="b">
        <v>1</v>
      </c>
      <c r="AH153" t="b">
        <v>1</v>
      </c>
      <c r="AI153" t="b">
        <v>1</v>
      </c>
      <c r="AJ153" t="str">
        <f>IF(tblMergedCleaned[[#This Row],[Overall_Rating]]=
    "",
    "Unavailable",
    IF(tblMergedCleaned[[#This Row],[Overall_Rating]]&lt;=
        2,
        "Low (1-2)",
        IF(tblMergedCleaned[[#This Row],[Overall_Rating]]=
            3,
            "Middle (3)",
            "High (4-5)"
        )
    )
)</f>
        <v>Middle (3)</v>
      </c>
      <c r="AK153" cm="1">
        <f t="array" ref="AK153">IF(
    tblMergedCleaned[[#This Row],[Overall_Rating]]="",
    "",
    --(tblMergedCleaned[[#This Row],[Overall_Rating]]&lt;=2)
)</f>
        <v>0</v>
      </c>
      <c r="AL153">
        <f>IF(
    tblMergedCleaned[[#This Row],[Definitely_Recommend_Pct]]="",
    "",
    --(tblMergedCleaned[[#This Row],[Definitely_Recommend_Pct]]&lt;TX_Median_Recommend)
)</f>
        <v>1</v>
      </c>
      <c r="AM153">
        <f>IF(
    tblMergedCleaned[[#This Row],[Readmission_Comparison]]="",
    "",
    --(tblMergedCleaned[[#This Row],[Readmission_Comparison]]="Worse")
)</f>
        <v>0</v>
      </c>
      <c r="AN153">
        <f>COUNT(
    tblMergedCleaned[[#This Row],[Low_Rating_Flag]:[Worse_Readmission_Flag]]
)</f>
        <v>3</v>
      </c>
      <c r="AO153">
        <f>SUM(
    tblMergedCleaned[[#This Row],[Low_Rating_Flag]:[Worse_Readmission_Flag]]
)</f>
        <v>1</v>
      </c>
      <c r="AP15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5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53" s="2">
        <f>IF(
    tblMergedCleaned[[#This Row],[Definitely_Recommend_Pct]]="",
    "",
    tblMergedCleaned[[#This Row],[Definitely_Recommend_Pct]]-TX_Median_Recommend
)</f>
        <v>-15</v>
      </c>
      <c r="AS153" s="2">
        <f>IF(
    tblMergedCleaned[[#This Row],[Readmission_Rate_Pct]]="",
    "",
    tblMergedCleaned[[#This Row],[Readmission_Rate_Pct]]-TX_Median_Readmission
)</f>
        <v>-0.20000000000000107</v>
      </c>
    </row>
    <row r="154" spans="1:45">
      <c r="A154" t="s">
        <v>959</v>
      </c>
      <c r="B154" t="s">
        <v>960</v>
      </c>
      <c r="C154" t="s">
        <v>961</v>
      </c>
      <c r="D154" t="s">
        <v>962</v>
      </c>
      <c r="E154" t="s">
        <v>18</v>
      </c>
      <c r="F154" t="s">
        <v>963</v>
      </c>
      <c r="G154" t="s">
        <v>964</v>
      </c>
      <c r="H154" t="s">
        <v>965</v>
      </c>
      <c r="I154" t="s">
        <v>21</v>
      </c>
      <c r="J154" t="s">
        <v>278</v>
      </c>
      <c r="K154" t="s">
        <v>23</v>
      </c>
      <c r="M154" t="s">
        <v>176</v>
      </c>
      <c r="N154" t="s">
        <v>177</v>
      </c>
      <c r="O154" s="2">
        <v>81</v>
      </c>
      <c r="P154" s="2">
        <v>91</v>
      </c>
      <c r="Q154" s="2">
        <v>71</v>
      </c>
      <c r="R154" s="2">
        <v>80</v>
      </c>
      <c r="S154" s="2">
        <v>72</v>
      </c>
      <c r="T154" s="2">
        <v>68</v>
      </c>
      <c r="U154" t="s">
        <v>1790</v>
      </c>
      <c r="V154" s="2">
        <v>16</v>
      </c>
      <c r="W154" s="1">
        <v>45474</v>
      </c>
      <c r="X154" s="1">
        <v>45838</v>
      </c>
      <c r="AD154" t="s">
        <v>322</v>
      </c>
      <c r="AE154" s="1">
        <v>45108</v>
      </c>
      <c r="AF154" s="1">
        <v>45473</v>
      </c>
      <c r="AG154" t="b">
        <v>0</v>
      </c>
      <c r="AH154" t="b">
        <v>1</v>
      </c>
      <c r="AI154" t="b">
        <v>0</v>
      </c>
      <c r="AJ154" t="str">
        <f>IF(tblMergedCleaned[[#This Row],[Overall_Rating]]=
    "",
    "Unavailable",
    IF(tblMergedCleaned[[#This Row],[Overall_Rating]]&lt;=
        2,
        "Low (1-2)",
        IF(tblMergedCleaned[[#This Row],[Overall_Rating]]=
            3,
            "Middle (3)",
            "High (4-5)"
        )
    )
)</f>
        <v>Unavailable</v>
      </c>
      <c r="AK154" t="str" cm="1">
        <f t="array" ref="AK154">IF(
    tblMergedCleaned[[#This Row],[Overall_Rating]]="",
    "",
    --(tblMergedCleaned[[#This Row],[Overall_Rating]]&lt;=2)
)</f>
        <v/>
      </c>
      <c r="AL154">
        <f>IF(
    tblMergedCleaned[[#This Row],[Definitely_Recommend_Pct]]="",
    "",
    --(tblMergedCleaned[[#This Row],[Definitely_Recommend_Pct]]&lt;TX_Median_Recommend)
)</f>
        <v>1</v>
      </c>
      <c r="AM154" t="str">
        <f>IF(
    tblMergedCleaned[[#This Row],[Readmission_Comparison]]="",
    "",
    --(tblMergedCleaned[[#This Row],[Readmission_Comparison]]="Worse")
)</f>
        <v/>
      </c>
      <c r="AN154">
        <f>COUNT(
    tblMergedCleaned[[#This Row],[Low_Rating_Flag]:[Worse_Readmission_Flag]]
)</f>
        <v>1</v>
      </c>
      <c r="AO154">
        <f>SUM(
    tblMergedCleaned[[#This Row],[Low_Rating_Flag]:[Worse_Readmission_Flag]]
)</f>
        <v>1</v>
      </c>
      <c r="AP15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5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54" s="2">
        <f>IF(
    tblMergedCleaned[[#This Row],[Definitely_Recommend_Pct]]="",
    "",
    tblMergedCleaned[[#This Row],[Definitely_Recommend_Pct]]-TX_Median_Recommend
)</f>
        <v>-3</v>
      </c>
      <c r="AS154" s="2" t="str">
        <f>IF(
    tblMergedCleaned[[#This Row],[Readmission_Rate_Pct]]="",
    "",
    tblMergedCleaned[[#This Row],[Readmission_Rate_Pct]]-TX_Median_Readmission
)</f>
        <v/>
      </c>
    </row>
    <row r="155" spans="1:45">
      <c r="A155" t="s">
        <v>966</v>
      </c>
      <c r="B155" t="s">
        <v>967</v>
      </c>
      <c r="C155" t="s">
        <v>968</v>
      </c>
      <c r="D155" t="s">
        <v>99</v>
      </c>
      <c r="E155" t="s">
        <v>18</v>
      </c>
      <c r="F155" t="s">
        <v>969</v>
      </c>
      <c r="G155" t="s">
        <v>101</v>
      </c>
      <c r="H155" t="s">
        <v>970</v>
      </c>
      <c r="I155" t="s">
        <v>21</v>
      </c>
      <c r="J155" t="s">
        <v>22</v>
      </c>
      <c r="K155" t="s">
        <v>23</v>
      </c>
      <c r="L155">
        <v>3</v>
      </c>
      <c r="M155" t="s">
        <v>42</v>
      </c>
      <c r="N155" t="s">
        <v>25</v>
      </c>
      <c r="O155" s="2">
        <v>76</v>
      </c>
      <c r="P155" s="2">
        <v>76</v>
      </c>
      <c r="Q155" s="2">
        <v>58</v>
      </c>
      <c r="R155" s="2">
        <v>85</v>
      </c>
      <c r="S155" s="2">
        <v>71</v>
      </c>
      <c r="T155" s="2">
        <v>73</v>
      </c>
      <c r="U155" t="s">
        <v>1791</v>
      </c>
      <c r="V155" s="2">
        <v>16</v>
      </c>
      <c r="W155" s="1">
        <v>45474</v>
      </c>
      <c r="X155" s="1">
        <v>45838</v>
      </c>
      <c r="Y155" s="2">
        <v>15.9</v>
      </c>
      <c r="Z155" t="s">
        <v>1884</v>
      </c>
      <c r="AA155">
        <v>2117</v>
      </c>
      <c r="AB155" s="2">
        <v>14.7</v>
      </c>
      <c r="AC155" s="2">
        <v>17</v>
      </c>
      <c r="AD155" t="s">
        <v>25</v>
      </c>
      <c r="AE155" s="1">
        <v>45108</v>
      </c>
      <c r="AF155" s="1">
        <v>45473</v>
      </c>
      <c r="AG155" t="b">
        <v>1</v>
      </c>
      <c r="AH155" t="b">
        <v>1</v>
      </c>
      <c r="AI155" t="b">
        <v>1</v>
      </c>
      <c r="AJ155" t="str">
        <f>IF(tblMergedCleaned[[#This Row],[Overall_Rating]]=
    "",
    "Unavailable",
    IF(tblMergedCleaned[[#This Row],[Overall_Rating]]&lt;=
        2,
        "Low (1-2)",
        IF(tblMergedCleaned[[#This Row],[Overall_Rating]]=
            3,
            "Middle (3)",
            "High (4-5)"
        )
    )
)</f>
        <v>Middle (3)</v>
      </c>
      <c r="AK155" cm="1">
        <f t="array" ref="AK155">IF(
    tblMergedCleaned[[#This Row],[Overall_Rating]]="",
    "",
    --(tblMergedCleaned[[#This Row],[Overall_Rating]]&lt;=2)
)</f>
        <v>0</v>
      </c>
      <c r="AL155">
        <f>IF(
    tblMergedCleaned[[#This Row],[Definitely_Recommend_Pct]]="",
    "",
    --(tblMergedCleaned[[#This Row],[Definitely_Recommend_Pct]]&lt;TX_Median_Recommend)
)</f>
        <v>0</v>
      </c>
      <c r="AM155">
        <f>IF(
    tblMergedCleaned[[#This Row],[Readmission_Comparison]]="",
    "",
    --(tblMergedCleaned[[#This Row],[Readmission_Comparison]]="Worse")
)</f>
        <v>0</v>
      </c>
      <c r="AN155">
        <f>COUNT(
    tblMergedCleaned[[#This Row],[Low_Rating_Flag]:[Worse_Readmission_Flag]]
)</f>
        <v>3</v>
      </c>
      <c r="AO155">
        <f>SUM(
    tblMergedCleaned[[#This Row],[Low_Rating_Flag]:[Worse_Readmission_Flag]]
)</f>
        <v>0</v>
      </c>
      <c r="AP15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5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55" s="2">
        <f>IF(
    tblMergedCleaned[[#This Row],[Definitely_Recommend_Pct]]="",
    "",
    tblMergedCleaned[[#This Row],[Definitely_Recommend_Pct]]-TX_Median_Recommend
)</f>
        <v>2</v>
      </c>
      <c r="AS155" s="2">
        <f>IF(
    tblMergedCleaned[[#This Row],[Readmission_Rate_Pct]]="",
    "",
    tblMergedCleaned[[#This Row],[Readmission_Rate_Pct]]-TX_Median_Readmission
)</f>
        <v>1</v>
      </c>
    </row>
    <row r="156" spans="1:45">
      <c r="A156" t="s">
        <v>971</v>
      </c>
      <c r="B156" t="s">
        <v>972</v>
      </c>
      <c r="C156" t="s">
        <v>973</v>
      </c>
      <c r="D156" t="s">
        <v>974</v>
      </c>
      <c r="E156" t="s">
        <v>18</v>
      </c>
      <c r="F156" t="s">
        <v>975</v>
      </c>
      <c r="G156" t="s">
        <v>121</v>
      </c>
      <c r="H156" t="s">
        <v>976</v>
      </c>
      <c r="I156" t="s">
        <v>21</v>
      </c>
      <c r="J156" t="s">
        <v>33</v>
      </c>
      <c r="K156" t="s">
        <v>23</v>
      </c>
      <c r="L156">
        <v>5</v>
      </c>
      <c r="M156" t="s">
        <v>168</v>
      </c>
      <c r="N156" t="s">
        <v>25</v>
      </c>
      <c r="O156" s="2">
        <v>84</v>
      </c>
      <c r="P156" s="2">
        <v>79</v>
      </c>
      <c r="Q156" s="2">
        <v>65</v>
      </c>
      <c r="R156" s="2">
        <v>91</v>
      </c>
      <c r="S156" s="2">
        <v>82</v>
      </c>
      <c r="T156" s="2">
        <v>85</v>
      </c>
      <c r="U156" t="s">
        <v>1792</v>
      </c>
      <c r="V156" s="2">
        <v>22</v>
      </c>
      <c r="W156" s="1">
        <v>45474</v>
      </c>
      <c r="X156" s="1">
        <v>45838</v>
      </c>
      <c r="Y156" s="2">
        <v>15.2</v>
      </c>
      <c r="Z156" t="s">
        <v>1884</v>
      </c>
      <c r="AA156">
        <v>1494</v>
      </c>
      <c r="AB156" s="2">
        <v>14</v>
      </c>
      <c r="AC156" s="2">
        <v>16.5</v>
      </c>
      <c r="AD156" t="s">
        <v>25</v>
      </c>
      <c r="AE156" s="1">
        <v>45108</v>
      </c>
      <c r="AF156" s="1">
        <v>45473</v>
      </c>
      <c r="AG156" t="b">
        <v>1</v>
      </c>
      <c r="AH156" t="b">
        <v>1</v>
      </c>
      <c r="AI156" t="b">
        <v>1</v>
      </c>
      <c r="AJ156" t="str">
        <f>IF(tblMergedCleaned[[#This Row],[Overall_Rating]]=
    "",
    "Unavailable",
    IF(tblMergedCleaned[[#This Row],[Overall_Rating]]&lt;=
        2,
        "Low (1-2)",
        IF(tblMergedCleaned[[#This Row],[Overall_Rating]]=
            3,
            "Middle (3)",
            "High (4-5)"
        )
    )
)</f>
        <v>High (4-5)</v>
      </c>
      <c r="AK156" cm="1">
        <f t="array" ref="AK156">IF(
    tblMergedCleaned[[#This Row],[Overall_Rating]]="",
    "",
    --(tblMergedCleaned[[#This Row],[Overall_Rating]]&lt;=2)
)</f>
        <v>0</v>
      </c>
      <c r="AL156">
        <f>IF(
    tblMergedCleaned[[#This Row],[Definitely_Recommend_Pct]]="",
    "",
    --(tblMergedCleaned[[#This Row],[Definitely_Recommend_Pct]]&lt;TX_Median_Recommend)
)</f>
        <v>0</v>
      </c>
      <c r="AM156">
        <f>IF(
    tblMergedCleaned[[#This Row],[Readmission_Comparison]]="",
    "",
    --(tblMergedCleaned[[#This Row],[Readmission_Comparison]]="Worse")
)</f>
        <v>0</v>
      </c>
      <c r="AN156">
        <f>COUNT(
    tblMergedCleaned[[#This Row],[Low_Rating_Flag]:[Worse_Readmission_Flag]]
)</f>
        <v>3</v>
      </c>
      <c r="AO156">
        <f>SUM(
    tblMergedCleaned[[#This Row],[Low_Rating_Flag]:[Worse_Readmission_Flag]]
)</f>
        <v>0</v>
      </c>
      <c r="AP15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5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56" s="2">
        <f>IF(
    tblMergedCleaned[[#This Row],[Definitely_Recommend_Pct]]="",
    "",
    tblMergedCleaned[[#This Row],[Definitely_Recommend_Pct]]-TX_Median_Recommend
)</f>
        <v>14</v>
      </c>
      <c r="AS156" s="2">
        <f>IF(
    tblMergedCleaned[[#This Row],[Readmission_Rate_Pct]]="",
    "",
    tblMergedCleaned[[#This Row],[Readmission_Rate_Pct]]-TX_Median_Readmission
)</f>
        <v>0.29999999999999893</v>
      </c>
    </row>
    <row r="157" spans="1:45">
      <c r="A157" t="s">
        <v>977</v>
      </c>
      <c r="B157" t="s">
        <v>978</v>
      </c>
      <c r="C157" t="s">
        <v>979</v>
      </c>
      <c r="D157" t="s">
        <v>980</v>
      </c>
      <c r="E157" t="s">
        <v>18</v>
      </c>
      <c r="F157" t="s">
        <v>981</v>
      </c>
      <c r="G157" t="s">
        <v>295</v>
      </c>
      <c r="H157" t="s">
        <v>982</v>
      </c>
      <c r="I157" t="s">
        <v>21</v>
      </c>
      <c r="J157" t="s">
        <v>22</v>
      </c>
      <c r="K157" t="s">
        <v>23</v>
      </c>
      <c r="L157">
        <v>4</v>
      </c>
      <c r="M157" t="s">
        <v>34</v>
      </c>
      <c r="N157" t="s">
        <v>25</v>
      </c>
      <c r="O157" s="2">
        <v>75</v>
      </c>
      <c r="P157" s="2">
        <v>74</v>
      </c>
      <c r="Q157" s="2">
        <v>56</v>
      </c>
      <c r="R157" s="2">
        <v>83</v>
      </c>
      <c r="S157" s="2">
        <v>67</v>
      </c>
      <c r="T157" s="2">
        <v>66</v>
      </c>
      <c r="U157" t="s">
        <v>1793</v>
      </c>
      <c r="V157" s="2">
        <v>10</v>
      </c>
      <c r="W157" s="1">
        <v>45474</v>
      </c>
      <c r="X157" s="1">
        <v>45838</v>
      </c>
      <c r="Y157" s="2">
        <v>14.2</v>
      </c>
      <c r="Z157" t="s">
        <v>1884</v>
      </c>
      <c r="AA157">
        <v>736</v>
      </c>
      <c r="AB157" s="2">
        <v>12.9</v>
      </c>
      <c r="AC157" s="2">
        <v>15.6</v>
      </c>
      <c r="AD157" t="s">
        <v>25</v>
      </c>
      <c r="AE157" s="1">
        <v>45108</v>
      </c>
      <c r="AF157" s="1">
        <v>45473</v>
      </c>
      <c r="AG157" t="b">
        <v>1</v>
      </c>
      <c r="AH157" t="b">
        <v>1</v>
      </c>
      <c r="AI157" t="b">
        <v>1</v>
      </c>
      <c r="AJ157" t="str">
        <f>IF(tblMergedCleaned[[#This Row],[Overall_Rating]]=
    "",
    "Unavailable",
    IF(tblMergedCleaned[[#This Row],[Overall_Rating]]&lt;=
        2,
        "Low (1-2)",
        IF(tblMergedCleaned[[#This Row],[Overall_Rating]]=
            3,
            "Middle (3)",
            "High (4-5)"
        )
    )
)</f>
        <v>High (4-5)</v>
      </c>
      <c r="AK157" cm="1">
        <f t="array" ref="AK157">IF(
    tblMergedCleaned[[#This Row],[Overall_Rating]]="",
    "",
    --(tblMergedCleaned[[#This Row],[Overall_Rating]]&lt;=2)
)</f>
        <v>0</v>
      </c>
      <c r="AL157">
        <f>IF(
    tblMergedCleaned[[#This Row],[Definitely_Recommend_Pct]]="",
    "",
    --(tblMergedCleaned[[#This Row],[Definitely_Recommend_Pct]]&lt;TX_Median_Recommend)
)</f>
        <v>1</v>
      </c>
      <c r="AM157">
        <f>IF(
    tblMergedCleaned[[#This Row],[Readmission_Comparison]]="",
    "",
    --(tblMergedCleaned[[#This Row],[Readmission_Comparison]]="Worse")
)</f>
        <v>0</v>
      </c>
      <c r="AN157">
        <f>COUNT(
    tblMergedCleaned[[#This Row],[Low_Rating_Flag]:[Worse_Readmission_Flag]]
)</f>
        <v>3</v>
      </c>
      <c r="AO157">
        <f>SUM(
    tblMergedCleaned[[#This Row],[Low_Rating_Flag]:[Worse_Readmission_Flag]]
)</f>
        <v>1</v>
      </c>
      <c r="AP15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5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57" s="2">
        <f>IF(
    tblMergedCleaned[[#This Row],[Definitely_Recommend_Pct]]="",
    "",
    tblMergedCleaned[[#This Row],[Definitely_Recommend_Pct]]-TX_Median_Recommend
)</f>
        <v>-5</v>
      </c>
      <c r="AS157" s="2">
        <f>IF(
    tblMergedCleaned[[#This Row],[Readmission_Rate_Pct]]="",
    "",
    tblMergedCleaned[[#This Row],[Readmission_Rate_Pct]]-TX_Median_Readmission
)</f>
        <v>-0.70000000000000107</v>
      </c>
    </row>
    <row r="158" spans="1:45">
      <c r="A158" t="s">
        <v>983</v>
      </c>
      <c r="B158" t="s">
        <v>984</v>
      </c>
      <c r="C158" t="s">
        <v>985</v>
      </c>
      <c r="D158" t="s">
        <v>181</v>
      </c>
      <c r="E158" t="s">
        <v>18</v>
      </c>
      <c r="F158" t="s">
        <v>986</v>
      </c>
      <c r="G158" t="s">
        <v>183</v>
      </c>
      <c r="H158" t="s">
        <v>987</v>
      </c>
      <c r="I158" t="s">
        <v>21</v>
      </c>
      <c r="J158" t="s">
        <v>22</v>
      </c>
      <c r="K158" t="s">
        <v>23</v>
      </c>
      <c r="L158">
        <v>3</v>
      </c>
      <c r="M158" t="s">
        <v>42</v>
      </c>
      <c r="N158" t="s">
        <v>25</v>
      </c>
      <c r="O158" s="2">
        <v>75</v>
      </c>
      <c r="P158" s="2">
        <v>76</v>
      </c>
      <c r="Q158" s="2">
        <v>56</v>
      </c>
      <c r="R158" s="2">
        <v>84</v>
      </c>
      <c r="S158" s="2">
        <v>65</v>
      </c>
      <c r="T158" s="2">
        <v>68</v>
      </c>
      <c r="U158" t="s">
        <v>1794</v>
      </c>
      <c r="V158" s="2">
        <v>15</v>
      </c>
      <c r="W158" s="1">
        <v>45474</v>
      </c>
      <c r="X158" s="1">
        <v>45838</v>
      </c>
      <c r="Y158" s="2">
        <v>15.2</v>
      </c>
      <c r="Z158" t="s">
        <v>1884</v>
      </c>
      <c r="AA158">
        <v>3491</v>
      </c>
      <c r="AB158" s="2">
        <v>14.5</v>
      </c>
      <c r="AC158" s="2">
        <v>16.5</v>
      </c>
      <c r="AD158" t="s">
        <v>25</v>
      </c>
      <c r="AE158" s="1">
        <v>45108</v>
      </c>
      <c r="AF158" s="1">
        <v>45473</v>
      </c>
      <c r="AG158" t="b">
        <v>1</v>
      </c>
      <c r="AH158" t="b">
        <v>1</v>
      </c>
      <c r="AI158" t="b">
        <v>1</v>
      </c>
      <c r="AJ158" t="str">
        <f>IF(tblMergedCleaned[[#This Row],[Overall_Rating]]=
    "",
    "Unavailable",
    IF(tblMergedCleaned[[#This Row],[Overall_Rating]]&lt;=
        2,
        "Low (1-2)",
        IF(tblMergedCleaned[[#This Row],[Overall_Rating]]=
            3,
            "Middle (3)",
            "High (4-5)"
        )
    )
)</f>
        <v>Middle (3)</v>
      </c>
      <c r="AK158" cm="1">
        <f t="array" ref="AK158">IF(
    tblMergedCleaned[[#This Row],[Overall_Rating]]="",
    "",
    --(tblMergedCleaned[[#This Row],[Overall_Rating]]&lt;=2)
)</f>
        <v>0</v>
      </c>
      <c r="AL158">
        <f>IF(
    tblMergedCleaned[[#This Row],[Definitely_Recommend_Pct]]="",
    "",
    --(tblMergedCleaned[[#This Row],[Definitely_Recommend_Pct]]&lt;TX_Median_Recommend)
)</f>
        <v>1</v>
      </c>
      <c r="AM158">
        <f>IF(
    tblMergedCleaned[[#This Row],[Readmission_Comparison]]="",
    "",
    --(tblMergedCleaned[[#This Row],[Readmission_Comparison]]="Worse")
)</f>
        <v>0</v>
      </c>
      <c r="AN158">
        <f>COUNT(
    tblMergedCleaned[[#This Row],[Low_Rating_Flag]:[Worse_Readmission_Flag]]
)</f>
        <v>3</v>
      </c>
      <c r="AO158">
        <f>SUM(
    tblMergedCleaned[[#This Row],[Low_Rating_Flag]:[Worse_Readmission_Flag]]
)</f>
        <v>1</v>
      </c>
      <c r="AP15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5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58" s="2">
        <f>IF(
    tblMergedCleaned[[#This Row],[Definitely_Recommend_Pct]]="",
    "",
    tblMergedCleaned[[#This Row],[Definitely_Recommend_Pct]]-TX_Median_Recommend
)</f>
        <v>-3</v>
      </c>
      <c r="AS158" s="2">
        <f>IF(
    tblMergedCleaned[[#This Row],[Readmission_Rate_Pct]]="",
    "",
    tblMergedCleaned[[#This Row],[Readmission_Rate_Pct]]-TX_Median_Readmission
)</f>
        <v>0.29999999999999893</v>
      </c>
    </row>
    <row r="159" spans="1:45">
      <c r="A159" t="s">
        <v>988</v>
      </c>
      <c r="B159" t="s">
        <v>989</v>
      </c>
      <c r="C159" t="s">
        <v>990</v>
      </c>
      <c r="D159" t="s">
        <v>991</v>
      </c>
      <c r="E159" t="s">
        <v>18</v>
      </c>
      <c r="F159" t="s">
        <v>992</v>
      </c>
      <c r="G159" t="s">
        <v>993</v>
      </c>
      <c r="H159" t="s">
        <v>994</v>
      </c>
      <c r="I159" t="s">
        <v>21</v>
      </c>
      <c r="J159" t="s">
        <v>22</v>
      </c>
      <c r="K159" t="s">
        <v>23</v>
      </c>
      <c r="L159">
        <v>3</v>
      </c>
      <c r="M159" t="s">
        <v>42</v>
      </c>
      <c r="N159" t="s">
        <v>25</v>
      </c>
      <c r="O159" s="2">
        <v>75</v>
      </c>
      <c r="P159" s="2">
        <v>72</v>
      </c>
      <c r="Q159" s="2">
        <v>53</v>
      </c>
      <c r="R159" s="2">
        <v>85</v>
      </c>
      <c r="S159" s="2">
        <v>70</v>
      </c>
      <c r="T159" s="2">
        <v>70</v>
      </c>
      <c r="U159" t="s">
        <v>1674</v>
      </c>
      <c r="V159" s="2">
        <v>18</v>
      </c>
      <c r="W159" s="1">
        <v>45474</v>
      </c>
      <c r="X159" s="1">
        <v>45838</v>
      </c>
      <c r="Y159" s="2">
        <v>15</v>
      </c>
      <c r="Z159" t="s">
        <v>1884</v>
      </c>
      <c r="AA159">
        <v>2565</v>
      </c>
      <c r="AB159" s="2">
        <v>14.2</v>
      </c>
      <c r="AC159" s="2">
        <v>16.2</v>
      </c>
      <c r="AD159" t="s">
        <v>25</v>
      </c>
      <c r="AE159" s="1">
        <v>45108</v>
      </c>
      <c r="AF159" s="1">
        <v>45473</v>
      </c>
      <c r="AG159" t="b">
        <v>1</v>
      </c>
      <c r="AH159" t="b">
        <v>1</v>
      </c>
      <c r="AI159" t="b">
        <v>1</v>
      </c>
      <c r="AJ159" t="str">
        <f>IF(tblMergedCleaned[[#This Row],[Overall_Rating]]=
    "",
    "Unavailable",
    IF(tblMergedCleaned[[#This Row],[Overall_Rating]]&lt;=
        2,
        "Low (1-2)",
        IF(tblMergedCleaned[[#This Row],[Overall_Rating]]=
            3,
            "Middle (3)",
            "High (4-5)"
        )
    )
)</f>
        <v>Middle (3)</v>
      </c>
      <c r="AK159" cm="1">
        <f t="array" ref="AK159">IF(
    tblMergedCleaned[[#This Row],[Overall_Rating]]="",
    "",
    --(tblMergedCleaned[[#This Row],[Overall_Rating]]&lt;=2)
)</f>
        <v>0</v>
      </c>
      <c r="AL159">
        <f>IF(
    tblMergedCleaned[[#This Row],[Definitely_Recommend_Pct]]="",
    "",
    --(tblMergedCleaned[[#This Row],[Definitely_Recommend_Pct]]&lt;TX_Median_Recommend)
)</f>
        <v>1</v>
      </c>
      <c r="AM159">
        <f>IF(
    tblMergedCleaned[[#This Row],[Readmission_Comparison]]="",
    "",
    --(tblMergedCleaned[[#This Row],[Readmission_Comparison]]="Worse")
)</f>
        <v>0</v>
      </c>
      <c r="AN159">
        <f>COUNT(
    tblMergedCleaned[[#This Row],[Low_Rating_Flag]:[Worse_Readmission_Flag]]
)</f>
        <v>3</v>
      </c>
      <c r="AO159">
        <f>SUM(
    tblMergedCleaned[[#This Row],[Low_Rating_Flag]:[Worse_Readmission_Flag]]
)</f>
        <v>1</v>
      </c>
      <c r="AP15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5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59" s="2">
        <f>IF(
    tblMergedCleaned[[#This Row],[Definitely_Recommend_Pct]]="",
    "",
    tblMergedCleaned[[#This Row],[Definitely_Recommend_Pct]]-TX_Median_Recommend
)</f>
        <v>-1</v>
      </c>
      <c r="AS159" s="2">
        <f>IF(
    tblMergedCleaned[[#This Row],[Readmission_Rate_Pct]]="",
    "",
    tblMergedCleaned[[#This Row],[Readmission_Rate_Pct]]-TX_Median_Readmission
)</f>
        <v>9.9999999999999645E-2</v>
      </c>
    </row>
    <row r="160" spans="1:45">
      <c r="A160" t="s">
        <v>995</v>
      </c>
      <c r="B160" t="s">
        <v>996</v>
      </c>
      <c r="C160" t="s">
        <v>997</v>
      </c>
      <c r="D160" t="s">
        <v>53</v>
      </c>
      <c r="E160" t="s">
        <v>18</v>
      </c>
      <c r="F160" t="s">
        <v>998</v>
      </c>
      <c r="G160" t="s">
        <v>53</v>
      </c>
      <c r="H160" t="s">
        <v>999</v>
      </c>
      <c r="I160" t="s">
        <v>21</v>
      </c>
      <c r="J160" t="s">
        <v>33</v>
      </c>
      <c r="K160" t="s">
        <v>23</v>
      </c>
      <c r="L160">
        <v>3</v>
      </c>
      <c r="M160" t="s">
        <v>42</v>
      </c>
      <c r="N160" t="s">
        <v>25</v>
      </c>
      <c r="O160" s="2">
        <v>80</v>
      </c>
      <c r="P160" s="2">
        <v>80</v>
      </c>
      <c r="Q160" s="2">
        <v>62</v>
      </c>
      <c r="R160" s="2">
        <v>88</v>
      </c>
      <c r="S160" s="2">
        <v>72</v>
      </c>
      <c r="T160" s="2">
        <v>67</v>
      </c>
      <c r="U160" t="s">
        <v>1795</v>
      </c>
      <c r="V160" s="2">
        <v>12</v>
      </c>
      <c r="W160" s="1">
        <v>45474</v>
      </c>
      <c r="X160" s="1">
        <v>45838</v>
      </c>
      <c r="Y160" s="2">
        <v>15.5</v>
      </c>
      <c r="Z160" t="s">
        <v>1884</v>
      </c>
      <c r="AA160">
        <v>1249</v>
      </c>
      <c r="AB160" s="2">
        <v>14.4</v>
      </c>
      <c r="AC160" s="2">
        <v>16.8</v>
      </c>
      <c r="AD160" t="s">
        <v>25</v>
      </c>
      <c r="AE160" s="1">
        <v>45108</v>
      </c>
      <c r="AF160" s="1">
        <v>45473</v>
      </c>
      <c r="AG160" t="b">
        <v>1</v>
      </c>
      <c r="AH160" t="b">
        <v>1</v>
      </c>
      <c r="AI160" t="b">
        <v>1</v>
      </c>
      <c r="AJ160" t="str">
        <f>IF(tblMergedCleaned[[#This Row],[Overall_Rating]]=
    "",
    "Unavailable",
    IF(tblMergedCleaned[[#This Row],[Overall_Rating]]&lt;=
        2,
        "Low (1-2)",
        IF(tblMergedCleaned[[#This Row],[Overall_Rating]]=
            3,
            "Middle (3)",
            "High (4-5)"
        )
    )
)</f>
        <v>Middle (3)</v>
      </c>
      <c r="AK160" cm="1">
        <f t="array" ref="AK160">IF(
    tblMergedCleaned[[#This Row],[Overall_Rating]]="",
    "",
    --(tblMergedCleaned[[#This Row],[Overall_Rating]]&lt;=2)
)</f>
        <v>0</v>
      </c>
      <c r="AL160">
        <f>IF(
    tblMergedCleaned[[#This Row],[Definitely_Recommend_Pct]]="",
    "",
    --(tblMergedCleaned[[#This Row],[Definitely_Recommend_Pct]]&lt;TX_Median_Recommend)
)</f>
        <v>1</v>
      </c>
      <c r="AM160">
        <f>IF(
    tblMergedCleaned[[#This Row],[Readmission_Comparison]]="",
    "",
    --(tblMergedCleaned[[#This Row],[Readmission_Comparison]]="Worse")
)</f>
        <v>0</v>
      </c>
      <c r="AN160">
        <f>COUNT(
    tblMergedCleaned[[#This Row],[Low_Rating_Flag]:[Worse_Readmission_Flag]]
)</f>
        <v>3</v>
      </c>
      <c r="AO160">
        <f>SUM(
    tblMergedCleaned[[#This Row],[Low_Rating_Flag]:[Worse_Readmission_Flag]]
)</f>
        <v>1</v>
      </c>
      <c r="AP16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6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60" s="2">
        <f>IF(
    tblMergedCleaned[[#This Row],[Definitely_Recommend_Pct]]="",
    "",
    tblMergedCleaned[[#This Row],[Definitely_Recommend_Pct]]-TX_Median_Recommend
)</f>
        <v>-4</v>
      </c>
      <c r="AS160" s="2">
        <f>IF(
    tblMergedCleaned[[#This Row],[Readmission_Rate_Pct]]="",
    "",
    tblMergedCleaned[[#This Row],[Readmission_Rate_Pct]]-TX_Median_Readmission
)</f>
        <v>0.59999999999999964</v>
      </c>
    </row>
    <row r="161" spans="1:45">
      <c r="A161" t="s">
        <v>1000</v>
      </c>
      <c r="B161" t="s">
        <v>1001</v>
      </c>
      <c r="C161" t="s">
        <v>1002</v>
      </c>
      <c r="D161" t="s">
        <v>1003</v>
      </c>
      <c r="E161" t="s">
        <v>18</v>
      </c>
      <c r="F161" t="s">
        <v>1004</v>
      </c>
      <c r="G161" t="s">
        <v>808</v>
      </c>
      <c r="H161" t="s">
        <v>1005</v>
      </c>
      <c r="I161" t="s">
        <v>21</v>
      </c>
      <c r="J161" t="s">
        <v>22</v>
      </c>
      <c r="K161" t="s">
        <v>23</v>
      </c>
      <c r="L161">
        <v>2</v>
      </c>
      <c r="M161" t="s">
        <v>24</v>
      </c>
      <c r="N161" t="s">
        <v>25</v>
      </c>
      <c r="O161" s="2">
        <v>72</v>
      </c>
      <c r="P161" s="2">
        <v>70</v>
      </c>
      <c r="Q161" s="2">
        <v>52</v>
      </c>
      <c r="R161" s="2">
        <v>77</v>
      </c>
      <c r="S161" s="2">
        <v>65</v>
      </c>
      <c r="T161" s="2">
        <v>58</v>
      </c>
      <c r="U161" t="s">
        <v>1796</v>
      </c>
      <c r="V161" s="2">
        <v>12</v>
      </c>
      <c r="W161" s="1">
        <v>45474</v>
      </c>
      <c r="X161" s="1">
        <v>45838</v>
      </c>
      <c r="Y161" s="2">
        <v>16.5</v>
      </c>
      <c r="Z161" t="s">
        <v>1884</v>
      </c>
      <c r="AA161">
        <v>477</v>
      </c>
      <c r="AB161" s="2">
        <v>14.9</v>
      </c>
      <c r="AC161" s="2">
        <v>18.3</v>
      </c>
      <c r="AD161" t="s">
        <v>25</v>
      </c>
      <c r="AE161" s="1">
        <v>45108</v>
      </c>
      <c r="AF161" s="1">
        <v>45473</v>
      </c>
      <c r="AG161" t="b">
        <v>1</v>
      </c>
      <c r="AH161" t="b">
        <v>1</v>
      </c>
      <c r="AI161" t="b">
        <v>1</v>
      </c>
      <c r="AJ161" t="str">
        <f>IF(tblMergedCleaned[[#This Row],[Overall_Rating]]=
    "",
    "Unavailable",
    IF(tblMergedCleaned[[#This Row],[Overall_Rating]]&lt;=
        2,
        "Low (1-2)",
        IF(tblMergedCleaned[[#This Row],[Overall_Rating]]=
            3,
            "Middle (3)",
            "High (4-5)"
        )
    )
)</f>
        <v>Low (1-2)</v>
      </c>
      <c r="AK161" cm="1">
        <f t="array" ref="AK161">IF(
    tblMergedCleaned[[#This Row],[Overall_Rating]]="",
    "",
    --(tblMergedCleaned[[#This Row],[Overall_Rating]]&lt;=2)
)</f>
        <v>1</v>
      </c>
      <c r="AL161">
        <f>IF(
    tblMergedCleaned[[#This Row],[Definitely_Recommend_Pct]]="",
    "",
    --(tblMergedCleaned[[#This Row],[Definitely_Recommend_Pct]]&lt;TX_Median_Recommend)
)</f>
        <v>1</v>
      </c>
      <c r="AM161">
        <f>IF(
    tblMergedCleaned[[#This Row],[Readmission_Comparison]]="",
    "",
    --(tblMergedCleaned[[#This Row],[Readmission_Comparison]]="Worse")
)</f>
        <v>0</v>
      </c>
      <c r="AN161">
        <f>COUNT(
    tblMergedCleaned[[#This Row],[Low_Rating_Flag]:[Worse_Readmission_Flag]]
)</f>
        <v>3</v>
      </c>
      <c r="AO161">
        <f>SUM(
    tblMergedCleaned[[#This Row],[Low_Rating_Flag]:[Worse_Readmission_Flag]]
)</f>
        <v>2</v>
      </c>
      <c r="AP16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6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61" s="2">
        <f>IF(
    tblMergedCleaned[[#This Row],[Definitely_Recommend_Pct]]="",
    "",
    tblMergedCleaned[[#This Row],[Definitely_Recommend_Pct]]-TX_Median_Recommend
)</f>
        <v>-13</v>
      </c>
      <c r="AS161" s="2">
        <f>IF(
    tblMergedCleaned[[#This Row],[Readmission_Rate_Pct]]="",
    "",
    tblMergedCleaned[[#This Row],[Readmission_Rate_Pct]]-TX_Median_Readmission
)</f>
        <v>1.5999999999999996</v>
      </c>
    </row>
    <row r="162" spans="1:45">
      <c r="A162" t="s">
        <v>1006</v>
      </c>
      <c r="B162" t="s">
        <v>1007</v>
      </c>
      <c r="C162" t="s">
        <v>1008</v>
      </c>
      <c r="D162" t="s">
        <v>1009</v>
      </c>
      <c r="E162" t="s">
        <v>18</v>
      </c>
      <c r="F162" t="s">
        <v>1010</v>
      </c>
      <c r="G162" t="s">
        <v>53</v>
      </c>
      <c r="H162" t="s">
        <v>1011</v>
      </c>
      <c r="I162" t="s">
        <v>21</v>
      </c>
      <c r="J162" t="s">
        <v>33</v>
      </c>
      <c r="K162" t="s">
        <v>23</v>
      </c>
      <c r="L162">
        <v>4</v>
      </c>
      <c r="M162" t="s">
        <v>34</v>
      </c>
      <c r="N162" t="s">
        <v>25</v>
      </c>
      <c r="O162" s="2">
        <v>76</v>
      </c>
      <c r="P162" s="2">
        <v>76</v>
      </c>
      <c r="Q162" s="2">
        <v>57</v>
      </c>
      <c r="R162" s="2">
        <v>85</v>
      </c>
      <c r="S162" s="2">
        <v>70</v>
      </c>
      <c r="T162" s="2">
        <v>67</v>
      </c>
      <c r="U162" t="s">
        <v>1713</v>
      </c>
      <c r="V162" s="2">
        <v>12</v>
      </c>
      <c r="W162" s="1">
        <v>45474</v>
      </c>
      <c r="X162" s="1">
        <v>45838</v>
      </c>
      <c r="Y162" s="2">
        <v>15.6</v>
      </c>
      <c r="Z162" t="s">
        <v>1884</v>
      </c>
      <c r="AA162">
        <v>1650</v>
      </c>
      <c r="AB162" s="2">
        <v>14.4</v>
      </c>
      <c r="AC162" s="2">
        <v>16.8</v>
      </c>
      <c r="AD162" t="s">
        <v>25</v>
      </c>
      <c r="AE162" s="1">
        <v>45108</v>
      </c>
      <c r="AF162" s="1">
        <v>45473</v>
      </c>
      <c r="AG162" t="b">
        <v>1</v>
      </c>
      <c r="AH162" t="b">
        <v>1</v>
      </c>
      <c r="AI162" t="b">
        <v>1</v>
      </c>
      <c r="AJ162" t="str">
        <f>IF(tblMergedCleaned[[#This Row],[Overall_Rating]]=
    "",
    "Unavailable",
    IF(tblMergedCleaned[[#This Row],[Overall_Rating]]&lt;=
        2,
        "Low (1-2)",
        IF(tblMergedCleaned[[#This Row],[Overall_Rating]]=
            3,
            "Middle (3)",
            "High (4-5)"
        )
    )
)</f>
        <v>High (4-5)</v>
      </c>
      <c r="AK162" cm="1">
        <f t="array" ref="AK162">IF(
    tblMergedCleaned[[#This Row],[Overall_Rating]]="",
    "",
    --(tblMergedCleaned[[#This Row],[Overall_Rating]]&lt;=2)
)</f>
        <v>0</v>
      </c>
      <c r="AL162">
        <f>IF(
    tblMergedCleaned[[#This Row],[Definitely_Recommend_Pct]]="",
    "",
    --(tblMergedCleaned[[#This Row],[Definitely_Recommend_Pct]]&lt;TX_Median_Recommend)
)</f>
        <v>1</v>
      </c>
      <c r="AM162">
        <f>IF(
    tblMergedCleaned[[#This Row],[Readmission_Comparison]]="",
    "",
    --(tblMergedCleaned[[#This Row],[Readmission_Comparison]]="Worse")
)</f>
        <v>0</v>
      </c>
      <c r="AN162">
        <f>COUNT(
    tblMergedCleaned[[#This Row],[Low_Rating_Flag]:[Worse_Readmission_Flag]]
)</f>
        <v>3</v>
      </c>
      <c r="AO162">
        <f>SUM(
    tblMergedCleaned[[#This Row],[Low_Rating_Flag]:[Worse_Readmission_Flag]]
)</f>
        <v>1</v>
      </c>
      <c r="AP16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6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62" s="2">
        <f>IF(
    tblMergedCleaned[[#This Row],[Definitely_Recommend_Pct]]="",
    "",
    tblMergedCleaned[[#This Row],[Definitely_Recommend_Pct]]-TX_Median_Recommend
)</f>
        <v>-4</v>
      </c>
      <c r="AS162" s="2">
        <f>IF(
    tblMergedCleaned[[#This Row],[Readmission_Rate_Pct]]="",
    "",
    tblMergedCleaned[[#This Row],[Readmission_Rate_Pct]]-TX_Median_Readmission
)</f>
        <v>0.69999999999999929</v>
      </c>
    </row>
    <row r="163" spans="1:45">
      <c r="A163" t="s">
        <v>1012</v>
      </c>
      <c r="B163" t="s">
        <v>1013</v>
      </c>
      <c r="C163" t="s">
        <v>1014</v>
      </c>
      <c r="D163" t="s">
        <v>808</v>
      </c>
      <c r="E163" t="s">
        <v>18</v>
      </c>
      <c r="F163" t="s">
        <v>1015</v>
      </c>
      <c r="G163" t="s">
        <v>808</v>
      </c>
      <c r="H163" t="s">
        <v>1016</v>
      </c>
      <c r="I163" t="s">
        <v>21</v>
      </c>
      <c r="J163" t="s">
        <v>33</v>
      </c>
      <c r="K163" t="s">
        <v>23</v>
      </c>
      <c r="L163">
        <v>5</v>
      </c>
      <c r="M163" t="s">
        <v>168</v>
      </c>
      <c r="N163" t="s">
        <v>25</v>
      </c>
      <c r="O163" s="2">
        <v>79</v>
      </c>
      <c r="P163" s="2">
        <v>77</v>
      </c>
      <c r="Q163" s="2">
        <v>61</v>
      </c>
      <c r="R163" s="2">
        <v>87</v>
      </c>
      <c r="S163" s="2">
        <v>77</v>
      </c>
      <c r="T163" s="2">
        <v>79</v>
      </c>
      <c r="U163" t="s">
        <v>1797</v>
      </c>
      <c r="V163" s="2">
        <v>17</v>
      </c>
      <c r="W163" s="1">
        <v>45474</v>
      </c>
      <c r="X163" s="1">
        <v>45838</v>
      </c>
      <c r="Y163" s="2">
        <v>14.5</v>
      </c>
      <c r="Z163" t="s">
        <v>1884</v>
      </c>
      <c r="AA163">
        <v>2022</v>
      </c>
      <c r="AB163" s="2">
        <v>13.5</v>
      </c>
      <c r="AC163" s="2">
        <v>15.6</v>
      </c>
      <c r="AD163" t="s">
        <v>25</v>
      </c>
      <c r="AE163" s="1">
        <v>45108</v>
      </c>
      <c r="AF163" s="1">
        <v>45473</v>
      </c>
      <c r="AG163" t="b">
        <v>1</v>
      </c>
      <c r="AH163" t="b">
        <v>1</v>
      </c>
      <c r="AI163" t="b">
        <v>1</v>
      </c>
      <c r="AJ163" t="str">
        <f>IF(tblMergedCleaned[[#This Row],[Overall_Rating]]=
    "",
    "Unavailable",
    IF(tblMergedCleaned[[#This Row],[Overall_Rating]]&lt;=
        2,
        "Low (1-2)",
        IF(tblMergedCleaned[[#This Row],[Overall_Rating]]=
            3,
            "Middle (3)",
            "High (4-5)"
        )
    )
)</f>
        <v>High (4-5)</v>
      </c>
      <c r="AK163" cm="1">
        <f t="array" ref="AK163">IF(
    tblMergedCleaned[[#This Row],[Overall_Rating]]="",
    "",
    --(tblMergedCleaned[[#This Row],[Overall_Rating]]&lt;=2)
)</f>
        <v>0</v>
      </c>
      <c r="AL163">
        <f>IF(
    tblMergedCleaned[[#This Row],[Definitely_Recommend_Pct]]="",
    "",
    --(tblMergedCleaned[[#This Row],[Definitely_Recommend_Pct]]&lt;TX_Median_Recommend)
)</f>
        <v>0</v>
      </c>
      <c r="AM163">
        <f>IF(
    tblMergedCleaned[[#This Row],[Readmission_Comparison]]="",
    "",
    --(tblMergedCleaned[[#This Row],[Readmission_Comparison]]="Worse")
)</f>
        <v>0</v>
      </c>
      <c r="AN163">
        <f>COUNT(
    tblMergedCleaned[[#This Row],[Low_Rating_Flag]:[Worse_Readmission_Flag]]
)</f>
        <v>3</v>
      </c>
      <c r="AO163">
        <f>SUM(
    tblMergedCleaned[[#This Row],[Low_Rating_Flag]:[Worse_Readmission_Flag]]
)</f>
        <v>0</v>
      </c>
      <c r="AP16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6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63" s="2">
        <f>IF(
    tblMergedCleaned[[#This Row],[Definitely_Recommend_Pct]]="",
    "",
    tblMergedCleaned[[#This Row],[Definitely_Recommend_Pct]]-TX_Median_Recommend
)</f>
        <v>8</v>
      </c>
      <c r="AS163" s="2">
        <f>IF(
    tblMergedCleaned[[#This Row],[Readmission_Rate_Pct]]="",
    "",
    tblMergedCleaned[[#This Row],[Readmission_Rate_Pct]]-TX_Median_Readmission
)</f>
        <v>-0.40000000000000036</v>
      </c>
    </row>
    <row r="164" spans="1:45">
      <c r="A164" t="s">
        <v>1017</v>
      </c>
      <c r="B164" t="s">
        <v>1018</v>
      </c>
      <c r="C164" t="s">
        <v>1019</v>
      </c>
      <c r="D164" t="s">
        <v>1020</v>
      </c>
      <c r="E164" t="s">
        <v>18</v>
      </c>
      <c r="F164" t="s">
        <v>1021</v>
      </c>
      <c r="G164" t="s">
        <v>1022</v>
      </c>
      <c r="H164" t="s">
        <v>1023</v>
      </c>
      <c r="I164" t="s">
        <v>21</v>
      </c>
      <c r="J164" t="s">
        <v>22</v>
      </c>
      <c r="K164" t="s">
        <v>23</v>
      </c>
      <c r="L164">
        <v>1</v>
      </c>
      <c r="M164" t="s">
        <v>322</v>
      </c>
      <c r="N164" t="s">
        <v>25</v>
      </c>
      <c r="O164" s="2">
        <v>79</v>
      </c>
      <c r="P164" s="2">
        <v>82</v>
      </c>
      <c r="Q164" s="2">
        <v>62</v>
      </c>
      <c r="R164" s="2">
        <v>84</v>
      </c>
      <c r="S164" s="2">
        <v>63</v>
      </c>
      <c r="T164" s="2">
        <v>59</v>
      </c>
      <c r="U164" t="s">
        <v>1798</v>
      </c>
      <c r="V164" s="2">
        <v>11</v>
      </c>
      <c r="W164" s="1">
        <v>45474</v>
      </c>
      <c r="X164" s="1">
        <v>45838</v>
      </c>
      <c r="Y164" s="2">
        <v>15.5</v>
      </c>
      <c r="Z164" t="s">
        <v>1884</v>
      </c>
      <c r="AA164">
        <v>405</v>
      </c>
      <c r="AB164" s="2">
        <v>13.8</v>
      </c>
      <c r="AC164" s="2">
        <v>17.2</v>
      </c>
      <c r="AD164" t="s">
        <v>25</v>
      </c>
      <c r="AE164" s="1">
        <v>45108</v>
      </c>
      <c r="AF164" s="1">
        <v>45473</v>
      </c>
      <c r="AG164" t="b">
        <v>1</v>
      </c>
      <c r="AH164" t="b">
        <v>1</v>
      </c>
      <c r="AI164" t="b">
        <v>1</v>
      </c>
      <c r="AJ164" t="str">
        <f>IF(tblMergedCleaned[[#This Row],[Overall_Rating]]=
    "",
    "Unavailable",
    IF(tblMergedCleaned[[#This Row],[Overall_Rating]]&lt;=
        2,
        "Low (1-2)",
        IF(tblMergedCleaned[[#This Row],[Overall_Rating]]=
            3,
            "Middle (3)",
            "High (4-5)"
        )
    )
)</f>
        <v>Low (1-2)</v>
      </c>
      <c r="AK164" cm="1">
        <f t="array" ref="AK164">IF(
    tblMergedCleaned[[#This Row],[Overall_Rating]]="",
    "",
    --(tblMergedCleaned[[#This Row],[Overall_Rating]]&lt;=2)
)</f>
        <v>1</v>
      </c>
      <c r="AL164">
        <f>IF(
    tblMergedCleaned[[#This Row],[Definitely_Recommend_Pct]]="",
    "",
    --(tblMergedCleaned[[#This Row],[Definitely_Recommend_Pct]]&lt;TX_Median_Recommend)
)</f>
        <v>1</v>
      </c>
      <c r="AM164">
        <f>IF(
    tblMergedCleaned[[#This Row],[Readmission_Comparison]]="",
    "",
    --(tblMergedCleaned[[#This Row],[Readmission_Comparison]]="Worse")
)</f>
        <v>0</v>
      </c>
      <c r="AN164">
        <f>COUNT(
    tblMergedCleaned[[#This Row],[Low_Rating_Flag]:[Worse_Readmission_Flag]]
)</f>
        <v>3</v>
      </c>
      <c r="AO164">
        <f>SUM(
    tblMergedCleaned[[#This Row],[Low_Rating_Flag]:[Worse_Readmission_Flag]]
)</f>
        <v>2</v>
      </c>
      <c r="AP16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16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64" s="2">
        <f>IF(
    tblMergedCleaned[[#This Row],[Definitely_Recommend_Pct]]="",
    "",
    tblMergedCleaned[[#This Row],[Definitely_Recommend_Pct]]-TX_Median_Recommend
)</f>
        <v>-12</v>
      </c>
      <c r="AS164" s="2">
        <f>IF(
    tblMergedCleaned[[#This Row],[Readmission_Rate_Pct]]="",
    "",
    tblMergedCleaned[[#This Row],[Readmission_Rate_Pct]]-TX_Median_Readmission
)</f>
        <v>0.59999999999999964</v>
      </c>
    </row>
    <row r="165" spans="1:45">
      <c r="A165" t="s">
        <v>1024</v>
      </c>
      <c r="B165" t="s">
        <v>1025</v>
      </c>
      <c r="C165" t="s">
        <v>1026</v>
      </c>
      <c r="D165" t="s">
        <v>1027</v>
      </c>
      <c r="E165" t="s">
        <v>18</v>
      </c>
      <c r="F165" t="s">
        <v>1028</v>
      </c>
      <c r="G165" t="s">
        <v>1029</v>
      </c>
      <c r="H165" t="s">
        <v>1030</v>
      </c>
      <c r="I165" t="s">
        <v>21</v>
      </c>
      <c r="J165" t="s">
        <v>33</v>
      </c>
      <c r="K165" t="s">
        <v>23</v>
      </c>
      <c r="M165" t="s">
        <v>176</v>
      </c>
      <c r="N165" t="s">
        <v>177</v>
      </c>
      <c r="O165" s="2">
        <v>88</v>
      </c>
      <c r="P165" s="2">
        <v>91</v>
      </c>
      <c r="Q165" s="2">
        <v>77</v>
      </c>
      <c r="R165" s="2">
        <v>77</v>
      </c>
      <c r="S165" s="2">
        <v>81</v>
      </c>
      <c r="T165" s="2">
        <v>77</v>
      </c>
      <c r="U165" t="s">
        <v>1718</v>
      </c>
      <c r="V165" s="2">
        <v>16</v>
      </c>
      <c r="W165" s="1">
        <v>45474</v>
      </c>
      <c r="X165" s="1">
        <v>45838</v>
      </c>
      <c r="Y165" s="2">
        <v>14.6</v>
      </c>
      <c r="Z165" t="s">
        <v>1884</v>
      </c>
      <c r="AA165">
        <v>34</v>
      </c>
      <c r="AB165" s="2">
        <v>12.6</v>
      </c>
      <c r="AC165" s="2">
        <v>17.100000000000001</v>
      </c>
      <c r="AD165" t="s">
        <v>25</v>
      </c>
      <c r="AE165" s="1">
        <v>45108</v>
      </c>
      <c r="AF165" s="1">
        <v>45473</v>
      </c>
      <c r="AG165" t="b">
        <v>0</v>
      </c>
      <c r="AH165" t="b">
        <v>1</v>
      </c>
      <c r="AI165" t="b">
        <v>1</v>
      </c>
      <c r="AJ165" t="str">
        <f>IF(tblMergedCleaned[[#This Row],[Overall_Rating]]=
    "",
    "Unavailable",
    IF(tblMergedCleaned[[#This Row],[Overall_Rating]]&lt;=
        2,
        "Low (1-2)",
        IF(tblMergedCleaned[[#This Row],[Overall_Rating]]=
            3,
            "Middle (3)",
            "High (4-5)"
        )
    )
)</f>
        <v>Unavailable</v>
      </c>
      <c r="AK165" t="str" cm="1">
        <f t="array" ref="AK165">IF(
    tblMergedCleaned[[#This Row],[Overall_Rating]]="",
    "",
    --(tblMergedCleaned[[#This Row],[Overall_Rating]]&lt;=2)
)</f>
        <v/>
      </c>
      <c r="AL165">
        <f>IF(
    tblMergedCleaned[[#This Row],[Definitely_Recommend_Pct]]="",
    "",
    --(tblMergedCleaned[[#This Row],[Definitely_Recommend_Pct]]&lt;TX_Median_Recommend)
)</f>
        <v>0</v>
      </c>
      <c r="AM165">
        <f>IF(
    tblMergedCleaned[[#This Row],[Readmission_Comparison]]="",
    "",
    --(tblMergedCleaned[[#This Row],[Readmission_Comparison]]="Worse")
)</f>
        <v>0</v>
      </c>
      <c r="AN165">
        <f>COUNT(
    tblMergedCleaned[[#This Row],[Low_Rating_Flag]:[Worse_Readmission_Flag]]
)</f>
        <v>2</v>
      </c>
      <c r="AO165">
        <f>SUM(
    tblMergedCleaned[[#This Row],[Low_Rating_Flag]:[Worse_Readmission_Flag]]
)</f>
        <v>0</v>
      </c>
      <c r="AP16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6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65" s="2">
        <f>IF(
    tblMergedCleaned[[#This Row],[Definitely_Recommend_Pct]]="",
    "",
    tblMergedCleaned[[#This Row],[Definitely_Recommend_Pct]]-TX_Median_Recommend
)</f>
        <v>6</v>
      </c>
      <c r="AS165" s="2">
        <f>IF(
    tblMergedCleaned[[#This Row],[Readmission_Rate_Pct]]="",
    "",
    tblMergedCleaned[[#This Row],[Readmission_Rate_Pct]]-TX_Median_Readmission
)</f>
        <v>-0.30000000000000071</v>
      </c>
    </row>
    <row r="166" spans="1:45">
      <c r="A166" t="s">
        <v>1031</v>
      </c>
      <c r="B166" t="s">
        <v>1032</v>
      </c>
      <c r="C166" t="s">
        <v>1033</v>
      </c>
      <c r="D166" t="s">
        <v>847</v>
      </c>
      <c r="E166" t="s">
        <v>18</v>
      </c>
      <c r="F166" t="s">
        <v>1034</v>
      </c>
      <c r="G166" t="s">
        <v>629</v>
      </c>
      <c r="H166" t="s">
        <v>1035</v>
      </c>
      <c r="I166" t="s">
        <v>21</v>
      </c>
      <c r="J166" t="s">
        <v>33</v>
      </c>
      <c r="K166" t="s">
        <v>23</v>
      </c>
      <c r="L166">
        <v>4</v>
      </c>
      <c r="M166" t="s">
        <v>34</v>
      </c>
      <c r="N166" t="s">
        <v>25</v>
      </c>
      <c r="O166" s="2">
        <v>73</v>
      </c>
      <c r="P166" s="2">
        <v>76</v>
      </c>
      <c r="Q166" s="2">
        <v>52</v>
      </c>
      <c r="R166" s="2">
        <v>84</v>
      </c>
      <c r="S166" s="2">
        <v>71</v>
      </c>
      <c r="T166" s="2">
        <v>72</v>
      </c>
      <c r="U166" t="s">
        <v>1799</v>
      </c>
      <c r="V166" s="2">
        <v>17</v>
      </c>
      <c r="W166" s="1">
        <v>45474</v>
      </c>
      <c r="X166" s="1">
        <v>45838</v>
      </c>
      <c r="Y166" s="2">
        <v>14.9</v>
      </c>
      <c r="Z166" t="s">
        <v>1884</v>
      </c>
      <c r="AA166">
        <v>3084</v>
      </c>
      <c r="AB166" s="2">
        <v>13.9</v>
      </c>
      <c r="AC166" s="2">
        <v>15.8</v>
      </c>
      <c r="AD166" t="s">
        <v>25</v>
      </c>
      <c r="AE166" s="1">
        <v>45108</v>
      </c>
      <c r="AF166" s="1">
        <v>45473</v>
      </c>
      <c r="AG166" t="b">
        <v>1</v>
      </c>
      <c r="AH166" t="b">
        <v>1</v>
      </c>
      <c r="AI166" t="b">
        <v>1</v>
      </c>
      <c r="AJ166" t="str">
        <f>IF(tblMergedCleaned[[#This Row],[Overall_Rating]]=
    "",
    "Unavailable",
    IF(tblMergedCleaned[[#This Row],[Overall_Rating]]&lt;=
        2,
        "Low (1-2)",
        IF(tblMergedCleaned[[#This Row],[Overall_Rating]]=
            3,
            "Middle (3)",
            "High (4-5)"
        )
    )
)</f>
        <v>High (4-5)</v>
      </c>
      <c r="AK166" cm="1">
        <f t="array" ref="AK166">IF(
    tblMergedCleaned[[#This Row],[Overall_Rating]]="",
    "",
    --(tblMergedCleaned[[#This Row],[Overall_Rating]]&lt;=2)
)</f>
        <v>0</v>
      </c>
      <c r="AL166">
        <f>IF(
    tblMergedCleaned[[#This Row],[Definitely_Recommend_Pct]]="",
    "",
    --(tblMergedCleaned[[#This Row],[Definitely_Recommend_Pct]]&lt;TX_Median_Recommend)
)</f>
        <v>0</v>
      </c>
      <c r="AM166">
        <f>IF(
    tblMergedCleaned[[#This Row],[Readmission_Comparison]]="",
    "",
    --(tblMergedCleaned[[#This Row],[Readmission_Comparison]]="Worse")
)</f>
        <v>0</v>
      </c>
      <c r="AN166">
        <f>COUNT(
    tblMergedCleaned[[#This Row],[Low_Rating_Flag]:[Worse_Readmission_Flag]]
)</f>
        <v>3</v>
      </c>
      <c r="AO166">
        <f>SUM(
    tblMergedCleaned[[#This Row],[Low_Rating_Flag]:[Worse_Readmission_Flag]]
)</f>
        <v>0</v>
      </c>
      <c r="AP16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6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66" s="2">
        <f>IF(
    tblMergedCleaned[[#This Row],[Definitely_Recommend_Pct]]="",
    "",
    tblMergedCleaned[[#This Row],[Definitely_Recommend_Pct]]-TX_Median_Recommend
)</f>
        <v>1</v>
      </c>
      <c r="AS166" s="2">
        <f>IF(
    tblMergedCleaned[[#This Row],[Readmission_Rate_Pct]]="",
    "",
    tblMergedCleaned[[#This Row],[Readmission_Rate_Pct]]-TX_Median_Readmission
)</f>
        <v>0</v>
      </c>
    </row>
    <row r="167" spans="1:45">
      <c r="A167" t="s">
        <v>1036</v>
      </c>
      <c r="B167" t="s">
        <v>1037</v>
      </c>
      <c r="C167" t="s">
        <v>1038</v>
      </c>
      <c r="D167" t="s">
        <v>119</v>
      </c>
      <c r="E167" t="s">
        <v>18</v>
      </c>
      <c r="F167" t="s">
        <v>814</v>
      </c>
      <c r="G167" t="s">
        <v>121</v>
      </c>
      <c r="H167" t="s">
        <v>1039</v>
      </c>
      <c r="I167" t="s">
        <v>21</v>
      </c>
      <c r="J167" t="s">
        <v>81</v>
      </c>
      <c r="K167" t="s">
        <v>302</v>
      </c>
      <c r="M167" t="s">
        <v>176</v>
      </c>
      <c r="N167" t="s">
        <v>177</v>
      </c>
      <c r="O167" s="2">
        <v>85</v>
      </c>
      <c r="P167" s="2">
        <v>81</v>
      </c>
      <c r="Q167" s="2">
        <v>70</v>
      </c>
      <c r="R167" s="2">
        <v>91</v>
      </c>
      <c r="S167" s="2">
        <v>81</v>
      </c>
      <c r="T167" s="2">
        <v>84</v>
      </c>
      <c r="U167" t="s">
        <v>1750</v>
      </c>
      <c r="V167" s="2">
        <v>31</v>
      </c>
      <c r="W167" s="1">
        <v>45474</v>
      </c>
      <c r="X167" s="1">
        <v>45838</v>
      </c>
      <c r="Y167" s="2">
        <v>14.4</v>
      </c>
      <c r="Z167" t="s">
        <v>1884</v>
      </c>
      <c r="AA167">
        <v>88</v>
      </c>
      <c r="AB167" s="2">
        <v>11.4</v>
      </c>
      <c r="AC167" s="2">
        <v>18.100000000000001</v>
      </c>
      <c r="AD167" t="s">
        <v>25</v>
      </c>
      <c r="AE167" s="1">
        <v>45108</v>
      </c>
      <c r="AF167" s="1">
        <v>45473</v>
      </c>
      <c r="AG167" t="b">
        <v>0</v>
      </c>
      <c r="AH167" t="b">
        <v>1</v>
      </c>
      <c r="AI167" t="b">
        <v>1</v>
      </c>
      <c r="AJ167" t="str">
        <f>IF(tblMergedCleaned[[#This Row],[Overall_Rating]]=
    "",
    "Unavailable",
    IF(tblMergedCleaned[[#This Row],[Overall_Rating]]&lt;=
        2,
        "Low (1-2)",
        IF(tblMergedCleaned[[#This Row],[Overall_Rating]]=
            3,
            "Middle (3)",
            "High (4-5)"
        )
    )
)</f>
        <v>Unavailable</v>
      </c>
      <c r="AK167" t="str" cm="1">
        <f t="array" ref="AK167">IF(
    tblMergedCleaned[[#This Row],[Overall_Rating]]="",
    "",
    --(tblMergedCleaned[[#This Row],[Overall_Rating]]&lt;=2)
)</f>
        <v/>
      </c>
      <c r="AL167">
        <f>IF(
    tblMergedCleaned[[#This Row],[Definitely_Recommend_Pct]]="",
    "",
    --(tblMergedCleaned[[#This Row],[Definitely_Recommend_Pct]]&lt;TX_Median_Recommend)
)</f>
        <v>0</v>
      </c>
      <c r="AM167">
        <f>IF(
    tblMergedCleaned[[#This Row],[Readmission_Comparison]]="",
    "",
    --(tblMergedCleaned[[#This Row],[Readmission_Comparison]]="Worse")
)</f>
        <v>0</v>
      </c>
      <c r="AN167">
        <f>COUNT(
    tblMergedCleaned[[#This Row],[Low_Rating_Flag]:[Worse_Readmission_Flag]]
)</f>
        <v>2</v>
      </c>
      <c r="AO167">
        <f>SUM(
    tblMergedCleaned[[#This Row],[Low_Rating_Flag]:[Worse_Readmission_Flag]]
)</f>
        <v>0</v>
      </c>
      <c r="AP16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6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67" s="2">
        <f>IF(
    tblMergedCleaned[[#This Row],[Definitely_Recommend_Pct]]="",
    "",
    tblMergedCleaned[[#This Row],[Definitely_Recommend_Pct]]-TX_Median_Recommend
)</f>
        <v>13</v>
      </c>
      <c r="AS167" s="2">
        <f>IF(
    tblMergedCleaned[[#This Row],[Readmission_Rate_Pct]]="",
    "",
    tblMergedCleaned[[#This Row],[Readmission_Rate_Pct]]-TX_Median_Readmission
)</f>
        <v>-0.5</v>
      </c>
    </row>
    <row r="168" spans="1:45">
      <c r="A168" t="s">
        <v>1040</v>
      </c>
      <c r="B168" t="s">
        <v>1041</v>
      </c>
      <c r="C168" t="s">
        <v>1042</v>
      </c>
      <c r="D168" t="s">
        <v>1043</v>
      </c>
      <c r="E168" t="s">
        <v>18</v>
      </c>
      <c r="F168" t="s">
        <v>1044</v>
      </c>
      <c r="G168" t="s">
        <v>121</v>
      </c>
      <c r="H168" t="s">
        <v>1045</v>
      </c>
      <c r="I168" t="s">
        <v>21</v>
      </c>
      <c r="J168" t="s">
        <v>22</v>
      </c>
      <c r="K168" t="s">
        <v>23</v>
      </c>
      <c r="L168">
        <v>3</v>
      </c>
      <c r="M168" t="s">
        <v>42</v>
      </c>
      <c r="N168" t="s">
        <v>25</v>
      </c>
      <c r="O168" s="2">
        <v>69</v>
      </c>
      <c r="P168" s="2">
        <v>70</v>
      </c>
      <c r="Q168" s="2">
        <v>50</v>
      </c>
      <c r="R168" s="2">
        <v>78</v>
      </c>
      <c r="S168" s="2">
        <v>57</v>
      </c>
      <c r="T168" s="2">
        <v>53</v>
      </c>
      <c r="U168" t="s">
        <v>1800</v>
      </c>
      <c r="V168" s="2">
        <v>12</v>
      </c>
      <c r="W168" s="1">
        <v>45474</v>
      </c>
      <c r="X168" s="1">
        <v>45838</v>
      </c>
      <c r="Y168" s="2">
        <v>15.8</v>
      </c>
      <c r="Z168" t="s">
        <v>1884</v>
      </c>
      <c r="AA168">
        <v>4123</v>
      </c>
      <c r="AB168" s="2">
        <v>15</v>
      </c>
      <c r="AC168" s="2">
        <v>16.7</v>
      </c>
      <c r="AD168" t="s">
        <v>25</v>
      </c>
      <c r="AE168" s="1">
        <v>45108</v>
      </c>
      <c r="AF168" s="1">
        <v>45473</v>
      </c>
      <c r="AG168" t="b">
        <v>1</v>
      </c>
      <c r="AH168" t="b">
        <v>1</v>
      </c>
      <c r="AI168" t="b">
        <v>1</v>
      </c>
      <c r="AJ168" t="str">
        <f>IF(tblMergedCleaned[[#This Row],[Overall_Rating]]=
    "",
    "Unavailable",
    IF(tblMergedCleaned[[#This Row],[Overall_Rating]]&lt;=
        2,
        "Low (1-2)",
        IF(tblMergedCleaned[[#This Row],[Overall_Rating]]=
            3,
            "Middle (3)",
            "High (4-5)"
        )
    )
)</f>
        <v>Middle (3)</v>
      </c>
      <c r="AK168" cm="1">
        <f t="array" ref="AK168">IF(
    tblMergedCleaned[[#This Row],[Overall_Rating]]="",
    "",
    --(tblMergedCleaned[[#This Row],[Overall_Rating]]&lt;=2)
)</f>
        <v>0</v>
      </c>
      <c r="AL168">
        <f>IF(
    tblMergedCleaned[[#This Row],[Definitely_Recommend_Pct]]="",
    "",
    --(tblMergedCleaned[[#This Row],[Definitely_Recommend_Pct]]&lt;TX_Median_Recommend)
)</f>
        <v>1</v>
      </c>
      <c r="AM168">
        <f>IF(
    tblMergedCleaned[[#This Row],[Readmission_Comparison]]="",
    "",
    --(tblMergedCleaned[[#This Row],[Readmission_Comparison]]="Worse")
)</f>
        <v>0</v>
      </c>
      <c r="AN168">
        <f>COUNT(
    tblMergedCleaned[[#This Row],[Low_Rating_Flag]:[Worse_Readmission_Flag]]
)</f>
        <v>3</v>
      </c>
      <c r="AO168">
        <f>SUM(
    tblMergedCleaned[[#This Row],[Low_Rating_Flag]:[Worse_Readmission_Flag]]
)</f>
        <v>1</v>
      </c>
      <c r="AP16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6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68" s="2">
        <f>IF(
    tblMergedCleaned[[#This Row],[Definitely_Recommend_Pct]]="",
    "",
    tblMergedCleaned[[#This Row],[Definitely_Recommend_Pct]]-TX_Median_Recommend
)</f>
        <v>-18</v>
      </c>
      <c r="AS168" s="2">
        <f>IF(
    tblMergedCleaned[[#This Row],[Readmission_Rate_Pct]]="",
    "",
    tblMergedCleaned[[#This Row],[Readmission_Rate_Pct]]-TX_Median_Readmission
)</f>
        <v>0.90000000000000036</v>
      </c>
    </row>
    <row r="169" spans="1:45">
      <c r="A169" t="s">
        <v>1046</v>
      </c>
      <c r="B169" t="s">
        <v>1047</v>
      </c>
      <c r="C169" t="s">
        <v>1048</v>
      </c>
      <c r="D169" t="s">
        <v>126</v>
      </c>
      <c r="E169" t="s">
        <v>18</v>
      </c>
      <c r="F169" t="s">
        <v>1049</v>
      </c>
      <c r="G169" t="s">
        <v>128</v>
      </c>
      <c r="H169" t="s">
        <v>1050</v>
      </c>
      <c r="I169" t="s">
        <v>21</v>
      </c>
      <c r="J169" t="s">
        <v>33</v>
      </c>
      <c r="K169" t="s">
        <v>23</v>
      </c>
      <c r="L169">
        <v>5</v>
      </c>
      <c r="M169" t="s">
        <v>168</v>
      </c>
      <c r="N169" t="s">
        <v>25</v>
      </c>
      <c r="O169" s="2">
        <v>81</v>
      </c>
      <c r="P169" s="2">
        <v>78</v>
      </c>
      <c r="Q169" s="2">
        <v>61</v>
      </c>
      <c r="R169" s="2">
        <v>87</v>
      </c>
      <c r="S169" s="2">
        <v>77</v>
      </c>
      <c r="T169" s="2">
        <v>79</v>
      </c>
      <c r="U169" t="s">
        <v>1801</v>
      </c>
      <c r="V169" s="2">
        <v>18</v>
      </c>
      <c r="W169" s="1">
        <v>45474</v>
      </c>
      <c r="X169" s="1">
        <v>45838</v>
      </c>
      <c r="Y169" s="2">
        <v>13.8</v>
      </c>
      <c r="Z169" t="s">
        <v>1885</v>
      </c>
      <c r="AA169">
        <v>2140</v>
      </c>
      <c r="AB169" s="2">
        <v>12.8</v>
      </c>
      <c r="AC169" s="2">
        <v>14.9</v>
      </c>
      <c r="AD169" t="s">
        <v>25</v>
      </c>
      <c r="AE169" s="1">
        <v>45108</v>
      </c>
      <c r="AF169" s="1">
        <v>45473</v>
      </c>
      <c r="AG169" t="b">
        <v>1</v>
      </c>
      <c r="AH169" t="b">
        <v>1</v>
      </c>
      <c r="AI169" t="b">
        <v>1</v>
      </c>
      <c r="AJ169" t="str">
        <f>IF(tblMergedCleaned[[#This Row],[Overall_Rating]]=
    "",
    "Unavailable",
    IF(tblMergedCleaned[[#This Row],[Overall_Rating]]&lt;=
        2,
        "Low (1-2)",
        IF(tblMergedCleaned[[#This Row],[Overall_Rating]]=
            3,
            "Middle (3)",
            "High (4-5)"
        )
    )
)</f>
        <v>High (4-5)</v>
      </c>
      <c r="AK169" cm="1">
        <f t="array" ref="AK169">IF(
    tblMergedCleaned[[#This Row],[Overall_Rating]]="",
    "",
    --(tblMergedCleaned[[#This Row],[Overall_Rating]]&lt;=2)
)</f>
        <v>0</v>
      </c>
      <c r="AL169">
        <f>IF(
    tblMergedCleaned[[#This Row],[Definitely_Recommend_Pct]]="",
    "",
    --(tblMergedCleaned[[#This Row],[Definitely_Recommend_Pct]]&lt;TX_Median_Recommend)
)</f>
        <v>0</v>
      </c>
      <c r="AM169">
        <f>IF(
    tblMergedCleaned[[#This Row],[Readmission_Comparison]]="",
    "",
    --(tblMergedCleaned[[#This Row],[Readmission_Comparison]]="Worse")
)</f>
        <v>0</v>
      </c>
      <c r="AN169">
        <f>COUNT(
    tblMergedCleaned[[#This Row],[Low_Rating_Flag]:[Worse_Readmission_Flag]]
)</f>
        <v>3</v>
      </c>
      <c r="AO169">
        <f>SUM(
    tblMergedCleaned[[#This Row],[Low_Rating_Flag]:[Worse_Readmission_Flag]]
)</f>
        <v>0</v>
      </c>
      <c r="AP16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6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69" s="2">
        <f>IF(
    tblMergedCleaned[[#This Row],[Definitely_Recommend_Pct]]="",
    "",
    tblMergedCleaned[[#This Row],[Definitely_Recommend_Pct]]-TX_Median_Recommend
)</f>
        <v>8</v>
      </c>
      <c r="AS169" s="2">
        <f>IF(
    tblMergedCleaned[[#This Row],[Readmission_Rate_Pct]]="",
    "",
    tblMergedCleaned[[#This Row],[Readmission_Rate_Pct]]-TX_Median_Readmission
)</f>
        <v>-1.0999999999999996</v>
      </c>
    </row>
    <row r="170" spans="1:45">
      <c r="A170" t="s">
        <v>1051</v>
      </c>
      <c r="B170" t="s">
        <v>1052</v>
      </c>
      <c r="C170" t="s">
        <v>1053</v>
      </c>
      <c r="D170" t="s">
        <v>152</v>
      </c>
      <c r="E170" t="s">
        <v>18</v>
      </c>
      <c r="F170" t="s">
        <v>1054</v>
      </c>
      <c r="G170" t="s">
        <v>154</v>
      </c>
      <c r="H170" t="s">
        <v>1055</v>
      </c>
      <c r="I170" t="s">
        <v>21</v>
      </c>
      <c r="J170" t="s">
        <v>75</v>
      </c>
      <c r="K170" t="s">
        <v>23</v>
      </c>
      <c r="L170">
        <v>4</v>
      </c>
      <c r="M170" t="s">
        <v>34</v>
      </c>
      <c r="N170" t="s">
        <v>25</v>
      </c>
      <c r="O170" s="2">
        <v>76</v>
      </c>
      <c r="P170" s="2">
        <v>75</v>
      </c>
      <c r="Q170" s="2">
        <v>59</v>
      </c>
      <c r="R170" s="2">
        <v>83</v>
      </c>
      <c r="S170" s="2">
        <v>65</v>
      </c>
      <c r="T170" s="2">
        <v>66</v>
      </c>
      <c r="U170" t="s">
        <v>1802</v>
      </c>
      <c r="V170" s="2">
        <v>13</v>
      </c>
      <c r="W170" s="1">
        <v>45474</v>
      </c>
      <c r="X170" s="1">
        <v>45838</v>
      </c>
      <c r="Y170" s="2">
        <v>14.5</v>
      </c>
      <c r="Z170" t="s">
        <v>1884</v>
      </c>
      <c r="AA170">
        <v>2270</v>
      </c>
      <c r="AB170" s="2">
        <v>13.4</v>
      </c>
      <c r="AC170" s="2">
        <v>15.6</v>
      </c>
      <c r="AD170" t="s">
        <v>25</v>
      </c>
      <c r="AE170" s="1">
        <v>45108</v>
      </c>
      <c r="AF170" s="1">
        <v>45473</v>
      </c>
      <c r="AG170" t="b">
        <v>1</v>
      </c>
      <c r="AH170" t="b">
        <v>1</v>
      </c>
      <c r="AI170" t="b">
        <v>1</v>
      </c>
      <c r="AJ170" t="str">
        <f>IF(tblMergedCleaned[[#This Row],[Overall_Rating]]=
    "",
    "Unavailable",
    IF(tblMergedCleaned[[#This Row],[Overall_Rating]]&lt;=
        2,
        "Low (1-2)",
        IF(tblMergedCleaned[[#This Row],[Overall_Rating]]=
            3,
            "Middle (3)",
            "High (4-5)"
        )
    )
)</f>
        <v>High (4-5)</v>
      </c>
      <c r="AK170" cm="1">
        <f t="array" ref="AK170">IF(
    tblMergedCleaned[[#This Row],[Overall_Rating]]="",
    "",
    --(tblMergedCleaned[[#This Row],[Overall_Rating]]&lt;=2)
)</f>
        <v>0</v>
      </c>
      <c r="AL170">
        <f>IF(
    tblMergedCleaned[[#This Row],[Definitely_Recommend_Pct]]="",
    "",
    --(tblMergedCleaned[[#This Row],[Definitely_Recommend_Pct]]&lt;TX_Median_Recommend)
)</f>
        <v>1</v>
      </c>
      <c r="AM170">
        <f>IF(
    tblMergedCleaned[[#This Row],[Readmission_Comparison]]="",
    "",
    --(tblMergedCleaned[[#This Row],[Readmission_Comparison]]="Worse")
)</f>
        <v>0</v>
      </c>
      <c r="AN170">
        <f>COUNT(
    tblMergedCleaned[[#This Row],[Low_Rating_Flag]:[Worse_Readmission_Flag]]
)</f>
        <v>3</v>
      </c>
      <c r="AO170">
        <f>SUM(
    tblMergedCleaned[[#This Row],[Low_Rating_Flag]:[Worse_Readmission_Flag]]
)</f>
        <v>1</v>
      </c>
      <c r="AP17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7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70" s="2">
        <f>IF(
    tblMergedCleaned[[#This Row],[Definitely_Recommend_Pct]]="",
    "",
    tblMergedCleaned[[#This Row],[Definitely_Recommend_Pct]]-TX_Median_Recommend
)</f>
        <v>-5</v>
      </c>
      <c r="AS170" s="2">
        <f>IF(
    tblMergedCleaned[[#This Row],[Readmission_Rate_Pct]]="",
    "",
    tblMergedCleaned[[#This Row],[Readmission_Rate_Pct]]-TX_Median_Readmission
)</f>
        <v>-0.40000000000000036</v>
      </c>
    </row>
    <row r="171" spans="1:45">
      <c r="A171" t="s">
        <v>1056</v>
      </c>
      <c r="B171" t="s">
        <v>1057</v>
      </c>
      <c r="C171" t="s">
        <v>1058</v>
      </c>
      <c r="D171" t="s">
        <v>420</v>
      </c>
      <c r="E171" t="s">
        <v>18</v>
      </c>
      <c r="F171" t="s">
        <v>1059</v>
      </c>
      <c r="G171" t="s">
        <v>422</v>
      </c>
      <c r="H171" t="s">
        <v>1060</v>
      </c>
      <c r="I171" t="s">
        <v>21</v>
      </c>
      <c r="J171" t="s">
        <v>354</v>
      </c>
      <c r="K171" t="s">
        <v>23</v>
      </c>
      <c r="L171">
        <v>3</v>
      </c>
      <c r="M171" t="s">
        <v>42</v>
      </c>
      <c r="N171" t="s">
        <v>25</v>
      </c>
      <c r="O171" s="2">
        <v>81</v>
      </c>
      <c r="P171" s="2">
        <v>82</v>
      </c>
      <c r="Q171" s="2">
        <v>63</v>
      </c>
      <c r="R171" s="2">
        <v>85</v>
      </c>
      <c r="S171" s="2">
        <v>71</v>
      </c>
      <c r="T171" s="2">
        <v>69</v>
      </c>
      <c r="U171" t="s">
        <v>1803</v>
      </c>
      <c r="V171" s="2">
        <v>18</v>
      </c>
      <c r="W171" s="1">
        <v>45474</v>
      </c>
      <c r="X171" s="1">
        <v>45838</v>
      </c>
      <c r="Y171" s="2">
        <v>14.8</v>
      </c>
      <c r="Z171" t="s">
        <v>1884</v>
      </c>
      <c r="AA171">
        <v>2805</v>
      </c>
      <c r="AB171" s="2">
        <v>13.9</v>
      </c>
      <c r="AC171" s="2">
        <v>15.9</v>
      </c>
      <c r="AD171" t="s">
        <v>25</v>
      </c>
      <c r="AE171" s="1">
        <v>45108</v>
      </c>
      <c r="AF171" s="1">
        <v>45473</v>
      </c>
      <c r="AG171" t="b">
        <v>1</v>
      </c>
      <c r="AH171" t="b">
        <v>1</v>
      </c>
      <c r="AI171" t="b">
        <v>1</v>
      </c>
      <c r="AJ171" t="str">
        <f>IF(tblMergedCleaned[[#This Row],[Overall_Rating]]=
    "",
    "Unavailable",
    IF(tblMergedCleaned[[#This Row],[Overall_Rating]]&lt;=
        2,
        "Low (1-2)",
        IF(tblMergedCleaned[[#This Row],[Overall_Rating]]=
            3,
            "Middle (3)",
            "High (4-5)"
        )
    )
)</f>
        <v>Middle (3)</v>
      </c>
      <c r="AK171" cm="1">
        <f t="array" ref="AK171">IF(
    tblMergedCleaned[[#This Row],[Overall_Rating]]="",
    "",
    --(tblMergedCleaned[[#This Row],[Overall_Rating]]&lt;=2)
)</f>
        <v>0</v>
      </c>
      <c r="AL171">
        <f>IF(
    tblMergedCleaned[[#This Row],[Definitely_Recommend_Pct]]="",
    "",
    --(tblMergedCleaned[[#This Row],[Definitely_Recommend_Pct]]&lt;TX_Median_Recommend)
)</f>
        <v>1</v>
      </c>
      <c r="AM171">
        <f>IF(
    tblMergedCleaned[[#This Row],[Readmission_Comparison]]="",
    "",
    --(tblMergedCleaned[[#This Row],[Readmission_Comparison]]="Worse")
)</f>
        <v>0</v>
      </c>
      <c r="AN171">
        <f>COUNT(
    tblMergedCleaned[[#This Row],[Low_Rating_Flag]:[Worse_Readmission_Flag]]
)</f>
        <v>3</v>
      </c>
      <c r="AO171">
        <f>SUM(
    tblMergedCleaned[[#This Row],[Low_Rating_Flag]:[Worse_Readmission_Flag]]
)</f>
        <v>1</v>
      </c>
      <c r="AP17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7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71" s="2">
        <f>IF(
    tblMergedCleaned[[#This Row],[Definitely_Recommend_Pct]]="",
    "",
    tblMergedCleaned[[#This Row],[Definitely_Recommend_Pct]]-TX_Median_Recommend
)</f>
        <v>-2</v>
      </c>
      <c r="AS171" s="2">
        <f>IF(
    tblMergedCleaned[[#This Row],[Readmission_Rate_Pct]]="",
    "",
    tblMergedCleaned[[#This Row],[Readmission_Rate_Pct]]-TX_Median_Readmission
)</f>
        <v>-9.9999999999999645E-2</v>
      </c>
    </row>
    <row r="172" spans="1:45">
      <c r="A172" t="s">
        <v>1061</v>
      </c>
      <c r="B172" t="s">
        <v>1062</v>
      </c>
      <c r="C172" t="s">
        <v>1063</v>
      </c>
      <c r="D172" t="s">
        <v>119</v>
      </c>
      <c r="E172" t="s">
        <v>18</v>
      </c>
      <c r="F172" t="s">
        <v>201</v>
      </c>
      <c r="G172" t="s">
        <v>121</v>
      </c>
      <c r="H172" t="s">
        <v>1064</v>
      </c>
      <c r="I172" t="s">
        <v>21</v>
      </c>
      <c r="J172" t="s">
        <v>75</v>
      </c>
      <c r="K172" t="s">
        <v>23</v>
      </c>
      <c r="M172" t="s">
        <v>176</v>
      </c>
      <c r="N172" t="s">
        <v>177</v>
      </c>
      <c r="O172" s="2">
        <v>84</v>
      </c>
      <c r="P172" s="2">
        <v>86</v>
      </c>
      <c r="Q172" s="2">
        <v>65</v>
      </c>
      <c r="R172" s="2">
        <v>88</v>
      </c>
      <c r="S172" s="2">
        <v>83</v>
      </c>
      <c r="T172" s="2">
        <v>83</v>
      </c>
      <c r="U172" t="s">
        <v>1804</v>
      </c>
      <c r="V172" s="2">
        <v>37</v>
      </c>
      <c r="W172" s="1">
        <v>45474</v>
      </c>
      <c r="X172" s="1">
        <v>45838</v>
      </c>
      <c r="Y172" s="2">
        <v>14.1</v>
      </c>
      <c r="Z172" t="s">
        <v>1884</v>
      </c>
      <c r="AA172">
        <v>591</v>
      </c>
      <c r="AB172" s="2">
        <v>11.8</v>
      </c>
      <c r="AC172" s="2">
        <v>16.8</v>
      </c>
      <c r="AD172" t="s">
        <v>25</v>
      </c>
      <c r="AE172" s="1">
        <v>45108</v>
      </c>
      <c r="AF172" s="1">
        <v>45473</v>
      </c>
      <c r="AG172" t="b">
        <v>0</v>
      </c>
      <c r="AH172" t="b">
        <v>1</v>
      </c>
      <c r="AI172" t="b">
        <v>1</v>
      </c>
      <c r="AJ172" t="str">
        <f>IF(tblMergedCleaned[[#This Row],[Overall_Rating]]=
    "",
    "Unavailable",
    IF(tblMergedCleaned[[#This Row],[Overall_Rating]]&lt;=
        2,
        "Low (1-2)",
        IF(tblMergedCleaned[[#This Row],[Overall_Rating]]=
            3,
            "Middle (3)",
            "High (4-5)"
        )
    )
)</f>
        <v>Unavailable</v>
      </c>
      <c r="AK172" t="str" cm="1">
        <f t="array" ref="AK172">IF(
    tblMergedCleaned[[#This Row],[Overall_Rating]]="",
    "",
    --(tblMergedCleaned[[#This Row],[Overall_Rating]]&lt;=2)
)</f>
        <v/>
      </c>
      <c r="AL172">
        <f>IF(
    tblMergedCleaned[[#This Row],[Definitely_Recommend_Pct]]="",
    "",
    --(tblMergedCleaned[[#This Row],[Definitely_Recommend_Pct]]&lt;TX_Median_Recommend)
)</f>
        <v>0</v>
      </c>
      <c r="AM172">
        <f>IF(
    tblMergedCleaned[[#This Row],[Readmission_Comparison]]="",
    "",
    --(tblMergedCleaned[[#This Row],[Readmission_Comparison]]="Worse")
)</f>
        <v>0</v>
      </c>
      <c r="AN172">
        <f>COUNT(
    tblMergedCleaned[[#This Row],[Low_Rating_Flag]:[Worse_Readmission_Flag]]
)</f>
        <v>2</v>
      </c>
      <c r="AO172">
        <f>SUM(
    tblMergedCleaned[[#This Row],[Low_Rating_Flag]:[Worse_Readmission_Flag]]
)</f>
        <v>0</v>
      </c>
      <c r="AP17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7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72" s="2">
        <f>IF(
    tblMergedCleaned[[#This Row],[Definitely_Recommend_Pct]]="",
    "",
    tblMergedCleaned[[#This Row],[Definitely_Recommend_Pct]]-TX_Median_Recommend
)</f>
        <v>12</v>
      </c>
      <c r="AS172" s="2">
        <f>IF(
    tblMergedCleaned[[#This Row],[Readmission_Rate_Pct]]="",
    "",
    tblMergedCleaned[[#This Row],[Readmission_Rate_Pct]]-TX_Median_Readmission
)</f>
        <v>-0.80000000000000071</v>
      </c>
    </row>
    <row r="173" spans="1:45">
      <c r="A173" t="s">
        <v>1065</v>
      </c>
      <c r="B173" t="s">
        <v>1066</v>
      </c>
      <c r="C173" t="s">
        <v>1067</v>
      </c>
      <c r="D173" t="s">
        <v>181</v>
      </c>
      <c r="E173" t="s">
        <v>18</v>
      </c>
      <c r="F173" t="s">
        <v>1068</v>
      </c>
      <c r="G173" t="s">
        <v>183</v>
      </c>
      <c r="H173" t="s">
        <v>1069</v>
      </c>
      <c r="I173" t="s">
        <v>21</v>
      </c>
      <c r="J173" t="s">
        <v>33</v>
      </c>
      <c r="K173" t="s">
        <v>23</v>
      </c>
      <c r="M173" t="s">
        <v>176</v>
      </c>
      <c r="N173" t="s">
        <v>177</v>
      </c>
      <c r="O173" s="2">
        <v>86</v>
      </c>
      <c r="P173" s="2">
        <v>85</v>
      </c>
      <c r="Q173" s="2">
        <v>79</v>
      </c>
      <c r="R173" s="2">
        <v>93</v>
      </c>
      <c r="S173" s="2">
        <v>82</v>
      </c>
      <c r="T173" s="2">
        <v>78</v>
      </c>
      <c r="U173" t="s">
        <v>1805</v>
      </c>
      <c r="V173" s="2">
        <v>25</v>
      </c>
      <c r="W173" s="1">
        <v>45474</v>
      </c>
      <c r="X173" s="1">
        <v>45838</v>
      </c>
      <c r="Y173" s="2">
        <v>14.4</v>
      </c>
      <c r="Z173" t="s">
        <v>1884</v>
      </c>
      <c r="AA173">
        <v>60</v>
      </c>
      <c r="AB173" s="2">
        <v>11.5</v>
      </c>
      <c r="AC173" s="2">
        <v>18</v>
      </c>
      <c r="AD173" t="s">
        <v>25</v>
      </c>
      <c r="AE173" s="1">
        <v>45108</v>
      </c>
      <c r="AF173" s="1">
        <v>45473</v>
      </c>
      <c r="AG173" t="b">
        <v>0</v>
      </c>
      <c r="AH173" t="b">
        <v>1</v>
      </c>
      <c r="AI173" t="b">
        <v>1</v>
      </c>
      <c r="AJ173" t="str">
        <f>IF(tblMergedCleaned[[#This Row],[Overall_Rating]]=
    "",
    "Unavailable",
    IF(tblMergedCleaned[[#This Row],[Overall_Rating]]&lt;=
        2,
        "Low (1-2)",
        IF(tblMergedCleaned[[#This Row],[Overall_Rating]]=
            3,
            "Middle (3)",
            "High (4-5)"
        )
    )
)</f>
        <v>Unavailable</v>
      </c>
      <c r="AK173" t="str" cm="1">
        <f t="array" ref="AK173">IF(
    tblMergedCleaned[[#This Row],[Overall_Rating]]="",
    "",
    --(tblMergedCleaned[[#This Row],[Overall_Rating]]&lt;=2)
)</f>
        <v/>
      </c>
      <c r="AL173">
        <f>IF(
    tblMergedCleaned[[#This Row],[Definitely_Recommend_Pct]]="",
    "",
    --(tblMergedCleaned[[#This Row],[Definitely_Recommend_Pct]]&lt;TX_Median_Recommend)
)</f>
        <v>0</v>
      </c>
      <c r="AM173">
        <f>IF(
    tblMergedCleaned[[#This Row],[Readmission_Comparison]]="",
    "",
    --(tblMergedCleaned[[#This Row],[Readmission_Comparison]]="Worse")
)</f>
        <v>0</v>
      </c>
      <c r="AN173">
        <f>COUNT(
    tblMergedCleaned[[#This Row],[Low_Rating_Flag]:[Worse_Readmission_Flag]]
)</f>
        <v>2</v>
      </c>
      <c r="AO173">
        <f>SUM(
    tblMergedCleaned[[#This Row],[Low_Rating_Flag]:[Worse_Readmission_Flag]]
)</f>
        <v>0</v>
      </c>
      <c r="AP17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7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73" s="2">
        <f>IF(
    tblMergedCleaned[[#This Row],[Definitely_Recommend_Pct]]="",
    "",
    tblMergedCleaned[[#This Row],[Definitely_Recommend_Pct]]-TX_Median_Recommend
)</f>
        <v>7</v>
      </c>
      <c r="AS173" s="2">
        <f>IF(
    tblMergedCleaned[[#This Row],[Readmission_Rate_Pct]]="",
    "",
    tblMergedCleaned[[#This Row],[Readmission_Rate_Pct]]-TX_Median_Readmission
)</f>
        <v>-0.5</v>
      </c>
    </row>
    <row r="174" spans="1:45">
      <c r="A174" t="s">
        <v>1070</v>
      </c>
      <c r="B174" t="s">
        <v>1071</v>
      </c>
      <c r="C174" t="s">
        <v>1072</v>
      </c>
      <c r="D174" t="s">
        <v>181</v>
      </c>
      <c r="E174" t="s">
        <v>18</v>
      </c>
      <c r="F174" t="s">
        <v>1073</v>
      </c>
      <c r="G174" t="s">
        <v>183</v>
      </c>
      <c r="H174" t="s">
        <v>1074</v>
      </c>
      <c r="I174" t="s">
        <v>21</v>
      </c>
      <c r="J174" t="s">
        <v>22</v>
      </c>
      <c r="K174" t="s">
        <v>23</v>
      </c>
      <c r="L174">
        <v>3</v>
      </c>
      <c r="M174" t="s">
        <v>42</v>
      </c>
      <c r="N174" t="s">
        <v>25</v>
      </c>
      <c r="O174" s="2">
        <v>72</v>
      </c>
      <c r="P174" s="2">
        <v>75</v>
      </c>
      <c r="Q174" s="2">
        <v>53</v>
      </c>
      <c r="R174" s="2">
        <v>81</v>
      </c>
      <c r="S174" s="2">
        <v>67</v>
      </c>
      <c r="T174" s="2">
        <v>70</v>
      </c>
      <c r="U174" t="s">
        <v>1806</v>
      </c>
      <c r="V174" s="2">
        <v>13</v>
      </c>
      <c r="W174" s="1">
        <v>45474</v>
      </c>
      <c r="X174" s="1">
        <v>45838</v>
      </c>
      <c r="Y174" s="2">
        <v>14.4</v>
      </c>
      <c r="Z174" t="s">
        <v>1884</v>
      </c>
      <c r="AA174">
        <v>2124</v>
      </c>
      <c r="AB174" s="2">
        <v>13.7</v>
      </c>
      <c r="AC174" s="2">
        <v>16</v>
      </c>
      <c r="AD174" t="s">
        <v>25</v>
      </c>
      <c r="AE174" s="1">
        <v>45108</v>
      </c>
      <c r="AF174" s="1">
        <v>45473</v>
      </c>
      <c r="AG174" t="b">
        <v>1</v>
      </c>
      <c r="AH174" t="b">
        <v>1</v>
      </c>
      <c r="AI174" t="b">
        <v>1</v>
      </c>
      <c r="AJ174" t="str">
        <f>IF(tblMergedCleaned[[#This Row],[Overall_Rating]]=
    "",
    "Unavailable",
    IF(tblMergedCleaned[[#This Row],[Overall_Rating]]&lt;=
        2,
        "Low (1-2)",
        IF(tblMergedCleaned[[#This Row],[Overall_Rating]]=
            3,
            "Middle (3)",
            "High (4-5)"
        )
    )
)</f>
        <v>Middle (3)</v>
      </c>
      <c r="AK174" cm="1">
        <f t="array" ref="AK174">IF(
    tblMergedCleaned[[#This Row],[Overall_Rating]]="",
    "",
    --(tblMergedCleaned[[#This Row],[Overall_Rating]]&lt;=2)
)</f>
        <v>0</v>
      </c>
      <c r="AL174">
        <f>IF(
    tblMergedCleaned[[#This Row],[Definitely_Recommend_Pct]]="",
    "",
    --(tblMergedCleaned[[#This Row],[Definitely_Recommend_Pct]]&lt;TX_Median_Recommend)
)</f>
        <v>1</v>
      </c>
      <c r="AM174">
        <f>IF(
    tblMergedCleaned[[#This Row],[Readmission_Comparison]]="",
    "",
    --(tblMergedCleaned[[#This Row],[Readmission_Comparison]]="Worse")
)</f>
        <v>0</v>
      </c>
      <c r="AN174">
        <f>COUNT(
    tblMergedCleaned[[#This Row],[Low_Rating_Flag]:[Worse_Readmission_Flag]]
)</f>
        <v>3</v>
      </c>
      <c r="AO174">
        <f>SUM(
    tblMergedCleaned[[#This Row],[Low_Rating_Flag]:[Worse_Readmission_Flag]]
)</f>
        <v>1</v>
      </c>
      <c r="AP17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7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74" s="2">
        <f>IF(
    tblMergedCleaned[[#This Row],[Definitely_Recommend_Pct]]="",
    "",
    tblMergedCleaned[[#This Row],[Definitely_Recommend_Pct]]-TX_Median_Recommend
)</f>
        <v>-1</v>
      </c>
      <c r="AS174" s="2">
        <f>IF(
    tblMergedCleaned[[#This Row],[Readmission_Rate_Pct]]="",
    "",
    tblMergedCleaned[[#This Row],[Readmission_Rate_Pct]]-TX_Median_Readmission
)</f>
        <v>-0.5</v>
      </c>
    </row>
    <row r="175" spans="1:45">
      <c r="A175" t="s">
        <v>1075</v>
      </c>
      <c r="B175" t="s">
        <v>1076</v>
      </c>
      <c r="C175" t="s">
        <v>1077</v>
      </c>
      <c r="D175" t="s">
        <v>1078</v>
      </c>
      <c r="E175" t="s">
        <v>18</v>
      </c>
      <c r="F175" t="s">
        <v>1079</v>
      </c>
      <c r="G175" t="s">
        <v>535</v>
      </c>
      <c r="H175" t="s">
        <v>1080</v>
      </c>
      <c r="I175" t="s">
        <v>21</v>
      </c>
      <c r="J175" t="s">
        <v>33</v>
      </c>
      <c r="K175" t="s">
        <v>23</v>
      </c>
      <c r="L175">
        <v>5</v>
      </c>
      <c r="M175" t="s">
        <v>168</v>
      </c>
      <c r="N175" t="s">
        <v>25</v>
      </c>
      <c r="O175" s="2">
        <v>77</v>
      </c>
      <c r="P175" s="2">
        <v>77</v>
      </c>
      <c r="Q175" s="2">
        <v>60</v>
      </c>
      <c r="R175" s="2">
        <v>87</v>
      </c>
      <c r="S175" s="2">
        <v>79</v>
      </c>
      <c r="T175" s="2">
        <v>80</v>
      </c>
      <c r="U175" t="s">
        <v>1807</v>
      </c>
      <c r="V175" s="2">
        <v>18</v>
      </c>
      <c r="W175" s="1">
        <v>45474</v>
      </c>
      <c r="X175" s="1">
        <v>45838</v>
      </c>
      <c r="Y175" s="2">
        <v>14.6</v>
      </c>
      <c r="Z175" t="s">
        <v>1884</v>
      </c>
      <c r="AA175">
        <v>4332</v>
      </c>
      <c r="AB175" s="2">
        <v>13.8</v>
      </c>
      <c r="AC175" s="2">
        <v>15.4</v>
      </c>
      <c r="AD175" t="s">
        <v>25</v>
      </c>
      <c r="AE175" s="1">
        <v>45108</v>
      </c>
      <c r="AF175" s="1">
        <v>45473</v>
      </c>
      <c r="AG175" t="b">
        <v>1</v>
      </c>
      <c r="AH175" t="b">
        <v>1</v>
      </c>
      <c r="AI175" t="b">
        <v>1</v>
      </c>
      <c r="AJ175" t="str">
        <f>IF(tblMergedCleaned[[#This Row],[Overall_Rating]]=
    "",
    "Unavailable",
    IF(tblMergedCleaned[[#This Row],[Overall_Rating]]&lt;=
        2,
        "Low (1-2)",
        IF(tblMergedCleaned[[#This Row],[Overall_Rating]]=
            3,
            "Middle (3)",
            "High (4-5)"
        )
    )
)</f>
        <v>High (4-5)</v>
      </c>
      <c r="AK175" cm="1">
        <f t="array" ref="AK175">IF(
    tblMergedCleaned[[#This Row],[Overall_Rating]]="",
    "",
    --(tblMergedCleaned[[#This Row],[Overall_Rating]]&lt;=2)
)</f>
        <v>0</v>
      </c>
      <c r="AL175">
        <f>IF(
    tblMergedCleaned[[#This Row],[Definitely_Recommend_Pct]]="",
    "",
    --(tblMergedCleaned[[#This Row],[Definitely_Recommend_Pct]]&lt;TX_Median_Recommend)
)</f>
        <v>0</v>
      </c>
      <c r="AM175">
        <f>IF(
    tblMergedCleaned[[#This Row],[Readmission_Comparison]]="",
    "",
    --(tblMergedCleaned[[#This Row],[Readmission_Comparison]]="Worse")
)</f>
        <v>0</v>
      </c>
      <c r="AN175">
        <f>COUNT(
    tblMergedCleaned[[#This Row],[Low_Rating_Flag]:[Worse_Readmission_Flag]]
)</f>
        <v>3</v>
      </c>
      <c r="AO175">
        <f>SUM(
    tblMergedCleaned[[#This Row],[Low_Rating_Flag]:[Worse_Readmission_Flag]]
)</f>
        <v>0</v>
      </c>
      <c r="AP17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7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75" s="2">
        <f>IF(
    tblMergedCleaned[[#This Row],[Definitely_Recommend_Pct]]="",
    "",
    tblMergedCleaned[[#This Row],[Definitely_Recommend_Pct]]-TX_Median_Recommend
)</f>
        <v>9</v>
      </c>
      <c r="AS175" s="2">
        <f>IF(
    tblMergedCleaned[[#This Row],[Readmission_Rate_Pct]]="",
    "",
    tblMergedCleaned[[#This Row],[Readmission_Rate_Pct]]-TX_Median_Readmission
)</f>
        <v>-0.30000000000000071</v>
      </c>
    </row>
    <row r="176" spans="1:45">
      <c r="A176" t="s">
        <v>1081</v>
      </c>
      <c r="B176" t="s">
        <v>1082</v>
      </c>
      <c r="C176" t="s">
        <v>1083</v>
      </c>
      <c r="D176" t="s">
        <v>213</v>
      </c>
      <c r="E176" t="s">
        <v>18</v>
      </c>
      <c r="F176" t="s">
        <v>1084</v>
      </c>
      <c r="G176" t="s">
        <v>53</v>
      </c>
      <c r="H176" t="s">
        <v>1085</v>
      </c>
      <c r="I176" t="s">
        <v>21</v>
      </c>
      <c r="J176" t="s">
        <v>22</v>
      </c>
      <c r="K176" t="s">
        <v>23</v>
      </c>
      <c r="L176">
        <v>4</v>
      </c>
      <c r="M176" t="s">
        <v>34</v>
      </c>
      <c r="N176" t="s">
        <v>25</v>
      </c>
      <c r="O176" s="2">
        <v>75</v>
      </c>
      <c r="P176" s="2">
        <v>72</v>
      </c>
      <c r="Q176" s="2">
        <v>51</v>
      </c>
      <c r="R176" s="2">
        <v>80</v>
      </c>
      <c r="S176" s="2">
        <v>68</v>
      </c>
      <c r="T176" s="2">
        <v>67</v>
      </c>
      <c r="U176" t="s">
        <v>1676</v>
      </c>
      <c r="V176" s="2">
        <v>11</v>
      </c>
      <c r="W176" s="1">
        <v>45474</v>
      </c>
      <c r="X176" s="1">
        <v>45838</v>
      </c>
      <c r="Y176" s="2">
        <v>14.7</v>
      </c>
      <c r="Z176" t="s">
        <v>1884</v>
      </c>
      <c r="AA176">
        <v>357</v>
      </c>
      <c r="AB176" s="2">
        <v>13.1</v>
      </c>
      <c r="AC176" s="2">
        <v>16.5</v>
      </c>
      <c r="AD176" t="s">
        <v>25</v>
      </c>
      <c r="AE176" s="1">
        <v>45108</v>
      </c>
      <c r="AF176" s="1">
        <v>45473</v>
      </c>
      <c r="AG176" t="b">
        <v>1</v>
      </c>
      <c r="AH176" t="b">
        <v>1</v>
      </c>
      <c r="AI176" t="b">
        <v>1</v>
      </c>
      <c r="AJ176" t="str">
        <f>IF(tblMergedCleaned[[#This Row],[Overall_Rating]]=
    "",
    "Unavailable",
    IF(tblMergedCleaned[[#This Row],[Overall_Rating]]&lt;=
        2,
        "Low (1-2)",
        IF(tblMergedCleaned[[#This Row],[Overall_Rating]]=
            3,
            "Middle (3)",
            "High (4-5)"
        )
    )
)</f>
        <v>High (4-5)</v>
      </c>
      <c r="AK176" cm="1">
        <f t="array" ref="AK176">IF(
    tblMergedCleaned[[#This Row],[Overall_Rating]]="",
    "",
    --(tblMergedCleaned[[#This Row],[Overall_Rating]]&lt;=2)
)</f>
        <v>0</v>
      </c>
      <c r="AL176">
        <f>IF(
    tblMergedCleaned[[#This Row],[Definitely_Recommend_Pct]]="",
    "",
    --(tblMergedCleaned[[#This Row],[Definitely_Recommend_Pct]]&lt;TX_Median_Recommend)
)</f>
        <v>1</v>
      </c>
      <c r="AM176">
        <f>IF(
    tblMergedCleaned[[#This Row],[Readmission_Comparison]]="",
    "",
    --(tblMergedCleaned[[#This Row],[Readmission_Comparison]]="Worse")
)</f>
        <v>0</v>
      </c>
      <c r="AN176">
        <f>COUNT(
    tblMergedCleaned[[#This Row],[Low_Rating_Flag]:[Worse_Readmission_Flag]]
)</f>
        <v>3</v>
      </c>
      <c r="AO176">
        <f>SUM(
    tblMergedCleaned[[#This Row],[Low_Rating_Flag]:[Worse_Readmission_Flag]]
)</f>
        <v>1</v>
      </c>
      <c r="AP17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7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76" s="2">
        <f>IF(
    tblMergedCleaned[[#This Row],[Definitely_Recommend_Pct]]="",
    "",
    tblMergedCleaned[[#This Row],[Definitely_Recommend_Pct]]-TX_Median_Recommend
)</f>
        <v>-4</v>
      </c>
      <c r="AS176" s="2">
        <f>IF(
    tblMergedCleaned[[#This Row],[Readmission_Rate_Pct]]="",
    "",
    tblMergedCleaned[[#This Row],[Readmission_Rate_Pct]]-TX_Median_Readmission
)</f>
        <v>-0.20000000000000107</v>
      </c>
    </row>
    <row r="177" spans="1:45">
      <c r="A177" t="s">
        <v>1086</v>
      </c>
      <c r="B177" t="s">
        <v>1087</v>
      </c>
      <c r="C177" t="s">
        <v>1088</v>
      </c>
      <c r="D177" t="s">
        <v>293</v>
      </c>
      <c r="E177" t="s">
        <v>18</v>
      </c>
      <c r="F177" t="s">
        <v>294</v>
      </c>
      <c r="G177" t="s">
        <v>295</v>
      </c>
      <c r="H177" t="s">
        <v>1089</v>
      </c>
      <c r="I177" t="s">
        <v>21</v>
      </c>
      <c r="J177" t="s">
        <v>22</v>
      </c>
      <c r="K177" t="s">
        <v>23</v>
      </c>
      <c r="M177" t="s">
        <v>176</v>
      </c>
      <c r="N177" t="s">
        <v>177</v>
      </c>
      <c r="O177" s="2">
        <v>86</v>
      </c>
      <c r="P177" s="2">
        <v>82</v>
      </c>
      <c r="Q177" s="2">
        <v>41</v>
      </c>
      <c r="R177" s="2">
        <v>84</v>
      </c>
      <c r="S177" s="2">
        <v>74</v>
      </c>
      <c r="T177" s="2">
        <v>74</v>
      </c>
      <c r="U177" t="s">
        <v>1808</v>
      </c>
      <c r="V177" s="2">
        <v>24</v>
      </c>
      <c r="W177" s="1">
        <v>45474</v>
      </c>
      <c r="X177" s="1">
        <v>45838</v>
      </c>
      <c r="AD177" t="s">
        <v>322</v>
      </c>
      <c r="AE177" s="1">
        <v>45108</v>
      </c>
      <c r="AF177" s="1">
        <v>45473</v>
      </c>
      <c r="AG177" t="b">
        <v>0</v>
      </c>
      <c r="AH177" t="b">
        <v>1</v>
      </c>
      <c r="AI177" t="b">
        <v>0</v>
      </c>
      <c r="AJ177" t="str">
        <f>IF(tblMergedCleaned[[#This Row],[Overall_Rating]]=
    "",
    "Unavailable",
    IF(tblMergedCleaned[[#This Row],[Overall_Rating]]&lt;=
        2,
        "Low (1-2)",
        IF(tblMergedCleaned[[#This Row],[Overall_Rating]]=
            3,
            "Middle (3)",
            "High (4-5)"
        )
    )
)</f>
        <v>Unavailable</v>
      </c>
      <c r="AK177" t="str" cm="1">
        <f t="array" ref="AK177">IF(
    tblMergedCleaned[[#This Row],[Overall_Rating]]="",
    "",
    --(tblMergedCleaned[[#This Row],[Overall_Rating]]&lt;=2)
)</f>
        <v/>
      </c>
      <c r="AL177">
        <f>IF(
    tblMergedCleaned[[#This Row],[Definitely_Recommend_Pct]]="",
    "",
    --(tblMergedCleaned[[#This Row],[Definitely_Recommend_Pct]]&lt;TX_Median_Recommend)
)</f>
        <v>0</v>
      </c>
      <c r="AM177" t="str">
        <f>IF(
    tblMergedCleaned[[#This Row],[Readmission_Comparison]]="",
    "",
    --(tblMergedCleaned[[#This Row],[Readmission_Comparison]]="Worse")
)</f>
        <v/>
      </c>
      <c r="AN177">
        <f>COUNT(
    tblMergedCleaned[[#This Row],[Low_Rating_Flag]:[Worse_Readmission_Flag]]
)</f>
        <v>1</v>
      </c>
      <c r="AO177">
        <f>SUM(
    tblMergedCleaned[[#This Row],[Low_Rating_Flag]:[Worse_Readmission_Flag]]
)</f>
        <v>0</v>
      </c>
      <c r="AP17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7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77" s="2">
        <f>IF(
    tblMergedCleaned[[#This Row],[Definitely_Recommend_Pct]]="",
    "",
    tblMergedCleaned[[#This Row],[Definitely_Recommend_Pct]]-TX_Median_Recommend
)</f>
        <v>3</v>
      </c>
      <c r="AS177" s="2" t="str">
        <f>IF(
    tblMergedCleaned[[#This Row],[Readmission_Rate_Pct]]="",
    "",
    tblMergedCleaned[[#This Row],[Readmission_Rate_Pct]]-TX_Median_Readmission
)</f>
        <v/>
      </c>
    </row>
    <row r="178" spans="1:45">
      <c r="A178" t="s">
        <v>1090</v>
      </c>
      <c r="B178" t="s">
        <v>1091</v>
      </c>
      <c r="C178" t="s">
        <v>1092</v>
      </c>
      <c r="D178" t="s">
        <v>38</v>
      </c>
      <c r="E178" t="s">
        <v>18</v>
      </c>
      <c r="F178" t="s">
        <v>1093</v>
      </c>
      <c r="G178" t="s">
        <v>40</v>
      </c>
      <c r="H178" t="s">
        <v>1094</v>
      </c>
      <c r="I178" t="s">
        <v>21</v>
      </c>
      <c r="J178" t="s">
        <v>22</v>
      </c>
      <c r="K178" t="s">
        <v>23</v>
      </c>
      <c r="M178" t="s">
        <v>176</v>
      </c>
      <c r="N178" t="s">
        <v>177</v>
      </c>
      <c r="O178" s="2">
        <v>78</v>
      </c>
      <c r="P178" s="2">
        <v>83</v>
      </c>
      <c r="Q178" s="2">
        <v>53</v>
      </c>
      <c r="R178" s="2">
        <v>88</v>
      </c>
      <c r="S178" s="2">
        <v>71</v>
      </c>
      <c r="T178" s="2">
        <v>73</v>
      </c>
      <c r="U178" t="s">
        <v>1732</v>
      </c>
      <c r="V178" s="2">
        <v>25</v>
      </c>
      <c r="W178" s="1">
        <v>45474</v>
      </c>
      <c r="X178" s="1">
        <v>45838</v>
      </c>
      <c r="Y178" s="2">
        <v>14.4</v>
      </c>
      <c r="Z178" t="s">
        <v>1884</v>
      </c>
      <c r="AA178">
        <v>225</v>
      </c>
      <c r="AB178" s="2">
        <v>12.4</v>
      </c>
      <c r="AC178" s="2">
        <v>16.7</v>
      </c>
      <c r="AD178" t="s">
        <v>25</v>
      </c>
      <c r="AE178" s="1">
        <v>45108</v>
      </c>
      <c r="AF178" s="1">
        <v>45473</v>
      </c>
      <c r="AG178" t="b">
        <v>0</v>
      </c>
      <c r="AH178" t="b">
        <v>1</v>
      </c>
      <c r="AI178" t="b">
        <v>1</v>
      </c>
      <c r="AJ178" t="str">
        <f>IF(tblMergedCleaned[[#This Row],[Overall_Rating]]=
    "",
    "Unavailable",
    IF(tblMergedCleaned[[#This Row],[Overall_Rating]]&lt;=
        2,
        "Low (1-2)",
        IF(tblMergedCleaned[[#This Row],[Overall_Rating]]=
            3,
            "Middle (3)",
            "High (4-5)"
        )
    )
)</f>
        <v>Unavailable</v>
      </c>
      <c r="AK178" t="str" cm="1">
        <f t="array" ref="AK178">IF(
    tblMergedCleaned[[#This Row],[Overall_Rating]]="",
    "",
    --(tblMergedCleaned[[#This Row],[Overall_Rating]]&lt;=2)
)</f>
        <v/>
      </c>
      <c r="AL178">
        <f>IF(
    tblMergedCleaned[[#This Row],[Definitely_Recommend_Pct]]="",
    "",
    --(tblMergedCleaned[[#This Row],[Definitely_Recommend_Pct]]&lt;TX_Median_Recommend)
)</f>
        <v>0</v>
      </c>
      <c r="AM178">
        <f>IF(
    tblMergedCleaned[[#This Row],[Readmission_Comparison]]="",
    "",
    --(tblMergedCleaned[[#This Row],[Readmission_Comparison]]="Worse")
)</f>
        <v>0</v>
      </c>
      <c r="AN178">
        <f>COUNT(
    tblMergedCleaned[[#This Row],[Low_Rating_Flag]:[Worse_Readmission_Flag]]
)</f>
        <v>2</v>
      </c>
      <c r="AO178">
        <f>SUM(
    tblMergedCleaned[[#This Row],[Low_Rating_Flag]:[Worse_Readmission_Flag]]
)</f>
        <v>0</v>
      </c>
      <c r="AP17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7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78" s="2">
        <f>IF(
    tblMergedCleaned[[#This Row],[Definitely_Recommend_Pct]]="",
    "",
    tblMergedCleaned[[#This Row],[Definitely_Recommend_Pct]]-TX_Median_Recommend
)</f>
        <v>2</v>
      </c>
      <c r="AS178" s="2">
        <f>IF(
    tblMergedCleaned[[#This Row],[Readmission_Rate_Pct]]="",
    "",
    tblMergedCleaned[[#This Row],[Readmission_Rate_Pct]]-TX_Median_Readmission
)</f>
        <v>-0.5</v>
      </c>
    </row>
    <row r="179" spans="1:45">
      <c r="A179" t="s">
        <v>1095</v>
      </c>
      <c r="B179" t="s">
        <v>1096</v>
      </c>
      <c r="C179" t="s">
        <v>1097</v>
      </c>
      <c r="D179" t="s">
        <v>1098</v>
      </c>
      <c r="E179" t="s">
        <v>18</v>
      </c>
      <c r="F179" t="s">
        <v>1099</v>
      </c>
      <c r="G179" t="s">
        <v>1100</v>
      </c>
      <c r="H179" t="s">
        <v>1101</v>
      </c>
      <c r="I179" t="s">
        <v>21</v>
      </c>
      <c r="J179" t="s">
        <v>33</v>
      </c>
      <c r="K179" t="s">
        <v>23</v>
      </c>
      <c r="L179">
        <v>3</v>
      </c>
      <c r="M179" t="s">
        <v>42</v>
      </c>
      <c r="N179" t="s">
        <v>25</v>
      </c>
      <c r="O179" s="2">
        <v>85</v>
      </c>
      <c r="P179" s="2">
        <v>84</v>
      </c>
      <c r="Q179" s="2">
        <v>67</v>
      </c>
      <c r="R179" s="2">
        <v>84</v>
      </c>
      <c r="S179" s="2">
        <v>75</v>
      </c>
      <c r="T179" s="2">
        <v>64</v>
      </c>
      <c r="U179" t="s">
        <v>1809</v>
      </c>
      <c r="V179" s="2">
        <v>11</v>
      </c>
      <c r="W179" s="1">
        <v>45474</v>
      </c>
      <c r="X179" s="1">
        <v>45838</v>
      </c>
      <c r="Y179" s="2">
        <v>14.4</v>
      </c>
      <c r="Z179" t="s">
        <v>1884</v>
      </c>
      <c r="AA179">
        <v>268</v>
      </c>
      <c r="AB179" s="2">
        <v>13</v>
      </c>
      <c r="AC179" s="2">
        <v>16.100000000000001</v>
      </c>
      <c r="AD179" t="s">
        <v>25</v>
      </c>
      <c r="AE179" s="1">
        <v>45108</v>
      </c>
      <c r="AF179" s="1">
        <v>45473</v>
      </c>
      <c r="AG179" t="b">
        <v>1</v>
      </c>
      <c r="AH179" t="b">
        <v>1</v>
      </c>
      <c r="AI179" t="b">
        <v>1</v>
      </c>
      <c r="AJ179" t="str">
        <f>IF(tblMergedCleaned[[#This Row],[Overall_Rating]]=
    "",
    "Unavailable",
    IF(tblMergedCleaned[[#This Row],[Overall_Rating]]&lt;=
        2,
        "Low (1-2)",
        IF(tblMergedCleaned[[#This Row],[Overall_Rating]]=
            3,
            "Middle (3)",
            "High (4-5)"
        )
    )
)</f>
        <v>Middle (3)</v>
      </c>
      <c r="AK179" cm="1">
        <f t="array" ref="AK179">IF(
    tblMergedCleaned[[#This Row],[Overall_Rating]]="",
    "",
    --(tblMergedCleaned[[#This Row],[Overall_Rating]]&lt;=2)
)</f>
        <v>0</v>
      </c>
      <c r="AL179">
        <f>IF(
    tblMergedCleaned[[#This Row],[Definitely_Recommend_Pct]]="",
    "",
    --(tblMergedCleaned[[#This Row],[Definitely_Recommend_Pct]]&lt;TX_Median_Recommend)
)</f>
        <v>1</v>
      </c>
      <c r="AM179">
        <f>IF(
    tblMergedCleaned[[#This Row],[Readmission_Comparison]]="",
    "",
    --(tblMergedCleaned[[#This Row],[Readmission_Comparison]]="Worse")
)</f>
        <v>0</v>
      </c>
      <c r="AN179">
        <f>COUNT(
    tblMergedCleaned[[#This Row],[Low_Rating_Flag]:[Worse_Readmission_Flag]]
)</f>
        <v>3</v>
      </c>
      <c r="AO179">
        <f>SUM(
    tblMergedCleaned[[#This Row],[Low_Rating_Flag]:[Worse_Readmission_Flag]]
)</f>
        <v>1</v>
      </c>
      <c r="AP17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7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79" s="2">
        <f>IF(
    tblMergedCleaned[[#This Row],[Definitely_Recommend_Pct]]="",
    "",
    tblMergedCleaned[[#This Row],[Definitely_Recommend_Pct]]-TX_Median_Recommend
)</f>
        <v>-7</v>
      </c>
      <c r="AS179" s="2">
        <f>IF(
    tblMergedCleaned[[#This Row],[Readmission_Rate_Pct]]="",
    "",
    tblMergedCleaned[[#This Row],[Readmission_Rate_Pct]]-TX_Median_Readmission
)</f>
        <v>-0.5</v>
      </c>
    </row>
    <row r="180" spans="1:45">
      <c r="A180" t="s">
        <v>1102</v>
      </c>
      <c r="B180" t="s">
        <v>1103</v>
      </c>
      <c r="C180" t="s">
        <v>1104</v>
      </c>
      <c r="D180" t="s">
        <v>260</v>
      </c>
      <c r="E180" t="s">
        <v>18</v>
      </c>
      <c r="F180" t="s">
        <v>261</v>
      </c>
      <c r="G180" t="s">
        <v>121</v>
      </c>
      <c r="H180" t="s">
        <v>1105</v>
      </c>
      <c r="I180" t="s">
        <v>21</v>
      </c>
      <c r="J180" t="s">
        <v>22</v>
      </c>
      <c r="K180" t="s">
        <v>23</v>
      </c>
      <c r="M180" t="s">
        <v>176</v>
      </c>
      <c r="N180" t="s">
        <v>177</v>
      </c>
      <c r="U180" t="s">
        <v>176</v>
      </c>
      <c r="W180" s="1">
        <v>45474</v>
      </c>
      <c r="X180" s="1">
        <v>45838</v>
      </c>
      <c r="AD180" t="s">
        <v>322</v>
      </c>
      <c r="AE180" s="1">
        <v>45108</v>
      </c>
      <c r="AF180" s="1">
        <v>45473</v>
      </c>
      <c r="AG180" t="b">
        <v>0</v>
      </c>
      <c r="AH180" t="b">
        <v>0</v>
      </c>
      <c r="AI180" t="b">
        <v>0</v>
      </c>
      <c r="AJ180" t="str">
        <f>IF(tblMergedCleaned[[#This Row],[Overall_Rating]]=
    "",
    "Unavailable",
    IF(tblMergedCleaned[[#This Row],[Overall_Rating]]&lt;=
        2,
        "Low (1-2)",
        IF(tblMergedCleaned[[#This Row],[Overall_Rating]]=
            3,
            "Middle (3)",
            "High (4-5)"
        )
    )
)</f>
        <v>Unavailable</v>
      </c>
      <c r="AK180" t="str" cm="1">
        <f t="array" ref="AK180">IF(
    tblMergedCleaned[[#This Row],[Overall_Rating]]="",
    "",
    --(tblMergedCleaned[[#This Row],[Overall_Rating]]&lt;=2)
)</f>
        <v/>
      </c>
      <c r="AL180" t="str">
        <f>IF(
    tblMergedCleaned[[#This Row],[Definitely_Recommend_Pct]]="",
    "",
    --(tblMergedCleaned[[#This Row],[Definitely_Recommend_Pct]]&lt;TX_Median_Recommend)
)</f>
        <v/>
      </c>
      <c r="AM180" t="str">
        <f>IF(
    tblMergedCleaned[[#This Row],[Readmission_Comparison]]="",
    "",
    --(tblMergedCleaned[[#This Row],[Readmission_Comparison]]="Worse")
)</f>
        <v/>
      </c>
      <c r="AN180">
        <f>COUNT(
    tblMergedCleaned[[#This Row],[Low_Rating_Flag]:[Worse_Readmission_Flag]]
)</f>
        <v>0</v>
      </c>
      <c r="AO180">
        <f>SUM(
    tblMergedCleaned[[#This Row],[Low_Rating_Flag]:[Worse_Readmission_Flag]]
)</f>
        <v>0</v>
      </c>
      <c r="AP18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8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180" s="2" t="str">
        <f>IF(
    tblMergedCleaned[[#This Row],[Definitely_Recommend_Pct]]="",
    "",
    tblMergedCleaned[[#This Row],[Definitely_Recommend_Pct]]-TX_Median_Recommend
)</f>
        <v/>
      </c>
      <c r="AS180" s="2" t="str">
        <f>IF(
    tblMergedCleaned[[#This Row],[Readmission_Rate_Pct]]="",
    "",
    tblMergedCleaned[[#This Row],[Readmission_Rate_Pct]]-TX_Median_Readmission
)</f>
        <v/>
      </c>
    </row>
    <row r="181" spans="1:45">
      <c r="A181" t="s">
        <v>1106</v>
      </c>
      <c r="B181" t="s">
        <v>1107</v>
      </c>
      <c r="C181" t="s">
        <v>1108</v>
      </c>
      <c r="D181" t="s">
        <v>1109</v>
      </c>
      <c r="E181" t="s">
        <v>18</v>
      </c>
      <c r="F181" t="s">
        <v>1110</v>
      </c>
      <c r="G181" t="s">
        <v>585</v>
      </c>
      <c r="H181" t="s">
        <v>1111</v>
      </c>
      <c r="I181" t="s">
        <v>21</v>
      </c>
      <c r="J181" t="s">
        <v>22</v>
      </c>
      <c r="K181" t="s">
        <v>23</v>
      </c>
      <c r="M181" t="s">
        <v>176</v>
      </c>
      <c r="N181" t="s">
        <v>177</v>
      </c>
      <c r="O181" s="2">
        <v>86</v>
      </c>
      <c r="P181" s="2">
        <v>80</v>
      </c>
      <c r="Q181" s="2">
        <v>70</v>
      </c>
      <c r="R181" s="2">
        <v>83</v>
      </c>
      <c r="S181" s="2">
        <v>79</v>
      </c>
      <c r="T181" s="2">
        <v>81</v>
      </c>
      <c r="U181" t="s">
        <v>1810</v>
      </c>
      <c r="V181" s="2">
        <v>15</v>
      </c>
      <c r="W181" s="1">
        <v>45474</v>
      </c>
      <c r="X181" s="1">
        <v>45838</v>
      </c>
      <c r="Y181" s="2">
        <v>14.8</v>
      </c>
      <c r="Z181" t="s">
        <v>1884</v>
      </c>
      <c r="AA181">
        <v>59</v>
      </c>
      <c r="AB181" s="2">
        <v>12.7</v>
      </c>
      <c r="AC181" s="2">
        <v>17.2</v>
      </c>
      <c r="AD181" t="s">
        <v>25</v>
      </c>
      <c r="AE181" s="1">
        <v>45108</v>
      </c>
      <c r="AF181" s="1">
        <v>45473</v>
      </c>
      <c r="AG181" t="b">
        <v>0</v>
      </c>
      <c r="AH181" t="b">
        <v>1</v>
      </c>
      <c r="AI181" t="b">
        <v>1</v>
      </c>
      <c r="AJ181" t="str">
        <f>IF(tblMergedCleaned[[#This Row],[Overall_Rating]]=
    "",
    "Unavailable",
    IF(tblMergedCleaned[[#This Row],[Overall_Rating]]&lt;=
        2,
        "Low (1-2)",
        IF(tblMergedCleaned[[#This Row],[Overall_Rating]]=
            3,
            "Middle (3)",
            "High (4-5)"
        )
    )
)</f>
        <v>Unavailable</v>
      </c>
      <c r="AK181" t="str" cm="1">
        <f t="array" ref="AK181">IF(
    tblMergedCleaned[[#This Row],[Overall_Rating]]="",
    "",
    --(tblMergedCleaned[[#This Row],[Overall_Rating]]&lt;=2)
)</f>
        <v/>
      </c>
      <c r="AL181">
        <f>IF(
    tblMergedCleaned[[#This Row],[Definitely_Recommend_Pct]]="",
    "",
    --(tblMergedCleaned[[#This Row],[Definitely_Recommend_Pct]]&lt;TX_Median_Recommend)
)</f>
        <v>0</v>
      </c>
      <c r="AM181">
        <f>IF(
    tblMergedCleaned[[#This Row],[Readmission_Comparison]]="",
    "",
    --(tblMergedCleaned[[#This Row],[Readmission_Comparison]]="Worse")
)</f>
        <v>0</v>
      </c>
      <c r="AN181">
        <f>COUNT(
    tblMergedCleaned[[#This Row],[Low_Rating_Flag]:[Worse_Readmission_Flag]]
)</f>
        <v>2</v>
      </c>
      <c r="AO181">
        <f>SUM(
    tblMergedCleaned[[#This Row],[Low_Rating_Flag]:[Worse_Readmission_Flag]]
)</f>
        <v>0</v>
      </c>
      <c r="AP18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8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81" s="2">
        <f>IF(
    tblMergedCleaned[[#This Row],[Definitely_Recommend_Pct]]="",
    "",
    tblMergedCleaned[[#This Row],[Definitely_Recommend_Pct]]-TX_Median_Recommend
)</f>
        <v>10</v>
      </c>
      <c r="AS181" s="2">
        <f>IF(
    tblMergedCleaned[[#This Row],[Readmission_Rate_Pct]]="",
    "",
    tblMergedCleaned[[#This Row],[Readmission_Rate_Pct]]-TX_Median_Readmission
)</f>
        <v>-9.9999999999999645E-2</v>
      </c>
    </row>
    <row r="182" spans="1:45">
      <c r="A182" t="s">
        <v>1112</v>
      </c>
      <c r="B182" t="s">
        <v>1113</v>
      </c>
      <c r="C182" t="s">
        <v>1114</v>
      </c>
      <c r="D182" t="s">
        <v>46</v>
      </c>
      <c r="E182" t="s">
        <v>18</v>
      </c>
      <c r="F182" t="s">
        <v>47</v>
      </c>
      <c r="G182" t="s">
        <v>48</v>
      </c>
      <c r="H182" t="s">
        <v>1115</v>
      </c>
      <c r="I182" t="s">
        <v>21</v>
      </c>
      <c r="J182" t="s">
        <v>22</v>
      </c>
      <c r="K182" t="s">
        <v>23</v>
      </c>
      <c r="M182" t="s">
        <v>176</v>
      </c>
      <c r="N182" t="s">
        <v>177</v>
      </c>
      <c r="O182" s="2">
        <v>87</v>
      </c>
      <c r="P182" s="2">
        <v>84</v>
      </c>
      <c r="Q182" s="2">
        <v>74</v>
      </c>
      <c r="R182" s="2">
        <v>91</v>
      </c>
      <c r="S182" s="2">
        <v>84</v>
      </c>
      <c r="T182" s="2">
        <v>86</v>
      </c>
      <c r="U182" t="s">
        <v>1811</v>
      </c>
      <c r="V182" s="2">
        <v>44</v>
      </c>
      <c r="W182" s="1">
        <v>45474</v>
      </c>
      <c r="X182" s="1">
        <v>45838</v>
      </c>
      <c r="Y182" s="2">
        <v>15.1</v>
      </c>
      <c r="Z182" t="s">
        <v>1884</v>
      </c>
      <c r="AA182">
        <v>189</v>
      </c>
      <c r="AB182" s="2">
        <v>12.3</v>
      </c>
      <c r="AC182" s="2">
        <v>19</v>
      </c>
      <c r="AD182" t="s">
        <v>25</v>
      </c>
      <c r="AE182" s="1">
        <v>45108</v>
      </c>
      <c r="AF182" s="1">
        <v>45473</v>
      </c>
      <c r="AG182" t="b">
        <v>0</v>
      </c>
      <c r="AH182" t="b">
        <v>1</v>
      </c>
      <c r="AI182" t="b">
        <v>1</v>
      </c>
      <c r="AJ182" t="str">
        <f>IF(tblMergedCleaned[[#This Row],[Overall_Rating]]=
    "",
    "Unavailable",
    IF(tblMergedCleaned[[#This Row],[Overall_Rating]]&lt;=
        2,
        "Low (1-2)",
        IF(tblMergedCleaned[[#This Row],[Overall_Rating]]=
            3,
            "Middle (3)",
            "High (4-5)"
        )
    )
)</f>
        <v>Unavailable</v>
      </c>
      <c r="AK182" t="str" cm="1">
        <f t="array" ref="AK182">IF(
    tblMergedCleaned[[#This Row],[Overall_Rating]]="",
    "",
    --(tblMergedCleaned[[#This Row],[Overall_Rating]]&lt;=2)
)</f>
        <v/>
      </c>
      <c r="AL182">
        <f>IF(
    tblMergedCleaned[[#This Row],[Definitely_Recommend_Pct]]="",
    "",
    --(tblMergedCleaned[[#This Row],[Definitely_Recommend_Pct]]&lt;TX_Median_Recommend)
)</f>
        <v>0</v>
      </c>
      <c r="AM182">
        <f>IF(
    tblMergedCleaned[[#This Row],[Readmission_Comparison]]="",
    "",
    --(tblMergedCleaned[[#This Row],[Readmission_Comparison]]="Worse")
)</f>
        <v>0</v>
      </c>
      <c r="AN182">
        <f>COUNT(
    tblMergedCleaned[[#This Row],[Low_Rating_Flag]:[Worse_Readmission_Flag]]
)</f>
        <v>2</v>
      </c>
      <c r="AO182">
        <f>SUM(
    tblMergedCleaned[[#This Row],[Low_Rating_Flag]:[Worse_Readmission_Flag]]
)</f>
        <v>0</v>
      </c>
      <c r="AP18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8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82" s="2">
        <f>IF(
    tblMergedCleaned[[#This Row],[Definitely_Recommend_Pct]]="",
    "",
    tblMergedCleaned[[#This Row],[Definitely_Recommend_Pct]]-TX_Median_Recommend
)</f>
        <v>15</v>
      </c>
      <c r="AS182" s="2">
        <f>IF(
    tblMergedCleaned[[#This Row],[Readmission_Rate_Pct]]="",
    "",
    tblMergedCleaned[[#This Row],[Readmission_Rate_Pct]]-TX_Median_Readmission
)</f>
        <v>0.19999999999999929</v>
      </c>
    </row>
    <row r="183" spans="1:45">
      <c r="A183" t="s">
        <v>1116</v>
      </c>
      <c r="B183" t="s">
        <v>1117</v>
      </c>
      <c r="C183" t="s">
        <v>1118</v>
      </c>
      <c r="D183" t="s">
        <v>1119</v>
      </c>
      <c r="E183" t="s">
        <v>18</v>
      </c>
      <c r="F183" t="s">
        <v>1120</v>
      </c>
      <c r="G183" t="s">
        <v>629</v>
      </c>
      <c r="H183" t="s">
        <v>1121</v>
      </c>
      <c r="I183" t="s">
        <v>21</v>
      </c>
      <c r="J183" t="s">
        <v>33</v>
      </c>
      <c r="K183" t="s">
        <v>23</v>
      </c>
      <c r="L183">
        <v>4</v>
      </c>
      <c r="M183" t="s">
        <v>34</v>
      </c>
      <c r="N183" t="s">
        <v>25</v>
      </c>
      <c r="O183" s="2">
        <v>81</v>
      </c>
      <c r="P183" s="2">
        <v>80</v>
      </c>
      <c r="Q183" s="2">
        <v>61</v>
      </c>
      <c r="R183" s="2">
        <v>88</v>
      </c>
      <c r="S183" s="2">
        <v>76</v>
      </c>
      <c r="T183" s="2">
        <v>77</v>
      </c>
      <c r="U183" t="s">
        <v>1812</v>
      </c>
      <c r="V183" s="2">
        <v>19</v>
      </c>
      <c r="W183" s="1">
        <v>45474</v>
      </c>
      <c r="X183" s="1">
        <v>45838</v>
      </c>
      <c r="Y183" s="2">
        <v>14.6</v>
      </c>
      <c r="Z183" t="s">
        <v>1884</v>
      </c>
      <c r="AA183">
        <v>719</v>
      </c>
      <c r="AB183" s="2">
        <v>13.2</v>
      </c>
      <c r="AC183" s="2">
        <v>16.100000000000001</v>
      </c>
      <c r="AD183" t="s">
        <v>25</v>
      </c>
      <c r="AE183" s="1">
        <v>45108</v>
      </c>
      <c r="AF183" s="1">
        <v>45473</v>
      </c>
      <c r="AG183" t="b">
        <v>1</v>
      </c>
      <c r="AH183" t="b">
        <v>1</v>
      </c>
      <c r="AI183" t="b">
        <v>1</v>
      </c>
      <c r="AJ183" t="str">
        <f>IF(tblMergedCleaned[[#This Row],[Overall_Rating]]=
    "",
    "Unavailable",
    IF(tblMergedCleaned[[#This Row],[Overall_Rating]]&lt;=
        2,
        "Low (1-2)",
        IF(tblMergedCleaned[[#This Row],[Overall_Rating]]=
            3,
            "Middle (3)",
            "High (4-5)"
        )
    )
)</f>
        <v>High (4-5)</v>
      </c>
      <c r="AK183" cm="1">
        <f t="array" ref="AK183">IF(
    tblMergedCleaned[[#This Row],[Overall_Rating]]="",
    "",
    --(tblMergedCleaned[[#This Row],[Overall_Rating]]&lt;=2)
)</f>
        <v>0</v>
      </c>
      <c r="AL183">
        <f>IF(
    tblMergedCleaned[[#This Row],[Definitely_Recommend_Pct]]="",
    "",
    --(tblMergedCleaned[[#This Row],[Definitely_Recommend_Pct]]&lt;TX_Median_Recommend)
)</f>
        <v>0</v>
      </c>
      <c r="AM183">
        <f>IF(
    tblMergedCleaned[[#This Row],[Readmission_Comparison]]="",
    "",
    --(tblMergedCleaned[[#This Row],[Readmission_Comparison]]="Worse")
)</f>
        <v>0</v>
      </c>
      <c r="AN183">
        <f>COUNT(
    tblMergedCleaned[[#This Row],[Low_Rating_Flag]:[Worse_Readmission_Flag]]
)</f>
        <v>3</v>
      </c>
      <c r="AO183">
        <f>SUM(
    tblMergedCleaned[[#This Row],[Low_Rating_Flag]:[Worse_Readmission_Flag]]
)</f>
        <v>0</v>
      </c>
      <c r="AP18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8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83" s="2">
        <f>IF(
    tblMergedCleaned[[#This Row],[Definitely_Recommend_Pct]]="",
    "",
    tblMergedCleaned[[#This Row],[Definitely_Recommend_Pct]]-TX_Median_Recommend
)</f>
        <v>6</v>
      </c>
      <c r="AS183" s="2">
        <f>IF(
    tblMergedCleaned[[#This Row],[Readmission_Rate_Pct]]="",
    "",
    tblMergedCleaned[[#This Row],[Readmission_Rate_Pct]]-TX_Median_Readmission
)</f>
        <v>-0.30000000000000071</v>
      </c>
    </row>
    <row r="184" spans="1:45">
      <c r="A184" t="s">
        <v>1122</v>
      </c>
      <c r="B184" t="s">
        <v>1123</v>
      </c>
      <c r="C184" t="s">
        <v>1124</v>
      </c>
      <c r="D184" t="s">
        <v>119</v>
      </c>
      <c r="E184" t="s">
        <v>18</v>
      </c>
      <c r="F184" t="s">
        <v>1125</v>
      </c>
      <c r="G184" t="s">
        <v>121</v>
      </c>
      <c r="H184" t="s">
        <v>1126</v>
      </c>
      <c r="I184" t="s">
        <v>21</v>
      </c>
      <c r="J184" t="s">
        <v>33</v>
      </c>
      <c r="K184" t="s">
        <v>23</v>
      </c>
      <c r="L184">
        <v>5</v>
      </c>
      <c r="M184" t="s">
        <v>168</v>
      </c>
      <c r="N184" t="s">
        <v>25</v>
      </c>
      <c r="O184" s="2">
        <v>81</v>
      </c>
      <c r="P184" s="2">
        <v>78</v>
      </c>
      <c r="Q184" s="2">
        <v>64</v>
      </c>
      <c r="R184" s="2">
        <v>90</v>
      </c>
      <c r="S184" s="2">
        <v>78</v>
      </c>
      <c r="T184" s="2">
        <v>78</v>
      </c>
      <c r="U184" t="s">
        <v>1813</v>
      </c>
      <c r="V184" s="2">
        <v>15</v>
      </c>
      <c r="W184" s="1">
        <v>45474</v>
      </c>
      <c r="X184" s="1">
        <v>45838</v>
      </c>
      <c r="Y184" s="2">
        <v>14.8</v>
      </c>
      <c r="Z184" t="s">
        <v>1884</v>
      </c>
      <c r="AA184">
        <v>3510</v>
      </c>
      <c r="AB184" s="2">
        <v>14</v>
      </c>
      <c r="AC184" s="2">
        <v>15.7</v>
      </c>
      <c r="AD184" t="s">
        <v>25</v>
      </c>
      <c r="AE184" s="1">
        <v>45108</v>
      </c>
      <c r="AF184" s="1">
        <v>45473</v>
      </c>
      <c r="AG184" t="b">
        <v>1</v>
      </c>
      <c r="AH184" t="b">
        <v>1</v>
      </c>
      <c r="AI184" t="b">
        <v>1</v>
      </c>
      <c r="AJ184" t="str">
        <f>IF(tblMergedCleaned[[#This Row],[Overall_Rating]]=
    "",
    "Unavailable",
    IF(tblMergedCleaned[[#This Row],[Overall_Rating]]&lt;=
        2,
        "Low (1-2)",
        IF(tblMergedCleaned[[#This Row],[Overall_Rating]]=
            3,
            "Middle (3)",
            "High (4-5)"
        )
    )
)</f>
        <v>High (4-5)</v>
      </c>
      <c r="AK184" cm="1">
        <f t="array" ref="AK184">IF(
    tblMergedCleaned[[#This Row],[Overall_Rating]]="",
    "",
    --(tblMergedCleaned[[#This Row],[Overall_Rating]]&lt;=2)
)</f>
        <v>0</v>
      </c>
      <c r="AL184">
        <f>IF(
    tblMergedCleaned[[#This Row],[Definitely_Recommend_Pct]]="",
    "",
    --(tblMergedCleaned[[#This Row],[Definitely_Recommend_Pct]]&lt;TX_Median_Recommend)
)</f>
        <v>0</v>
      </c>
      <c r="AM184">
        <f>IF(
    tblMergedCleaned[[#This Row],[Readmission_Comparison]]="",
    "",
    --(tblMergedCleaned[[#This Row],[Readmission_Comparison]]="Worse")
)</f>
        <v>0</v>
      </c>
      <c r="AN184">
        <f>COUNT(
    tblMergedCleaned[[#This Row],[Low_Rating_Flag]:[Worse_Readmission_Flag]]
)</f>
        <v>3</v>
      </c>
      <c r="AO184">
        <f>SUM(
    tblMergedCleaned[[#This Row],[Low_Rating_Flag]:[Worse_Readmission_Flag]]
)</f>
        <v>0</v>
      </c>
      <c r="AP18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8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84" s="2">
        <f>IF(
    tblMergedCleaned[[#This Row],[Definitely_Recommend_Pct]]="",
    "",
    tblMergedCleaned[[#This Row],[Definitely_Recommend_Pct]]-TX_Median_Recommend
)</f>
        <v>7</v>
      </c>
      <c r="AS184" s="2">
        <f>IF(
    tblMergedCleaned[[#This Row],[Readmission_Rate_Pct]]="",
    "",
    tblMergedCleaned[[#This Row],[Readmission_Rate_Pct]]-TX_Median_Readmission
)</f>
        <v>-9.9999999999999645E-2</v>
      </c>
    </row>
    <row r="185" spans="1:45">
      <c r="A185" t="s">
        <v>1127</v>
      </c>
      <c r="B185" t="s">
        <v>1128</v>
      </c>
      <c r="C185" t="s">
        <v>1129</v>
      </c>
      <c r="D185" t="s">
        <v>1130</v>
      </c>
      <c r="E185" t="s">
        <v>18</v>
      </c>
      <c r="F185" t="s">
        <v>1131</v>
      </c>
      <c r="G185" t="s">
        <v>535</v>
      </c>
      <c r="H185" t="s">
        <v>1132</v>
      </c>
      <c r="I185" t="s">
        <v>21</v>
      </c>
      <c r="J185" t="s">
        <v>33</v>
      </c>
      <c r="K185" t="s">
        <v>23</v>
      </c>
      <c r="L185">
        <v>3</v>
      </c>
      <c r="M185" t="s">
        <v>42</v>
      </c>
      <c r="N185" t="s">
        <v>25</v>
      </c>
      <c r="O185" s="2">
        <v>76</v>
      </c>
      <c r="P185" s="2">
        <v>75</v>
      </c>
      <c r="Q185" s="2">
        <v>54</v>
      </c>
      <c r="R185" s="2">
        <v>86</v>
      </c>
      <c r="S185" s="2">
        <v>69</v>
      </c>
      <c r="T185" s="2">
        <v>70</v>
      </c>
      <c r="U185" t="s">
        <v>1814</v>
      </c>
      <c r="V185" s="2">
        <v>13</v>
      </c>
      <c r="W185" s="1">
        <v>45474</v>
      </c>
      <c r="X185" s="1">
        <v>45838</v>
      </c>
      <c r="Y185" s="2">
        <v>15.2</v>
      </c>
      <c r="Z185" t="s">
        <v>1884</v>
      </c>
      <c r="AA185">
        <v>1942</v>
      </c>
      <c r="AB185" s="2">
        <v>14.1</v>
      </c>
      <c r="AC185" s="2">
        <v>16.3</v>
      </c>
      <c r="AD185" t="s">
        <v>25</v>
      </c>
      <c r="AE185" s="1">
        <v>45108</v>
      </c>
      <c r="AF185" s="1">
        <v>45473</v>
      </c>
      <c r="AG185" t="b">
        <v>1</v>
      </c>
      <c r="AH185" t="b">
        <v>1</v>
      </c>
      <c r="AI185" t="b">
        <v>1</v>
      </c>
      <c r="AJ185" t="str">
        <f>IF(tblMergedCleaned[[#This Row],[Overall_Rating]]=
    "",
    "Unavailable",
    IF(tblMergedCleaned[[#This Row],[Overall_Rating]]&lt;=
        2,
        "Low (1-2)",
        IF(tblMergedCleaned[[#This Row],[Overall_Rating]]=
            3,
            "Middle (3)",
            "High (4-5)"
        )
    )
)</f>
        <v>Middle (3)</v>
      </c>
      <c r="AK185" cm="1">
        <f t="array" ref="AK185">IF(
    tblMergedCleaned[[#This Row],[Overall_Rating]]="",
    "",
    --(tblMergedCleaned[[#This Row],[Overall_Rating]]&lt;=2)
)</f>
        <v>0</v>
      </c>
      <c r="AL185">
        <f>IF(
    tblMergedCleaned[[#This Row],[Definitely_Recommend_Pct]]="",
    "",
    --(tblMergedCleaned[[#This Row],[Definitely_Recommend_Pct]]&lt;TX_Median_Recommend)
)</f>
        <v>1</v>
      </c>
      <c r="AM185">
        <f>IF(
    tblMergedCleaned[[#This Row],[Readmission_Comparison]]="",
    "",
    --(tblMergedCleaned[[#This Row],[Readmission_Comparison]]="Worse")
)</f>
        <v>0</v>
      </c>
      <c r="AN185">
        <f>COUNT(
    tblMergedCleaned[[#This Row],[Low_Rating_Flag]:[Worse_Readmission_Flag]]
)</f>
        <v>3</v>
      </c>
      <c r="AO185">
        <f>SUM(
    tblMergedCleaned[[#This Row],[Low_Rating_Flag]:[Worse_Readmission_Flag]]
)</f>
        <v>1</v>
      </c>
      <c r="AP18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8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85" s="2">
        <f>IF(
    tblMergedCleaned[[#This Row],[Definitely_Recommend_Pct]]="",
    "",
    tblMergedCleaned[[#This Row],[Definitely_Recommend_Pct]]-TX_Median_Recommend
)</f>
        <v>-1</v>
      </c>
      <c r="AS185" s="2">
        <f>IF(
    tblMergedCleaned[[#This Row],[Readmission_Rate_Pct]]="",
    "",
    tblMergedCleaned[[#This Row],[Readmission_Rate_Pct]]-TX_Median_Readmission
)</f>
        <v>0.29999999999999893</v>
      </c>
    </row>
    <row r="186" spans="1:45">
      <c r="A186" t="s">
        <v>1133</v>
      </c>
      <c r="B186" t="s">
        <v>1134</v>
      </c>
      <c r="C186" t="s">
        <v>1135</v>
      </c>
      <c r="D186" t="s">
        <v>1078</v>
      </c>
      <c r="E186" t="s">
        <v>18</v>
      </c>
      <c r="F186" t="s">
        <v>1079</v>
      </c>
      <c r="G186" t="s">
        <v>535</v>
      </c>
      <c r="H186" t="s">
        <v>1136</v>
      </c>
      <c r="I186" t="s">
        <v>21</v>
      </c>
      <c r="J186" t="s">
        <v>33</v>
      </c>
      <c r="K186" t="s">
        <v>23</v>
      </c>
      <c r="L186">
        <v>4</v>
      </c>
      <c r="M186" t="s">
        <v>34</v>
      </c>
      <c r="N186" t="s">
        <v>25</v>
      </c>
      <c r="O186" s="2">
        <v>73</v>
      </c>
      <c r="P186" s="2">
        <v>77</v>
      </c>
      <c r="Q186" s="2">
        <v>56</v>
      </c>
      <c r="R186" s="2">
        <v>86</v>
      </c>
      <c r="S186" s="2">
        <v>71</v>
      </c>
      <c r="T186" s="2">
        <v>69</v>
      </c>
      <c r="U186" t="s">
        <v>1815</v>
      </c>
      <c r="V186" s="2">
        <v>13</v>
      </c>
      <c r="W186" s="1">
        <v>45474</v>
      </c>
      <c r="X186" s="1">
        <v>45838</v>
      </c>
      <c r="Y186" s="2">
        <v>16.100000000000001</v>
      </c>
      <c r="Z186" t="s">
        <v>1884</v>
      </c>
      <c r="AA186">
        <v>1261</v>
      </c>
      <c r="AB186" s="2">
        <v>15</v>
      </c>
      <c r="AC186" s="2">
        <v>17.3</v>
      </c>
      <c r="AD186" t="s">
        <v>25</v>
      </c>
      <c r="AE186" s="1">
        <v>45108</v>
      </c>
      <c r="AF186" s="1">
        <v>45473</v>
      </c>
      <c r="AG186" t="b">
        <v>1</v>
      </c>
      <c r="AH186" t="b">
        <v>1</v>
      </c>
      <c r="AI186" t="b">
        <v>1</v>
      </c>
      <c r="AJ186" t="str">
        <f>IF(tblMergedCleaned[[#This Row],[Overall_Rating]]=
    "",
    "Unavailable",
    IF(tblMergedCleaned[[#This Row],[Overall_Rating]]&lt;=
        2,
        "Low (1-2)",
        IF(tblMergedCleaned[[#This Row],[Overall_Rating]]=
            3,
            "Middle (3)",
            "High (4-5)"
        )
    )
)</f>
        <v>High (4-5)</v>
      </c>
      <c r="AK186" cm="1">
        <f t="array" ref="AK186">IF(
    tblMergedCleaned[[#This Row],[Overall_Rating]]="",
    "",
    --(tblMergedCleaned[[#This Row],[Overall_Rating]]&lt;=2)
)</f>
        <v>0</v>
      </c>
      <c r="AL186">
        <f>IF(
    tblMergedCleaned[[#This Row],[Definitely_Recommend_Pct]]="",
    "",
    --(tblMergedCleaned[[#This Row],[Definitely_Recommend_Pct]]&lt;TX_Median_Recommend)
)</f>
        <v>1</v>
      </c>
      <c r="AM186">
        <f>IF(
    tblMergedCleaned[[#This Row],[Readmission_Comparison]]="",
    "",
    --(tblMergedCleaned[[#This Row],[Readmission_Comparison]]="Worse")
)</f>
        <v>0</v>
      </c>
      <c r="AN186">
        <f>COUNT(
    tblMergedCleaned[[#This Row],[Low_Rating_Flag]:[Worse_Readmission_Flag]]
)</f>
        <v>3</v>
      </c>
      <c r="AO186">
        <f>SUM(
    tblMergedCleaned[[#This Row],[Low_Rating_Flag]:[Worse_Readmission_Flag]]
)</f>
        <v>1</v>
      </c>
      <c r="AP18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8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86" s="2">
        <f>IF(
    tblMergedCleaned[[#This Row],[Definitely_Recommend_Pct]]="",
    "",
    tblMergedCleaned[[#This Row],[Definitely_Recommend_Pct]]-TX_Median_Recommend
)</f>
        <v>-2</v>
      </c>
      <c r="AS186" s="2">
        <f>IF(
    tblMergedCleaned[[#This Row],[Readmission_Rate_Pct]]="",
    "",
    tblMergedCleaned[[#This Row],[Readmission_Rate_Pct]]-TX_Median_Readmission
)</f>
        <v>1.2000000000000011</v>
      </c>
    </row>
    <row r="187" spans="1:45">
      <c r="A187" t="s">
        <v>1137</v>
      </c>
      <c r="B187" t="s">
        <v>1138</v>
      </c>
      <c r="C187" t="s">
        <v>1139</v>
      </c>
      <c r="D187" t="s">
        <v>53</v>
      </c>
      <c r="E187" t="s">
        <v>18</v>
      </c>
      <c r="F187" t="s">
        <v>1140</v>
      </c>
      <c r="G187" t="s">
        <v>53</v>
      </c>
      <c r="H187" t="s">
        <v>1141</v>
      </c>
      <c r="I187" t="s">
        <v>21</v>
      </c>
      <c r="J187" t="s">
        <v>22</v>
      </c>
      <c r="K187" t="s">
        <v>23</v>
      </c>
      <c r="L187">
        <v>5</v>
      </c>
      <c r="M187" t="s">
        <v>168</v>
      </c>
      <c r="N187" t="s">
        <v>25</v>
      </c>
      <c r="O187" s="2">
        <v>88</v>
      </c>
      <c r="P187" s="2">
        <v>86</v>
      </c>
      <c r="Q187" s="2">
        <v>73</v>
      </c>
      <c r="R187" s="2">
        <v>90</v>
      </c>
      <c r="S187" s="2">
        <v>87</v>
      </c>
      <c r="T187" s="2">
        <v>88</v>
      </c>
      <c r="U187" t="s">
        <v>1816</v>
      </c>
      <c r="V187" s="2">
        <v>24</v>
      </c>
      <c r="W187" s="1">
        <v>45474</v>
      </c>
      <c r="X187" s="1">
        <v>45838</v>
      </c>
      <c r="Y187" s="2">
        <v>15.2</v>
      </c>
      <c r="Z187" t="s">
        <v>1884</v>
      </c>
      <c r="AA187">
        <v>763</v>
      </c>
      <c r="AB187" s="2">
        <v>13.6</v>
      </c>
      <c r="AC187" s="2">
        <v>16.8</v>
      </c>
      <c r="AD187" t="s">
        <v>25</v>
      </c>
      <c r="AE187" s="1">
        <v>45108</v>
      </c>
      <c r="AF187" s="1">
        <v>45473</v>
      </c>
      <c r="AG187" t="b">
        <v>1</v>
      </c>
      <c r="AH187" t="b">
        <v>1</v>
      </c>
      <c r="AI187" t="b">
        <v>1</v>
      </c>
      <c r="AJ187" t="str">
        <f>IF(tblMergedCleaned[[#This Row],[Overall_Rating]]=
    "",
    "Unavailable",
    IF(tblMergedCleaned[[#This Row],[Overall_Rating]]&lt;=
        2,
        "Low (1-2)",
        IF(tblMergedCleaned[[#This Row],[Overall_Rating]]=
            3,
            "Middle (3)",
            "High (4-5)"
        )
    )
)</f>
        <v>High (4-5)</v>
      </c>
      <c r="AK187" cm="1">
        <f t="array" ref="AK187">IF(
    tblMergedCleaned[[#This Row],[Overall_Rating]]="",
    "",
    --(tblMergedCleaned[[#This Row],[Overall_Rating]]&lt;=2)
)</f>
        <v>0</v>
      </c>
      <c r="AL187">
        <f>IF(
    tblMergedCleaned[[#This Row],[Definitely_Recommend_Pct]]="",
    "",
    --(tblMergedCleaned[[#This Row],[Definitely_Recommend_Pct]]&lt;TX_Median_Recommend)
)</f>
        <v>0</v>
      </c>
      <c r="AM187">
        <f>IF(
    tblMergedCleaned[[#This Row],[Readmission_Comparison]]="",
    "",
    --(tblMergedCleaned[[#This Row],[Readmission_Comparison]]="Worse")
)</f>
        <v>0</v>
      </c>
      <c r="AN187">
        <f>COUNT(
    tblMergedCleaned[[#This Row],[Low_Rating_Flag]:[Worse_Readmission_Flag]]
)</f>
        <v>3</v>
      </c>
      <c r="AO187">
        <f>SUM(
    tblMergedCleaned[[#This Row],[Low_Rating_Flag]:[Worse_Readmission_Flag]]
)</f>
        <v>0</v>
      </c>
      <c r="AP18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8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87" s="2">
        <f>IF(
    tblMergedCleaned[[#This Row],[Definitely_Recommend_Pct]]="",
    "",
    tblMergedCleaned[[#This Row],[Definitely_Recommend_Pct]]-TX_Median_Recommend
)</f>
        <v>17</v>
      </c>
      <c r="AS187" s="2">
        <f>IF(
    tblMergedCleaned[[#This Row],[Readmission_Rate_Pct]]="",
    "",
    tblMergedCleaned[[#This Row],[Readmission_Rate_Pct]]-TX_Median_Readmission
)</f>
        <v>0.29999999999999893</v>
      </c>
    </row>
    <row r="188" spans="1:45">
      <c r="A188" t="s">
        <v>1142</v>
      </c>
      <c r="B188" t="s">
        <v>1143</v>
      </c>
      <c r="C188" t="s">
        <v>1144</v>
      </c>
      <c r="D188" t="s">
        <v>1145</v>
      </c>
      <c r="E188" t="s">
        <v>18</v>
      </c>
      <c r="F188" t="s">
        <v>1146</v>
      </c>
      <c r="G188" t="s">
        <v>808</v>
      </c>
      <c r="H188" t="s">
        <v>1147</v>
      </c>
      <c r="I188" t="s">
        <v>21</v>
      </c>
      <c r="J188" t="s">
        <v>22</v>
      </c>
      <c r="K188" t="s">
        <v>23</v>
      </c>
      <c r="L188">
        <v>3</v>
      </c>
      <c r="M188" t="s">
        <v>42</v>
      </c>
      <c r="N188" t="s">
        <v>25</v>
      </c>
      <c r="O188" s="2">
        <v>81</v>
      </c>
      <c r="P188" s="2">
        <v>84</v>
      </c>
      <c r="Q188" s="2">
        <v>62</v>
      </c>
      <c r="R188" s="2">
        <v>87</v>
      </c>
      <c r="S188" s="2">
        <v>82</v>
      </c>
      <c r="T188" s="2">
        <v>79</v>
      </c>
      <c r="U188" t="s">
        <v>1817</v>
      </c>
      <c r="V188" s="2">
        <v>11</v>
      </c>
      <c r="W188" s="1">
        <v>45474</v>
      </c>
      <c r="X188" s="1">
        <v>45838</v>
      </c>
      <c r="Y188" s="2">
        <v>15.1</v>
      </c>
      <c r="Z188" t="s">
        <v>1884</v>
      </c>
      <c r="AA188">
        <v>174</v>
      </c>
      <c r="AB188" s="2">
        <v>12.7</v>
      </c>
      <c r="AC188" s="2">
        <v>18</v>
      </c>
      <c r="AD188" t="s">
        <v>25</v>
      </c>
      <c r="AE188" s="1">
        <v>45108</v>
      </c>
      <c r="AF188" s="1">
        <v>45473</v>
      </c>
      <c r="AG188" t="b">
        <v>1</v>
      </c>
      <c r="AH188" t="b">
        <v>1</v>
      </c>
      <c r="AI188" t="b">
        <v>1</v>
      </c>
      <c r="AJ188" t="str">
        <f>IF(tblMergedCleaned[[#This Row],[Overall_Rating]]=
    "",
    "Unavailable",
    IF(tblMergedCleaned[[#This Row],[Overall_Rating]]&lt;=
        2,
        "Low (1-2)",
        IF(tblMergedCleaned[[#This Row],[Overall_Rating]]=
            3,
            "Middle (3)",
            "High (4-5)"
        )
    )
)</f>
        <v>Middle (3)</v>
      </c>
      <c r="AK188" cm="1">
        <f t="array" ref="AK188">IF(
    tblMergedCleaned[[#This Row],[Overall_Rating]]="",
    "",
    --(tblMergedCleaned[[#This Row],[Overall_Rating]]&lt;=2)
)</f>
        <v>0</v>
      </c>
      <c r="AL188">
        <f>IF(
    tblMergedCleaned[[#This Row],[Definitely_Recommend_Pct]]="",
    "",
    --(tblMergedCleaned[[#This Row],[Definitely_Recommend_Pct]]&lt;TX_Median_Recommend)
)</f>
        <v>0</v>
      </c>
      <c r="AM188">
        <f>IF(
    tblMergedCleaned[[#This Row],[Readmission_Comparison]]="",
    "",
    --(tblMergedCleaned[[#This Row],[Readmission_Comparison]]="Worse")
)</f>
        <v>0</v>
      </c>
      <c r="AN188">
        <f>COUNT(
    tblMergedCleaned[[#This Row],[Low_Rating_Flag]:[Worse_Readmission_Flag]]
)</f>
        <v>3</v>
      </c>
      <c r="AO188">
        <f>SUM(
    tblMergedCleaned[[#This Row],[Low_Rating_Flag]:[Worse_Readmission_Flag]]
)</f>
        <v>0</v>
      </c>
      <c r="AP18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8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88" s="2">
        <f>IF(
    tblMergedCleaned[[#This Row],[Definitely_Recommend_Pct]]="",
    "",
    tblMergedCleaned[[#This Row],[Definitely_Recommend_Pct]]-TX_Median_Recommend
)</f>
        <v>8</v>
      </c>
      <c r="AS188" s="2">
        <f>IF(
    tblMergedCleaned[[#This Row],[Readmission_Rate_Pct]]="",
    "",
    tblMergedCleaned[[#This Row],[Readmission_Rate_Pct]]-TX_Median_Readmission
)</f>
        <v>0.19999999999999929</v>
      </c>
    </row>
    <row r="189" spans="1:45">
      <c r="A189" t="s">
        <v>1148</v>
      </c>
      <c r="B189" t="s">
        <v>1149</v>
      </c>
      <c r="C189" t="s">
        <v>1150</v>
      </c>
      <c r="D189" t="s">
        <v>106</v>
      </c>
      <c r="E189" t="s">
        <v>18</v>
      </c>
      <c r="F189" t="s">
        <v>107</v>
      </c>
      <c r="G189" t="s">
        <v>87</v>
      </c>
      <c r="H189" t="s">
        <v>1151</v>
      </c>
      <c r="I189" t="s">
        <v>21</v>
      </c>
      <c r="J189" t="s">
        <v>22</v>
      </c>
      <c r="K189" t="s">
        <v>23</v>
      </c>
      <c r="L189">
        <v>4</v>
      </c>
      <c r="M189" t="s">
        <v>34</v>
      </c>
      <c r="N189" t="s">
        <v>25</v>
      </c>
      <c r="O189" s="2">
        <v>78</v>
      </c>
      <c r="P189" s="2">
        <v>71</v>
      </c>
      <c r="Q189" s="2">
        <v>57</v>
      </c>
      <c r="R189" s="2">
        <v>79</v>
      </c>
      <c r="S189" s="2">
        <v>72</v>
      </c>
      <c r="T189" s="2">
        <v>76</v>
      </c>
      <c r="U189" t="s">
        <v>1818</v>
      </c>
      <c r="V189" s="2">
        <v>41</v>
      </c>
      <c r="W189" s="1">
        <v>45474</v>
      </c>
      <c r="X189" s="1">
        <v>45838</v>
      </c>
      <c r="Y189" s="2">
        <v>14.6</v>
      </c>
      <c r="Z189" t="s">
        <v>1884</v>
      </c>
      <c r="AA189">
        <v>699</v>
      </c>
      <c r="AB189" s="2">
        <v>13.2</v>
      </c>
      <c r="AC189" s="2">
        <v>16</v>
      </c>
      <c r="AD189" t="s">
        <v>25</v>
      </c>
      <c r="AE189" s="1">
        <v>45108</v>
      </c>
      <c r="AF189" s="1">
        <v>45473</v>
      </c>
      <c r="AG189" t="b">
        <v>1</v>
      </c>
      <c r="AH189" t="b">
        <v>1</v>
      </c>
      <c r="AI189" t="b">
        <v>1</v>
      </c>
      <c r="AJ189" t="str">
        <f>IF(tblMergedCleaned[[#This Row],[Overall_Rating]]=
    "",
    "Unavailable",
    IF(tblMergedCleaned[[#This Row],[Overall_Rating]]&lt;=
        2,
        "Low (1-2)",
        IF(tblMergedCleaned[[#This Row],[Overall_Rating]]=
            3,
            "Middle (3)",
            "High (4-5)"
        )
    )
)</f>
        <v>High (4-5)</v>
      </c>
      <c r="AK189" cm="1">
        <f t="array" ref="AK189">IF(
    tblMergedCleaned[[#This Row],[Overall_Rating]]="",
    "",
    --(tblMergedCleaned[[#This Row],[Overall_Rating]]&lt;=2)
)</f>
        <v>0</v>
      </c>
      <c r="AL189">
        <f>IF(
    tblMergedCleaned[[#This Row],[Definitely_Recommend_Pct]]="",
    "",
    --(tblMergedCleaned[[#This Row],[Definitely_Recommend_Pct]]&lt;TX_Median_Recommend)
)</f>
        <v>0</v>
      </c>
      <c r="AM189">
        <f>IF(
    tblMergedCleaned[[#This Row],[Readmission_Comparison]]="",
    "",
    --(tblMergedCleaned[[#This Row],[Readmission_Comparison]]="Worse")
)</f>
        <v>0</v>
      </c>
      <c r="AN189">
        <f>COUNT(
    tblMergedCleaned[[#This Row],[Low_Rating_Flag]:[Worse_Readmission_Flag]]
)</f>
        <v>3</v>
      </c>
      <c r="AO189">
        <f>SUM(
    tblMergedCleaned[[#This Row],[Low_Rating_Flag]:[Worse_Readmission_Flag]]
)</f>
        <v>0</v>
      </c>
      <c r="AP18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8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89" s="2">
        <f>IF(
    tblMergedCleaned[[#This Row],[Definitely_Recommend_Pct]]="",
    "",
    tblMergedCleaned[[#This Row],[Definitely_Recommend_Pct]]-TX_Median_Recommend
)</f>
        <v>5</v>
      </c>
      <c r="AS189" s="2">
        <f>IF(
    tblMergedCleaned[[#This Row],[Readmission_Rate_Pct]]="",
    "",
    tblMergedCleaned[[#This Row],[Readmission_Rate_Pct]]-TX_Median_Readmission
)</f>
        <v>-0.30000000000000071</v>
      </c>
    </row>
    <row r="190" spans="1:45">
      <c r="A190" t="s">
        <v>1152</v>
      </c>
      <c r="B190" t="s">
        <v>1153</v>
      </c>
      <c r="C190" t="s">
        <v>1154</v>
      </c>
      <c r="D190" t="s">
        <v>188</v>
      </c>
      <c r="E190" t="s">
        <v>18</v>
      </c>
      <c r="F190" t="s">
        <v>1155</v>
      </c>
      <c r="G190" t="s">
        <v>190</v>
      </c>
      <c r="H190" t="s">
        <v>1156</v>
      </c>
      <c r="I190" t="s">
        <v>21</v>
      </c>
      <c r="J190" t="s">
        <v>81</v>
      </c>
      <c r="K190" t="s">
        <v>23</v>
      </c>
      <c r="M190" t="s">
        <v>176</v>
      </c>
      <c r="N190" t="s">
        <v>177</v>
      </c>
      <c r="O190" s="2">
        <v>88</v>
      </c>
      <c r="P190" s="2">
        <v>86</v>
      </c>
      <c r="Q190" s="2">
        <v>71</v>
      </c>
      <c r="R190" s="2">
        <v>89</v>
      </c>
      <c r="S190" s="2">
        <v>85</v>
      </c>
      <c r="T190" s="2">
        <v>85</v>
      </c>
      <c r="U190" t="s">
        <v>1819</v>
      </c>
      <c r="V190" s="2">
        <v>42</v>
      </c>
      <c r="W190" s="1">
        <v>45474</v>
      </c>
      <c r="X190" s="1">
        <v>45838</v>
      </c>
      <c r="Y190" s="2">
        <v>14.4</v>
      </c>
      <c r="Z190" t="s">
        <v>1884</v>
      </c>
      <c r="AA190">
        <v>414</v>
      </c>
      <c r="AB190" s="2">
        <v>11.8</v>
      </c>
      <c r="AC190" s="2">
        <v>17.600000000000001</v>
      </c>
      <c r="AD190" t="s">
        <v>25</v>
      </c>
      <c r="AE190" s="1">
        <v>45108</v>
      </c>
      <c r="AF190" s="1">
        <v>45473</v>
      </c>
      <c r="AG190" t="b">
        <v>0</v>
      </c>
      <c r="AH190" t="b">
        <v>1</v>
      </c>
      <c r="AI190" t="b">
        <v>1</v>
      </c>
      <c r="AJ190" t="str">
        <f>IF(tblMergedCleaned[[#This Row],[Overall_Rating]]=
    "",
    "Unavailable",
    IF(tblMergedCleaned[[#This Row],[Overall_Rating]]&lt;=
        2,
        "Low (1-2)",
        IF(tblMergedCleaned[[#This Row],[Overall_Rating]]=
            3,
            "Middle (3)",
            "High (4-5)"
        )
    )
)</f>
        <v>Unavailable</v>
      </c>
      <c r="AK190" t="str" cm="1">
        <f t="array" ref="AK190">IF(
    tblMergedCleaned[[#This Row],[Overall_Rating]]="",
    "",
    --(tblMergedCleaned[[#This Row],[Overall_Rating]]&lt;=2)
)</f>
        <v/>
      </c>
      <c r="AL190">
        <f>IF(
    tblMergedCleaned[[#This Row],[Definitely_Recommend_Pct]]="",
    "",
    --(tblMergedCleaned[[#This Row],[Definitely_Recommend_Pct]]&lt;TX_Median_Recommend)
)</f>
        <v>0</v>
      </c>
      <c r="AM190">
        <f>IF(
    tblMergedCleaned[[#This Row],[Readmission_Comparison]]="",
    "",
    --(tblMergedCleaned[[#This Row],[Readmission_Comparison]]="Worse")
)</f>
        <v>0</v>
      </c>
      <c r="AN190">
        <f>COUNT(
    tblMergedCleaned[[#This Row],[Low_Rating_Flag]:[Worse_Readmission_Flag]]
)</f>
        <v>2</v>
      </c>
      <c r="AO190">
        <f>SUM(
    tblMergedCleaned[[#This Row],[Low_Rating_Flag]:[Worse_Readmission_Flag]]
)</f>
        <v>0</v>
      </c>
      <c r="AP19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9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90" s="2">
        <f>IF(
    tblMergedCleaned[[#This Row],[Definitely_Recommend_Pct]]="",
    "",
    tblMergedCleaned[[#This Row],[Definitely_Recommend_Pct]]-TX_Median_Recommend
)</f>
        <v>14</v>
      </c>
      <c r="AS190" s="2">
        <f>IF(
    tblMergedCleaned[[#This Row],[Readmission_Rate_Pct]]="",
    "",
    tblMergedCleaned[[#This Row],[Readmission_Rate_Pct]]-TX_Median_Readmission
)</f>
        <v>-0.5</v>
      </c>
    </row>
    <row r="191" spans="1:45">
      <c r="A191" t="s">
        <v>1157</v>
      </c>
      <c r="B191" t="s">
        <v>1158</v>
      </c>
      <c r="C191" t="s">
        <v>1159</v>
      </c>
      <c r="D191" t="s">
        <v>1078</v>
      </c>
      <c r="E191" t="s">
        <v>18</v>
      </c>
      <c r="F191" t="s">
        <v>1079</v>
      </c>
      <c r="G191" t="s">
        <v>535</v>
      </c>
      <c r="H191" t="s">
        <v>1160</v>
      </c>
      <c r="I191" t="s">
        <v>21</v>
      </c>
      <c r="J191" t="s">
        <v>81</v>
      </c>
      <c r="K191" t="s">
        <v>23</v>
      </c>
      <c r="M191" t="s">
        <v>176</v>
      </c>
      <c r="N191" t="s">
        <v>177</v>
      </c>
      <c r="O191" s="2">
        <v>88</v>
      </c>
      <c r="P191" s="2">
        <v>90</v>
      </c>
      <c r="Q191" s="2">
        <v>71</v>
      </c>
      <c r="R191" s="2">
        <v>89</v>
      </c>
      <c r="S191" s="2">
        <v>88</v>
      </c>
      <c r="T191" s="2">
        <v>88</v>
      </c>
      <c r="U191" t="s">
        <v>1820</v>
      </c>
      <c r="V191" s="2">
        <v>23</v>
      </c>
      <c r="W191" s="1">
        <v>45474</v>
      </c>
      <c r="X191" s="1">
        <v>45838</v>
      </c>
      <c r="AD191" t="s">
        <v>322</v>
      </c>
      <c r="AE191" s="1">
        <v>45108</v>
      </c>
      <c r="AF191" s="1">
        <v>45473</v>
      </c>
      <c r="AG191" t="b">
        <v>0</v>
      </c>
      <c r="AH191" t="b">
        <v>1</v>
      </c>
      <c r="AI191" t="b">
        <v>0</v>
      </c>
      <c r="AJ191" t="str">
        <f>IF(tblMergedCleaned[[#This Row],[Overall_Rating]]=
    "",
    "Unavailable",
    IF(tblMergedCleaned[[#This Row],[Overall_Rating]]&lt;=
        2,
        "Low (1-2)",
        IF(tblMergedCleaned[[#This Row],[Overall_Rating]]=
            3,
            "Middle (3)",
            "High (4-5)"
        )
    )
)</f>
        <v>Unavailable</v>
      </c>
      <c r="AK191" t="str" cm="1">
        <f t="array" ref="AK191">IF(
    tblMergedCleaned[[#This Row],[Overall_Rating]]="",
    "",
    --(tblMergedCleaned[[#This Row],[Overall_Rating]]&lt;=2)
)</f>
        <v/>
      </c>
      <c r="AL191">
        <f>IF(
    tblMergedCleaned[[#This Row],[Definitely_Recommend_Pct]]="",
    "",
    --(tblMergedCleaned[[#This Row],[Definitely_Recommend_Pct]]&lt;TX_Median_Recommend)
)</f>
        <v>0</v>
      </c>
      <c r="AM191" t="str">
        <f>IF(
    tblMergedCleaned[[#This Row],[Readmission_Comparison]]="",
    "",
    --(tblMergedCleaned[[#This Row],[Readmission_Comparison]]="Worse")
)</f>
        <v/>
      </c>
      <c r="AN191">
        <f>COUNT(
    tblMergedCleaned[[#This Row],[Low_Rating_Flag]:[Worse_Readmission_Flag]]
)</f>
        <v>1</v>
      </c>
      <c r="AO191">
        <f>SUM(
    tblMergedCleaned[[#This Row],[Low_Rating_Flag]:[Worse_Readmission_Flag]]
)</f>
        <v>0</v>
      </c>
      <c r="AP19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9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91" s="2">
        <f>IF(
    tblMergedCleaned[[#This Row],[Definitely_Recommend_Pct]]="",
    "",
    tblMergedCleaned[[#This Row],[Definitely_Recommend_Pct]]-TX_Median_Recommend
)</f>
        <v>17</v>
      </c>
      <c r="AS191" s="2" t="str">
        <f>IF(
    tblMergedCleaned[[#This Row],[Readmission_Rate_Pct]]="",
    "",
    tblMergedCleaned[[#This Row],[Readmission_Rate_Pct]]-TX_Median_Readmission
)</f>
        <v/>
      </c>
    </row>
    <row r="192" spans="1:45">
      <c r="A192" t="s">
        <v>1161</v>
      </c>
      <c r="B192" t="s">
        <v>1162</v>
      </c>
      <c r="C192" t="s">
        <v>1163</v>
      </c>
      <c r="D192" t="s">
        <v>1164</v>
      </c>
      <c r="E192" t="s">
        <v>18</v>
      </c>
      <c r="F192" t="s">
        <v>1165</v>
      </c>
      <c r="G192" t="s">
        <v>462</v>
      </c>
      <c r="H192" t="s">
        <v>1166</v>
      </c>
      <c r="I192" t="s">
        <v>21</v>
      </c>
      <c r="J192" t="s">
        <v>33</v>
      </c>
      <c r="K192" t="s">
        <v>23</v>
      </c>
      <c r="L192">
        <v>3</v>
      </c>
      <c r="M192" t="s">
        <v>42</v>
      </c>
      <c r="N192" t="s">
        <v>25</v>
      </c>
      <c r="O192" s="2">
        <v>83</v>
      </c>
      <c r="P192" s="2">
        <v>79</v>
      </c>
      <c r="Q192" s="2">
        <v>62</v>
      </c>
      <c r="R192" s="2">
        <v>86</v>
      </c>
      <c r="S192" s="2">
        <v>78</v>
      </c>
      <c r="T192" s="2">
        <v>78</v>
      </c>
      <c r="U192" t="s">
        <v>1821</v>
      </c>
      <c r="V192" s="2">
        <v>13</v>
      </c>
      <c r="W192" s="1">
        <v>45474</v>
      </c>
      <c r="X192" s="1">
        <v>45838</v>
      </c>
      <c r="Y192" s="2">
        <v>14.6</v>
      </c>
      <c r="Z192" t="s">
        <v>1884</v>
      </c>
      <c r="AA192">
        <v>1581</v>
      </c>
      <c r="AB192" s="2">
        <v>13.5</v>
      </c>
      <c r="AC192" s="2">
        <v>15.7</v>
      </c>
      <c r="AD192" t="s">
        <v>25</v>
      </c>
      <c r="AE192" s="1">
        <v>45108</v>
      </c>
      <c r="AF192" s="1">
        <v>45473</v>
      </c>
      <c r="AG192" t="b">
        <v>1</v>
      </c>
      <c r="AH192" t="b">
        <v>1</v>
      </c>
      <c r="AI192" t="b">
        <v>1</v>
      </c>
      <c r="AJ192" t="str">
        <f>IF(tblMergedCleaned[[#This Row],[Overall_Rating]]=
    "",
    "Unavailable",
    IF(tblMergedCleaned[[#This Row],[Overall_Rating]]&lt;=
        2,
        "Low (1-2)",
        IF(tblMergedCleaned[[#This Row],[Overall_Rating]]=
            3,
            "Middle (3)",
            "High (4-5)"
        )
    )
)</f>
        <v>Middle (3)</v>
      </c>
      <c r="AK192" cm="1">
        <f t="array" ref="AK192">IF(
    tblMergedCleaned[[#This Row],[Overall_Rating]]="",
    "",
    --(tblMergedCleaned[[#This Row],[Overall_Rating]]&lt;=2)
)</f>
        <v>0</v>
      </c>
      <c r="AL192">
        <f>IF(
    tblMergedCleaned[[#This Row],[Definitely_Recommend_Pct]]="",
    "",
    --(tblMergedCleaned[[#This Row],[Definitely_Recommend_Pct]]&lt;TX_Median_Recommend)
)</f>
        <v>0</v>
      </c>
      <c r="AM192">
        <f>IF(
    tblMergedCleaned[[#This Row],[Readmission_Comparison]]="",
    "",
    --(tblMergedCleaned[[#This Row],[Readmission_Comparison]]="Worse")
)</f>
        <v>0</v>
      </c>
      <c r="AN192">
        <f>COUNT(
    tblMergedCleaned[[#This Row],[Low_Rating_Flag]:[Worse_Readmission_Flag]]
)</f>
        <v>3</v>
      </c>
      <c r="AO192">
        <f>SUM(
    tblMergedCleaned[[#This Row],[Low_Rating_Flag]:[Worse_Readmission_Flag]]
)</f>
        <v>0</v>
      </c>
      <c r="AP19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9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92" s="2">
        <f>IF(
    tblMergedCleaned[[#This Row],[Definitely_Recommend_Pct]]="",
    "",
    tblMergedCleaned[[#This Row],[Definitely_Recommend_Pct]]-TX_Median_Recommend
)</f>
        <v>7</v>
      </c>
      <c r="AS192" s="2">
        <f>IF(
    tblMergedCleaned[[#This Row],[Readmission_Rate_Pct]]="",
    "",
    tblMergedCleaned[[#This Row],[Readmission_Rate_Pct]]-TX_Median_Readmission
)</f>
        <v>-0.30000000000000071</v>
      </c>
    </row>
    <row r="193" spans="1:45">
      <c r="A193" t="s">
        <v>1167</v>
      </c>
      <c r="B193" t="s">
        <v>1168</v>
      </c>
      <c r="C193" t="s">
        <v>1169</v>
      </c>
      <c r="D193" t="s">
        <v>233</v>
      </c>
      <c r="E193" t="s">
        <v>18</v>
      </c>
      <c r="F193" t="s">
        <v>234</v>
      </c>
      <c r="G193" t="s">
        <v>235</v>
      </c>
      <c r="H193" t="s">
        <v>1170</v>
      </c>
      <c r="I193" t="s">
        <v>21</v>
      </c>
      <c r="J193" t="s">
        <v>81</v>
      </c>
      <c r="K193" t="s">
        <v>23</v>
      </c>
      <c r="L193">
        <v>5</v>
      </c>
      <c r="M193" t="s">
        <v>168</v>
      </c>
      <c r="N193" t="s">
        <v>25</v>
      </c>
      <c r="O193" s="2">
        <v>87</v>
      </c>
      <c r="P193" s="2">
        <v>87</v>
      </c>
      <c r="Q193" s="2">
        <v>65</v>
      </c>
      <c r="R193" s="2">
        <v>90</v>
      </c>
      <c r="S193" s="2">
        <v>83</v>
      </c>
      <c r="T193" s="2">
        <v>87</v>
      </c>
      <c r="U193" t="s">
        <v>1822</v>
      </c>
      <c r="V193" s="2">
        <v>43</v>
      </c>
      <c r="W193" s="1">
        <v>45474</v>
      </c>
      <c r="X193" s="1">
        <v>45838</v>
      </c>
      <c r="Y193" s="2">
        <v>13.4</v>
      </c>
      <c r="Z193" t="s">
        <v>1884</v>
      </c>
      <c r="AA193">
        <v>571</v>
      </c>
      <c r="AB193" s="2">
        <v>11</v>
      </c>
      <c r="AC193" s="2">
        <v>16.100000000000001</v>
      </c>
      <c r="AD193" t="s">
        <v>25</v>
      </c>
      <c r="AE193" s="1">
        <v>45108</v>
      </c>
      <c r="AF193" s="1">
        <v>45473</v>
      </c>
      <c r="AG193" t="b">
        <v>1</v>
      </c>
      <c r="AH193" t="b">
        <v>1</v>
      </c>
      <c r="AI193" t="b">
        <v>1</v>
      </c>
      <c r="AJ193" t="str">
        <f>IF(tblMergedCleaned[[#This Row],[Overall_Rating]]=
    "",
    "Unavailable",
    IF(tblMergedCleaned[[#This Row],[Overall_Rating]]&lt;=
        2,
        "Low (1-2)",
        IF(tblMergedCleaned[[#This Row],[Overall_Rating]]=
            3,
            "Middle (3)",
            "High (4-5)"
        )
    )
)</f>
        <v>High (4-5)</v>
      </c>
      <c r="AK193" cm="1">
        <f t="array" ref="AK193">IF(
    tblMergedCleaned[[#This Row],[Overall_Rating]]="",
    "",
    --(tblMergedCleaned[[#This Row],[Overall_Rating]]&lt;=2)
)</f>
        <v>0</v>
      </c>
      <c r="AL193">
        <f>IF(
    tblMergedCleaned[[#This Row],[Definitely_Recommend_Pct]]="",
    "",
    --(tblMergedCleaned[[#This Row],[Definitely_Recommend_Pct]]&lt;TX_Median_Recommend)
)</f>
        <v>0</v>
      </c>
      <c r="AM193">
        <f>IF(
    tblMergedCleaned[[#This Row],[Readmission_Comparison]]="",
    "",
    --(tblMergedCleaned[[#This Row],[Readmission_Comparison]]="Worse")
)</f>
        <v>0</v>
      </c>
      <c r="AN193">
        <f>COUNT(
    tblMergedCleaned[[#This Row],[Low_Rating_Flag]:[Worse_Readmission_Flag]]
)</f>
        <v>3</v>
      </c>
      <c r="AO193">
        <f>SUM(
    tblMergedCleaned[[#This Row],[Low_Rating_Flag]:[Worse_Readmission_Flag]]
)</f>
        <v>0</v>
      </c>
      <c r="AP19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9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93" s="2">
        <f>IF(
    tblMergedCleaned[[#This Row],[Definitely_Recommend_Pct]]="",
    "",
    tblMergedCleaned[[#This Row],[Definitely_Recommend_Pct]]-TX_Median_Recommend
)</f>
        <v>16</v>
      </c>
      <c r="AS193" s="2">
        <f>IF(
    tblMergedCleaned[[#This Row],[Readmission_Rate_Pct]]="",
    "",
    tblMergedCleaned[[#This Row],[Readmission_Rate_Pct]]-TX_Median_Readmission
)</f>
        <v>-1.5</v>
      </c>
    </row>
    <row r="194" spans="1:45">
      <c r="A194" t="s">
        <v>1171</v>
      </c>
      <c r="B194" t="s">
        <v>1172</v>
      </c>
      <c r="C194" t="s">
        <v>1173</v>
      </c>
      <c r="D194" t="s">
        <v>181</v>
      </c>
      <c r="E194" t="s">
        <v>18</v>
      </c>
      <c r="F194" t="s">
        <v>1174</v>
      </c>
      <c r="G194" t="s">
        <v>511</v>
      </c>
      <c r="H194" t="s">
        <v>1175</v>
      </c>
      <c r="I194" t="s">
        <v>21</v>
      </c>
      <c r="J194" t="s">
        <v>33</v>
      </c>
      <c r="K194" t="s">
        <v>23</v>
      </c>
      <c r="M194" t="s">
        <v>176</v>
      </c>
      <c r="N194" t="s">
        <v>177</v>
      </c>
      <c r="O194" s="2">
        <v>91</v>
      </c>
      <c r="P194" s="2">
        <v>87</v>
      </c>
      <c r="Q194" s="2">
        <v>77</v>
      </c>
      <c r="R194" s="2">
        <v>91</v>
      </c>
      <c r="S194" s="2">
        <v>86</v>
      </c>
      <c r="T194" s="2">
        <v>87</v>
      </c>
      <c r="U194" t="s">
        <v>1739</v>
      </c>
      <c r="V194" s="2">
        <v>22</v>
      </c>
      <c r="W194" s="1">
        <v>45474</v>
      </c>
      <c r="X194" s="1">
        <v>45838</v>
      </c>
      <c r="Y194" s="2">
        <v>14.8</v>
      </c>
      <c r="Z194" t="s">
        <v>1884</v>
      </c>
      <c r="AA194">
        <v>33</v>
      </c>
      <c r="AB194" s="2">
        <v>13.2</v>
      </c>
      <c r="AC194" s="2">
        <v>17.600000000000001</v>
      </c>
      <c r="AD194" t="s">
        <v>143</v>
      </c>
      <c r="AE194" s="1">
        <v>45108</v>
      </c>
      <c r="AF194" s="1">
        <v>45473</v>
      </c>
      <c r="AG194" t="b">
        <v>0</v>
      </c>
      <c r="AH194" t="b">
        <v>1</v>
      </c>
      <c r="AI194" t="b">
        <v>1</v>
      </c>
      <c r="AJ194" t="str">
        <f>IF(tblMergedCleaned[[#This Row],[Overall_Rating]]=
    "",
    "Unavailable",
    IF(tblMergedCleaned[[#This Row],[Overall_Rating]]&lt;=
        2,
        "Low (1-2)",
        IF(tblMergedCleaned[[#This Row],[Overall_Rating]]=
            3,
            "Middle (3)",
            "High (4-5)"
        )
    )
)</f>
        <v>Unavailable</v>
      </c>
      <c r="AK194" t="str" cm="1">
        <f t="array" ref="AK194">IF(
    tblMergedCleaned[[#This Row],[Overall_Rating]]="",
    "",
    --(tblMergedCleaned[[#This Row],[Overall_Rating]]&lt;=2)
)</f>
        <v/>
      </c>
      <c r="AL194">
        <f>IF(
    tblMergedCleaned[[#This Row],[Definitely_Recommend_Pct]]="",
    "",
    --(tblMergedCleaned[[#This Row],[Definitely_Recommend_Pct]]&lt;TX_Median_Recommend)
)</f>
        <v>0</v>
      </c>
      <c r="AM194">
        <f>IF(
    tblMergedCleaned[[#This Row],[Readmission_Comparison]]="",
    "",
    --(tblMergedCleaned[[#This Row],[Readmission_Comparison]]="Worse")
)</f>
        <v>0</v>
      </c>
      <c r="AN194">
        <f>COUNT(
    tblMergedCleaned[[#This Row],[Low_Rating_Flag]:[Worse_Readmission_Flag]]
)</f>
        <v>2</v>
      </c>
      <c r="AO194">
        <f>SUM(
    tblMergedCleaned[[#This Row],[Low_Rating_Flag]:[Worse_Readmission_Flag]]
)</f>
        <v>0</v>
      </c>
      <c r="AP19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9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94" s="2">
        <f>IF(
    tblMergedCleaned[[#This Row],[Definitely_Recommend_Pct]]="",
    "",
    tblMergedCleaned[[#This Row],[Definitely_Recommend_Pct]]-TX_Median_Recommend
)</f>
        <v>16</v>
      </c>
      <c r="AS194" s="2">
        <f>IF(
    tblMergedCleaned[[#This Row],[Readmission_Rate_Pct]]="",
    "",
    tblMergedCleaned[[#This Row],[Readmission_Rate_Pct]]-TX_Median_Readmission
)</f>
        <v>-9.9999999999999645E-2</v>
      </c>
    </row>
    <row r="195" spans="1:45">
      <c r="A195" t="s">
        <v>1176</v>
      </c>
      <c r="B195" t="s">
        <v>1177</v>
      </c>
      <c r="C195" t="s">
        <v>1178</v>
      </c>
      <c r="D195" t="s">
        <v>181</v>
      </c>
      <c r="E195" t="s">
        <v>18</v>
      </c>
      <c r="F195" t="s">
        <v>1179</v>
      </c>
      <c r="G195" t="s">
        <v>183</v>
      </c>
      <c r="H195" t="s">
        <v>1180</v>
      </c>
      <c r="I195" t="s">
        <v>21</v>
      </c>
      <c r="J195" t="s">
        <v>33</v>
      </c>
      <c r="K195" t="s">
        <v>23</v>
      </c>
      <c r="L195">
        <v>4</v>
      </c>
      <c r="M195" t="s">
        <v>34</v>
      </c>
      <c r="N195" t="s">
        <v>143</v>
      </c>
      <c r="O195" s="2">
        <v>77</v>
      </c>
      <c r="P195" s="2">
        <v>76</v>
      </c>
      <c r="Q195" s="2">
        <v>56</v>
      </c>
      <c r="R195" s="2">
        <v>83</v>
      </c>
      <c r="S195" s="2">
        <v>71</v>
      </c>
      <c r="T195" s="2">
        <v>70</v>
      </c>
      <c r="U195" t="s">
        <v>1823</v>
      </c>
      <c r="V195" s="2">
        <v>14</v>
      </c>
      <c r="W195" s="1">
        <v>45474</v>
      </c>
      <c r="X195" s="1">
        <v>45838</v>
      </c>
      <c r="Y195" s="2">
        <v>14.4</v>
      </c>
      <c r="Z195" t="s">
        <v>1884</v>
      </c>
      <c r="AA195">
        <v>268</v>
      </c>
      <c r="AB195" s="2">
        <v>13</v>
      </c>
      <c r="AC195" s="2">
        <v>16.3</v>
      </c>
      <c r="AD195" t="s">
        <v>143</v>
      </c>
      <c r="AE195" s="1">
        <v>45108</v>
      </c>
      <c r="AF195" s="1">
        <v>45473</v>
      </c>
      <c r="AG195" t="b">
        <v>1</v>
      </c>
      <c r="AH195" t="b">
        <v>1</v>
      </c>
      <c r="AI195" t="b">
        <v>1</v>
      </c>
      <c r="AJ195" t="str">
        <f>IF(tblMergedCleaned[[#This Row],[Overall_Rating]]=
    "",
    "Unavailable",
    IF(tblMergedCleaned[[#This Row],[Overall_Rating]]&lt;=
        2,
        "Low (1-2)",
        IF(tblMergedCleaned[[#This Row],[Overall_Rating]]=
            3,
            "Middle (3)",
            "High (4-5)"
        )
    )
)</f>
        <v>High (4-5)</v>
      </c>
      <c r="AK195" cm="1">
        <f t="array" ref="AK195">IF(
    tblMergedCleaned[[#This Row],[Overall_Rating]]="",
    "",
    --(tblMergedCleaned[[#This Row],[Overall_Rating]]&lt;=2)
)</f>
        <v>0</v>
      </c>
      <c r="AL195">
        <f>IF(
    tblMergedCleaned[[#This Row],[Definitely_Recommend_Pct]]="",
    "",
    --(tblMergedCleaned[[#This Row],[Definitely_Recommend_Pct]]&lt;TX_Median_Recommend)
)</f>
        <v>1</v>
      </c>
      <c r="AM195">
        <f>IF(
    tblMergedCleaned[[#This Row],[Readmission_Comparison]]="",
    "",
    --(tblMergedCleaned[[#This Row],[Readmission_Comparison]]="Worse")
)</f>
        <v>0</v>
      </c>
      <c r="AN195">
        <f>COUNT(
    tblMergedCleaned[[#This Row],[Low_Rating_Flag]:[Worse_Readmission_Flag]]
)</f>
        <v>3</v>
      </c>
      <c r="AO195">
        <f>SUM(
    tblMergedCleaned[[#This Row],[Low_Rating_Flag]:[Worse_Readmission_Flag]]
)</f>
        <v>1</v>
      </c>
      <c r="AP19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19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95" s="2">
        <f>IF(
    tblMergedCleaned[[#This Row],[Definitely_Recommend_Pct]]="",
    "",
    tblMergedCleaned[[#This Row],[Definitely_Recommend_Pct]]-TX_Median_Recommend
)</f>
        <v>-1</v>
      </c>
      <c r="AS195" s="2">
        <f>IF(
    tblMergedCleaned[[#This Row],[Readmission_Rate_Pct]]="",
    "",
    tblMergedCleaned[[#This Row],[Readmission_Rate_Pct]]-TX_Median_Readmission
)</f>
        <v>-0.5</v>
      </c>
    </row>
    <row r="196" spans="1:45">
      <c r="A196" t="s">
        <v>1181</v>
      </c>
      <c r="B196" t="s">
        <v>1182</v>
      </c>
      <c r="C196" t="s">
        <v>1183</v>
      </c>
      <c r="D196" t="s">
        <v>293</v>
      </c>
      <c r="E196" t="s">
        <v>18</v>
      </c>
      <c r="F196" t="s">
        <v>294</v>
      </c>
      <c r="G196" t="s">
        <v>295</v>
      </c>
      <c r="H196" t="s">
        <v>1184</v>
      </c>
      <c r="I196" t="s">
        <v>21</v>
      </c>
      <c r="J196" t="s">
        <v>81</v>
      </c>
      <c r="K196" t="s">
        <v>23</v>
      </c>
      <c r="L196">
        <v>3</v>
      </c>
      <c r="M196" t="s">
        <v>42</v>
      </c>
      <c r="N196" t="s">
        <v>25</v>
      </c>
      <c r="O196" s="2">
        <v>74</v>
      </c>
      <c r="P196" s="2">
        <v>78</v>
      </c>
      <c r="Q196" s="2">
        <v>56</v>
      </c>
      <c r="R196" s="2">
        <v>85</v>
      </c>
      <c r="S196" s="2">
        <v>70</v>
      </c>
      <c r="T196" s="2">
        <v>71</v>
      </c>
      <c r="U196" t="s">
        <v>1824</v>
      </c>
      <c r="V196" s="2">
        <v>20</v>
      </c>
      <c r="W196" s="1">
        <v>45474</v>
      </c>
      <c r="X196" s="1">
        <v>45838</v>
      </c>
      <c r="Y196" s="2">
        <v>15.6</v>
      </c>
      <c r="Z196" t="s">
        <v>1884</v>
      </c>
      <c r="AA196">
        <v>1153</v>
      </c>
      <c r="AB196" s="2">
        <v>14.5</v>
      </c>
      <c r="AC196" s="2">
        <v>17</v>
      </c>
      <c r="AD196" t="s">
        <v>25</v>
      </c>
      <c r="AE196" s="1">
        <v>45108</v>
      </c>
      <c r="AF196" s="1">
        <v>45473</v>
      </c>
      <c r="AG196" t="b">
        <v>1</v>
      </c>
      <c r="AH196" t="b">
        <v>1</v>
      </c>
      <c r="AI196" t="b">
        <v>1</v>
      </c>
      <c r="AJ196" t="str">
        <f>IF(tblMergedCleaned[[#This Row],[Overall_Rating]]=
    "",
    "Unavailable",
    IF(tblMergedCleaned[[#This Row],[Overall_Rating]]&lt;=
        2,
        "Low (1-2)",
        IF(tblMergedCleaned[[#This Row],[Overall_Rating]]=
            3,
            "Middle (3)",
            "High (4-5)"
        )
    )
)</f>
        <v>Middle (3)</v>
      </c>
      <c r="AK196" cm="1">
        <f t="array" ref="AK196">IF(
    tblMergedCleaned[[#This Row],[Overall_Rating]]="",
    "",
    --(tblMergedCleaned[[#This Row],[Overall_Rating]]&lt;=2)
)</f>
        <v>0</v>
      </c>
      <c r="AL196">
        <f>IF(
    tblMergedCleaned[[#This Row],[Definitely_Recommend_Pct]]="",
    "",
    --(tblMergedCleaned[[#This Row],[Definitely_Recommend_Pct]]&lt;TX_Median_Recommend)
)</f>
        <v>0</v>
      </c>
      <c r="AM196">
        <f>IF(
    tblMergedCleaned[[#This Row],[Readmission_Comparison]]="",
    "",
    --(tblMergedCleaned[[#This Row],[Readmission_Comparison]]="Worse")
)</f>
        <v>0</v>
      </c>
      <c r="AN196">
        <f>COUNT(
    tblMergedCleaned[[#This Row],[Low_Rating_Flag]:[Worse_Readmission_Flag]]
)</f>
        <v>3</v>
      </c>
      <c r="AO196">
        <f>SUM(
    tblMergedCleaned[[#This Row],[Low_Rating_Flag]:[Worse_Readmission_Flag]]
)</f>
        <v>0</v>
      </c>
      <c r="AP19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19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196" s="2">
        <f>IF(
    tblMergedCleaned[[#This Row],[Definitely_Recommend_Pct]]="",
    "",
    tblMergedCleaned[[#This Row],[Definitely_Recommend_Pct]]-TX_Median_Recommend
)</f>
        <v>0</v>
      </c>
      <c r="AS196" s="2">
        <f>IF(
    tblMergedCleaned[[#This Row],[Readmission_Rate_Pct]]="",
    "",
    tblMergedCleaned[[#This Row],[Readmission_Rate_Pct]]-TX_Median_Readmission
)</f>
        <v>0.69999999999999929</v>
      </c>
    </row>
    <row r="197" spans="1:45">
      <c r="A197" t="s">
        <v>1185</v>
      </c>
      <c r="B197" t="s">
        <v>1186</v>
      </c>
      <c r="C197" t="s">
        <v>1187</v>
      </c>
      <c r="D197" t="s">
        <v>195</v>
      </c>
      <c r="E197" t="s">
        <v>18</v>
      </c>
      <c r="F197" t="s">
        <v>1188</v>
      </c>
      <c r="G197" t="s">
        <v>128</v>
      </c>
      <c r="H197" t="s">
        <v>1189</v>
      </c>
      <c r="I197" t="s">
        <v>21</v>
      </c>
      <c r="J197" t="s">
        <v>81</v>
      </c>
      <c r="K197" t="s">
        <v>23</v>
      </c>
      <c r="M197" t="s">
        <v>176</v>
      </c>
      <c r="N197" t="s">
        <v>177</v>
      </c>
      <c r="O197" s="2">
        <v>75</v>
      </c>
      <c r="P197" s="2">
        <v>81</v>
      </c>
      <c r="Q197" s="2">
        <v>60</v>
      </c>
      <c r="R197" s="2">
        <v>79</v>
      </c>
      <c r="S197" s="2">
        <v>67</v>
      </c>
      <c r="T197" s="2">
        <v>66</v>
      </c>
      <c r="U197" t="s">
        <v>1825</v>
      </c>
      <c r="V197" s="2">
        <v>25</v>
      </c>
      <c r="W197" s="1">
        <v>45474</v>
      </c>
      <c r="X197" s="1">
        <v>45838</v>
      </c>
      <c r="Y197" s="2">
        <v>14.8</v>
      </c>
      <c r="Z197" t="s">
        <v>1884</v>
      </c>
      <c r="AA197">
        <v>83</v>
      </c>
      <c r="AB197" s="2">
        <v>12.4</v>
      </c>
      <c r="AC197" s="2">
        <v>17.600000000000001</v>
      </c>
      <c r="AD197" t="s">
        <v>25</v>
      </c>
      <c r="AE197" s="1">
        <v>45108</v>
      </c>
      <c r="AF197" s="1">
        <v>45473</v>
      </c>
      <c r="AG197" t="b">
        <v>0</v>
      </c>
      <c r="AH197" t="b">
        <v>1</v>
      </c>
      <c r="AI197" t="b">
        <v>1</v>
      </c>
      <c r="AJ197" t="str">
        <f>IF(tblMergedCleaned[[#This Row],[Overall_Rating]]=
    "",
    "Unavailable",
    IF(tblMergedCleaned[[#This Row],[Overall_Rating]]&lt;=
        2,
        "Low (1-2)",
        IF(tblMergedCleaned[[#This Row],[Overall_Rating]]=
            3,
            "Middle (3)",
            "High (4-5)"
        )
    )
)</f>
        <v>Unavailable</v>
      </c>
      <c r="AK197" t="str" cm="1">
        <f t="array" ref="AK197">IF(
    tblMergedCleaned[[#This Row],[Overall_Rating]]="",
    "",
    --(tblMergedCleaned[[#This Row],[Overall_Rating]]&lt;=2)
)</f>
        <v/>
      </c>
      <c r="AL197">
        <f>IF(
    tblMergedCleaned[[#This Row],[Definitely_Recommend_Pct]]="",
    "",
    --(tblMergedCleaned[[#This Row],[Definitely_Recommend_Pct]]&lt;TX_Median_Recommend)
)</f>
        <v>1</v>
      </c>
      <c r="AM197">
        <f>IF(
    tblMergedCleaned[[#This Row],[Readmission_Comparison]]="",
    "",
    --(tblMergedCleaned[[#This Row],[Readmission_Comparison]]="Worse")
)</f>
        <v>0</v>
      </c>
      <c r="AN197">
        <f>COUNT(
    tblMergedCleaned[[#This Row],[Low_Rating_Flag]:[Worse_Readmission_Flag]]
)</f>
        <v>2</v>
      </c>
      <c r="AO197">
        <f>SUM(
    tblMergedCleaned[[#This Row],[Low_Rating_Flag]:[Worse_Readmission_Flag]]
)</f>
        <v>1</v>
      </c>
      <c r="AP19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9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197" s="2">
        <f>IF(
    tblMergedCleaned[[#This Row],[Definitely_Recommend_Pct]]="",
    "",
    tblMergedCleaned[[#This Row],[Definitely_Recommend_Pct]]-TX_Median_Recommend
)</f>
        <v>-5</v>
      </c>
      <c r="AS197" s="2">
        <f>IF(
    tblMergedCleaned[[#This Row],[Readmission_Rate_Pct]]="",
    "",
    tblMergedCleaned[[#This Row],[Readmission_Rate_Pct]]-TX_Median_Readmission
)</f>
        <v>-9.9999999999999645E-2</v>
      </c>
    </row>
    <row r="198" spans="1:45">
      <c r="A198" t="s">
        <v>1190</v>
      </c>
      <c r="B198" t="s">
        <v>1191</v>
      </c>
      <c r="C198" t="s">
        <v>1192</v>
      </c>
      <c r="D198" t="s">
        <v>213</v>
      </c>
      <c r="E198" t="s">
        <v>18</v>
      </c>
      <c r="F198" t="s">
        <v>1193</v>
      </c>
      <c r="G198" t="s">
        <v>53</v>
      </c>
      <c r="H198" t="s">
        <v>1194</v>
      </c>
      <c r="I198" t="s">
        <v>21</v>
      </c>
      <c r="J198" t="s">
        <v>22</v>
      </c>
      <c r="K198" t="s">
        <v>23</v>
      </c>
      <c r="M198" t="s">
        <v>176</v>
      </c>
      <c r="N198" t="s">
        <v>177</v>
      </c>
      <c r="O198" s="2">
        <v>78</v>
      </c>
      <c r="P198" s="2">
        <v>82</v>
      </c>
      <c r="Q198" s="2">
        <v>55</v>
      </c>
      <c r="R198" s="2">
        <v>88</v>
      </c>
      <c r="S198" s="2">
        <v>73</v>
      </c>
      <c r="T198" s="2">
        <v>76</v>
      </c>
      <c r="U198" t="s">
        <v>1826</v>
      </c>
      <c r="V198" s="2">
        <v>31</v>
      </c>
      <c r="W198" s="1">
        <v>45474</v>
      </c>
      <c r="X198" s="1">
        <v>45838</v>
      </c>
      <c r="Y198" s="2">
        <v>14.9</v>
      </c>
      <c r="Z198" t="s">
        <v>1884</v>
      </c>
      <c r="AA198">
        <v>105</v>
      </c>
      <c r="AB198" s="2">
        <v>11.9</v>
      </c>
      <c r="AC198" s="2">
        <v>18.7</v>
      </c>
      <c r="AD198" t="s">
        <v>25</v>
      </c>
      <c r="AE198" s="1">
        <v>45108</v>
      </c>
      <c r="AF198" s="1">
        <v>45473</v>
      </c>
      <c r="AG198" t="b">
        <v>0</v>
      </c>
      <c r="AH198" t="b">
        <v>1</v>
      </c>
      <c r="AI198" t="b">
        <v>1</v>
      </c>
      <c r="AJ198" t="str">
        <f>IF(tblMergedCleaned[[#This Row],[Overall_Rating]]=
    "",
    "Unavailable",
    IF(tblMergedCleaned[[#This Row],[Overall_Rating]]&lt;=
        2,
        "Low (1-2)",
        IF(tblMergedCleaned[[#This Row],[Overall_Rating]]=
            3,
            "Middle (3)",
            "High (4-5)"
        )
    )
)</f>
        <v>Unavailable</v>
      </c>
      <c r="AK198" t="str" cm="1">
        <f t="array" ref="AK198">IF(
    tblMergedCleaned[[#This Row],[Overall_Rating]]="",
    "",
    --(tblMergedCleaned[[#This Row],[Overall_Rating]]&lt;=2)
)</f>
        <v/>
      </c>
      <c r="AL198">
        <f>IF(
    tblMergedCleaned[[#This Row],[Definitely_Recommend_Pct]]="",
    "",
    --(tblMergedCleaned[[#This Row],[Definitely_Recommend_Pct]]&lt;TX_Median_Recommend)
)</f>
        <v>0</v>
      </c>
      <c r="AM198">
        <f>IF(
    tblMergedCleaned[[#This Row],[Readmission_Comparison]]="",
    "",
    --(tblMergedCleaned[[#This Row],[Readmission_Comparison]]="Worse")
)</f>
        <v>0</v>
      </c>
      <c r="AN198">
        <f>COUNT(
    tblMergedCleaned[[#This Row],[Low_Rating_Flag]:[Worse_Readmission_Flag]]
)</f>
        <v>2</v>
      </c>
      <c r="AO198">
        <f>SUM(
    tblMergedCleaned[[#This Row],[Low_Rating_Flag]:[Worse_Readmission_Flag]]
)</f>
        <v>0</v>
      </c>
      <c r="AP19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9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198" s="2">
        <f>IF(
    tblMergedCleaned[[#This Row],[Definitely_Recommend_Pct]]="",
    "",
    tblMergedCleaned[[#This Row],[Definitely_Recommend_Pct]]-TX_Median_Recommend
)</f>
        <v>5</v>
      </c>
      <c r="AS198" s="2">
        <f>IF(
    tblMergedCleaned[[#This Row],[Readmission_Rate_Pct]]="",
    "",
    tblMergedCleaned[[#This Row],[Readmission_Rate_Pct]]-TX_Median_Readmission
)</f>
        <v>0</v>
      </c>
    </row>
    <row r="199" spans="1:45">
      <c r="A199" t="s">
        <v>1195</v>
      </c>
      <c r="B199" t="s">
        <v>1196</v>
      </c>
      <c r="C199" t="s">
        <v>1197</v>
      </c>
      <c r="D199" t="s">
        <v>434</v>
      </c>
      <c r="E199" t="s">
        <v>18</v>
      </c>
      <c r="F199" t="s">
        <v>1198</v>
      </c>
      <c r="G199" t="s">
        <v>436</v>
      </c>
      <c r="H199" t="s">
        <v>1199</v>
      </c>
      <c r="I199" t="s">
        <v>21</v>
      </c>
      <c r="J199" t="s">
        <v>22</v>
      </c>
      <c r="K199" t="s">
        <v>23</v>
      </c>
      <c r="M199" t="s">
        <v>176</v>
      </c>
      <c r="N199" t="s">
        <v>177</v>
      </c>
      <c r="O199" s="2">
        <v>88</v>
      </c>
      <c r="P199" s="2">
        <v>85</v>
      </c>
      <c r="Q199" s="2">
        <v>74</v>
      </c>
      <c r="R199" s="2">
        <v>91</v>
      </c>
      <c r="S199" s="2">
        <v>90</v>
      </c>
      <c r="T199" s="2">
        <v>90</v>
      </c>
      <c r="U199" t="s">
        <v>1827</v>
      </c>
      <c r="V199" s="2">
        <v>44</v>
      </c>
      <c r="W199" s="1">
        <v>45474</v>
      </c>
      <c r="X199" s="1">
        <v>45838</v>
      </c>
      <c r="Y199" s="2">
        <v>14.3</v>
      </c>
      <c r="Z199" t="s">
        <v>1884</v>
      </c>
      <c r="AA199">
        <v>181</v>
      </c>
      <c r="AB199" s="2">
        <v>11.7</v>
      </c>
      <c r="AC199" s="2">
        <v>17.8</v>
      </c>
      <c r="AD199" t="s">
        <v>25</v>
      </c>
      <c r="AE199" s="1">
        <v>45108</v>
      </c>
      <c r="AF199" s="1">
        <v>45473</v>
      </c>
      <c r="AG199" t="b">
        <v>0</v>
      </c>
      <c r="AH199" t="b">
        <v>1</v>
      </c>
      <c r="AI199" t="b">
        <v>1</v>
      </c>
      <c r="AJ199" t="str">
        <f>IF(tblMergedCleaned[[#This Row],[Overall_Rating]]=
    "",
    "Unavailable",
    IF(tblMergedCleaned[[#This Row],[Overall_Rating]]&lt;=
        2,
        "Low (1-2)",
        IF(tblMergedCleaned[[#This Row],[Overall_Rating]]=
            3,
            "Middle (3)",
            "High (4-5)"
        )
    )
)</f>
        <v>Unavailable</v>
      </c>
      <c r="AK199" t="str" cm="1">
        <f t="array" ref="AK199">IF(
    tblMergedCleaned[[#This Row],[Overall_Rating]]="",
    "",
    --(tblMergedCleaned[[#This Row],[Overall_Rating]]&lt;=2)
)</f>
        <v/>
      </c>
      <c r="AL199">
        <f>IF(
    tblMergedCleaned[[#This Row],[Definitely_Recommend_Pct]]="",
    "",
    --(tblMergedCleaned[[#This Row],[Definitely_Recommend_Pct]]&lt;TX_Median_Recommend)
)</f>
        <v>0</v>
      </c>
      <c r="AM199">
        <f>IF(
    tblMergedCleaned[[#This Row],[Readmission_Comparison]]="",
    "",
    --(tblMergedCleaned[[#This Row],[Readmission_Comparison]]="Worse")
)</f>
        <v>0</v>
      </c>
      <c r="AN199">
        <f>COUNT(
    tblMergedCleaned[[#This Row],[Low_Rating_Flag]:[Worse_Readmission_Flag]]
)</f>
        <v>2</v>
      </c>
      <c r="AO199">
        <f>SUM(
    tblMergedCleaned[[#This Row],[Low_Rating_Flag]:[Worse_Readmission_Flag]]
)</f>
        <v>0</v>
      </c>
      <c r="AP19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19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199" s="2">
        <f>IF(
    tblMergedCleaned[[#This Row],[Definitely_Recommend_Pct]]="",
    "",
    tblMergedCleaned[[#This Row],[Definitely_Recommend_Pct]]-TX_Median_Recommend
)</f>
        <v>19</v>
      </c>
      <c r="AS199" s="2">
        <f>IF(
    tblMergedCleaned[[#This Row],[Readmission_Rate_Pct]]="",
    "",
    tblMergedCleaned[[#This Row],[Readmission_Rate_Pct]]-TX_Median_Readmission
)</f>
        <v>-0.59999999999999964</v>
      </c>
    </row>
    <row r="200" spans="1:45">
      <c r="A200" t="s">
        <v>1200</v>
      </c>
      <c r="B200" t="s">
        <v>1201</v>
      </c>
      <c r="C200" t="s">
        <v>1202</v>
      </c>
      <c r="D200" t="s">
        <v>133</v>
      </c>
      <c r="E200" t="s">
        <v>18</v>
      </c>
      <c r="F200" t="s">
        <v>1203</v>
      </c>
      <c r="G200" t="s">
        <v>133</v>
      </c>
      <c r="H200" t="s">
        <v>1204</v>
      </c>
      <c r="I200" t="s">
        <v>21</v>
      </c>
      <c r="J200" t="s">
        <v>56</v>
      </c>
      <c r="K200" t="s">
        <v>23</v>
      </c>
      <c r="L200">
        <v>2</v>
      </c>
      <c r="M200" t="s">
        <v>24</v>
      </c>
      <c r="N200" t="s">
        <v>25</v>
      </c>
      <c r="O200" s="2">
        <v>81</v>
      </c>
      <c r="P200" s="2">
        <v>82</v>
      </c>
      <c r="Q200" s="2">
        <v>62</v>
      </c>
      <c r="R200" s="2">
        <v>84</v>
      </c>
      <c r="S200" s="2">
        <v>82</v>
      </c>
      <c r="T200" s="2">
        <v>83</v>
      </c>
      <c r="U200" t="s">
        <v>1828</v>
      </c>
      <c r="V200" s="2">
        <v>33</v>
      </c>
      <c r="W200" s="1">
        <v>45474</v>
      </c>
      <c r="X200" s="1">
        <v>45838</v>
      </c>
      <c r="Y200" s="2">
        <v>15.4</v>
      </c>
      <c r="Z200" t="s">
        <v>1884</v>
      </c>
      <c r="AA200">
        <v>512</v>
      </c>
      <c r="AB200" s="2">
        <v>13.8</v>
      </c>
      <c r="AC200" s="2">
        <v>17.2</v>
      </c>
      <c r="AD200" t="s">
        <v>25</v>
      </c>
      <c r="AE200" s="1">
        <v>45108</v>
      </c>
      <c r="AF200" s="1">
        <v>45473</v>
      </c>
      <c r="AG200" t="b">
        <v>1</v>
      </c>
      <c r="AH200" t="b">
        <v>1</v>
      </c>
      <c r="AI200" t="b">
        <v>1</v>
      </c>
      <c r="AJ200" t="str">
        <f>IF(tblMergedCleaned[[#This Row],[Overall_Rating]]=
    "",
    "Unavailable",
    IF(tblMergedCleaned[[#This Row],[Overall_Rating]]&lt;=
        2,
        "Low (1-2)",
        IF(tblMergedCleaned[[#This Row],[Overall_Rating]]=
            3,
            "Middle (3)",
            "High (4-5)"
        )
    )
)</f>
        <v>Low (1-2)</v>
      </c>
      <c r="AK200" cm="1">
        <f t="array" ref="AK200">IF(
    tblMergedCleaned[[#This Row],[Overall_Rating]]="",
    "",
    --(tblMergedCleaned[[#This Row],[Overall_Rating]]&lt;=2)
)</f>
        <v>1</v>
      </c>
      <c r="AL200">
        <f>IF(
    tblMergedCleaned[[#This Row],[Definitely_Recommend_Pct]]="",
    "",
    --(tblMergedCleaned[[#This Row],[Definitely_Recommend_Pct]]&lt;TX_Median_Recommend)
)</f>
        <v>0</v>
      </c>
      <c r="AM200">
        <f>IF(
    tblMergedCleaned[[#This Row],[Readmission_Comparison]]="",
    "",
    --(tblMergedCleaned[[#This Row],[Readmission_Comparison]]="Worse")
)</f>
        <v>0</v>
      </c>
      <c r="AN200">
        <f>COUNT(
    tblMergedCleaned[[#This Row],[Low_Rating_Flag]:[Worse_Readmission_Flag]]
)</f>
        <v>3</v>
      </c>
      <c r="AO200">
        <f>SUM(
    tblMergedCleaned[[#This Row],[Low_Rating_Flag]:[Worse_Readmission_Flag]]
)</f>
        <v>1</v>
      </c>
      <c r="AP20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20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00" s="2">
        <f>IF(
    tblMergedCleaned[[#This Row],[Definitely_Recommend_Pct]]="",
    "",
    tblMergedCleaned[[#This Row],[Definitely_Recommend_Pct]]-TX_Median_Recommend
)</f>
        <v>12</v>
      </c>
      <c r="AS200" s="2">
        <f>IF(
    tblMergedCleaned[[#This Row],[Readmission_Rate_Pct]]="",
    "",
    tblMergedCleaned[[#This Row],[Readmission_Rate_Pct]]-TX_Median_Readmission
)</f>
        <v>0.5</v>
      </c>
    </row>
    <row r="201" spans="1:45">
      <c r="A201" t="s">
        <v>1205</v>
      </c>
      <c r="B201" t="s">
        <v>1206</v>
      </c>
      <c r="C201" t="s">
        <v>1207</v>
      </c>
      <c r="D201" t="s">
        <v>126</v>
      </c>
      <c r="E201" t="s">
        <v>18</v>
      </c>
      <c r="F201" t="s">
        <v>1208</v>
      </c>
      <c r="G201" t="s">
        <v>128</v>
      </c>
      <c r="H201" t="s">
        <v>1209</v>
      </c>
      <c r="I201" t="s">
        <v>21</v>
      </c>
      <c r="J201" t="s">
        <v>81</v>
      </c>
      <c r="K201" t="s">
        <v>23</v>
      </c>
      <c r="M201" t="s">
        <v>176</v>
      </c>
      <c r="N201" t="s">
        <v>177</v>
      </c>
      <c r="O201" s="2">
        <v>78</v>
      </c>
      <c r="P201" s="2">
        <v>85</v>
      </c>
      <c r="Q201" s="2">
        <v>62</v>
      </c>
      <c r="R201" s="2">
        <v>88</v>
      </c>
      <c r="S201" s="2">
        <v>77</v>
      </c>
      <c r="T201" s="2">
        <v>76</v>
      </c>
      <c r="U201" t="s">
        <v>1829</v>
      </c>
      <c r="V201" s="2">
        <v>33</v>
      </c>
      <c r="W201" s="1">
        <v>45474</v>
      </c>
      <c r="X201" s="1">
        <v>45838</v>
      </c>
      <c r="Y201" s="2">
        <v>14.8</v>
      </c>
      <c r="Z201" t="s">
        <v>1884</v>
      </c>
      <c r="AA201">
        <v>342</v>
      </c>
      <c r="AB201" s="2">
        <v>12.3</v>
      </c>
      <c r="AC201" s="2">
        <v>17.8</v>
      </c>
      <c r="AD201" t="s">
        <v>25</v>
      </c>
      <c r="AE201" s="1">
        <v>45108</v>
      </c>
      <c r="AF201" s="1">
        <v>45473</v>
      </c>
      <c r="AG201" t="b">
        <v>0</v>
      </c>
      <c r="AH201" t="b">
        <v>1</v>
      </c>
      <c r="AI201" t="b">
        <v>1</v>
      </c>
      <c r="AJ201" t="str">
        <f>IF(tblMergedCleaned[[#This Row],[Overall_Rating]]=
    "",
    "Unavailable",
    IF(tblMergedCleaned[[#This Row],[Overall_Rating]]&lt;=
        2,
        "Low (1-2)",
        IF(tblMergedCleaned[[#This Row],[Overall_Rating]]=
            3,
            "Middle (3)",
            "High (4-5)"
        )
    )
)</f>
        <v>Unavailable</v>
      </c>
      <c r="AK201" t="str" cm="1">
        <f t="array" ref="AK201">IF(
    tblMergedCleaned[[#This Row],[Overall_Rating]]="",
    "",
    --(tblMergedCleaned[[#This Row],[Overall_Rating]]&lt;=2)
)</f>
        <v/>
      </c>
      <c r="AL201">
        <f>IF(
    tblMergedCleaned[[#This Row],[Definitely_Recommend_Pct]]="",
    "",
    --(tblMergedCleaned[[#This Row],[Definitely_Recommend_Pct]]&lt;TX_Median_Recommend)
)</f>
        <v>0</v>
      </c>
      <c r="AM201">
        <f>IF(
    tblMergedCleaned[[#This Row],[Readmission_Comparison]]="",
    "",
    --(tblMergedCleaned[[#This Row],[Readmission_Comparison]]="Worse")
)</f>
        <v>0</v>
      </c>
      <c r="AN201">
        <f>COUNT(
    tblMergedCleaned[[#This Row],[Low_Rating_Flag]:[Worse_Readmission_Flag]]
)</f>
        <v>2</v>
      </c>
      <c r="AO201">
        <f>SUM(
    tblMergedCleaned[[#This Row],[Low_Rating_Flag]:[Worse_Readmission_Flag]]
)</f>
        <v>0</v>
      </c>
      <c r="AP20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0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01" s="2">
        <f>IF(
    tblMergedCleaned[[#This Row],[Definitely_Recommend_Pct]]="",
    "",
    tblMergedCleaned[[#This Row],[Definitely_Recommend_Pct]]-TX_Median_Recommend
)</f>
        <v>5</v>
      </c>
      <c r="AS201" s="2">
        <f>IF(
    tblMergedCleaned[[#This Row],[Readmission_Rate_Pct]]="",
    "",
    tblMergedCleaned[[#This Row],[Readmission_Rate_Pct]]-TX_Median_Readmission
)</f>
        <v>-9.9999999999999645E-2</v>
      </c>
    </row>
    <row r="202" spans="1:45">
      <c r="A202" t="s">
        <v>1210</v>
      </c>
      <c r="B202" t="s">
        <v>1211</v>
      </c>
      <c r="C202" t="s">
        <v>1212</v>
      </c>
      <c r="D202" t="s">
        <v>1213</v>
      </c>
      <c r="E202" t="s">
        <v>18</v>
      </c>
      <c r="F202" t="s">
        <v>1214</v>
      </c>
      <c r="G202" t="s">
        <v>808</v>
      </c>
      <c r="H202" t="s">
        <v>1215</v>
      </c>
      <c r="I202" t="s">
        <v>21</v>
      </c>
      <c r="J202" t="s">
        <v>22</v>
      </c>
      <c r="K202" t="s">
        <v>23</v>
      </c>
      <c r="M202" t="s">
        <v>176</v>
      </c>
      <c r="N202" t="s">
        <v>177</v>
      </c>
      <c r="O202" s="2">
        <v>76</v>
      </c>
      <c r="P202" s="2">
        <v>82</v>
      </c>
      <c r="Q202" s="2">
        <v>55</v>
      </c>
      <c r="R202" s="2">
        <v>87</v>
      </c>
      <c r="S202" s="2">
        <v>72</v>
      </c>
      <c r="T202" s="2">
        <v>73</v>
      </c>
      <c r="U202" t="s">
        <v>1830</v>
      </c>
      <c r="V202" s="2">
        <v>22</v>
      </c>
      <c r="W202" s="1">
        <v>45474</v>
      </c>
      <c r="X202" s="1">
        <v>45838</v>
      </c>
      <c r="Y202" s="2">
        <v>14.6</v>
      </c>
      <c r="Z202" t="s">
        <v>1884</v>
      </c>
      <c r="AA202">
        <v>74</v>
      </c>
      <c r="AB202" s="2">
        <v>11.7</v>
      </c>
      <c r="AC202" s="2">
        <v>18</v>
      </c>
      <c r="AD202" t="s">
        <v>25</v>
      </c>
      <c r="AE202" s="1">
        <v>45108</v>
      </c>
      <c r="AF202" s="1">
        <v>45473</v>
      </c>
      <c r="AG202" t="b">
        <v>0</v>
      </c>
      <c r="AH202" t="b">
        <v>1</v>
      </c>
      <c r="AI202" t="b">
        <v>1</v>
      </c>
      <c r="AJ202" t="str">
        <f>IF(tblMergedCleaned[[#This Row],[Overall_Rating]]=
    "",
    "Unavailable",
    IF(tblMergedCleaned[[#This Row],[Overall_Rating]]&lt;=
        2,
        "Low (1-2)",
        IF(tblMergedCleaned[[#This Row],[Overall_Rating]]=
            3,
            "Middle (3)",
            "High (4-5)"
        )
    )
)</f>
        <v>Unavailable</v>
      </c>
      <c r="AK202" t="str" cm="1">
        <f t="array" ref="AK202">IF(
    tblMergedCleaned[[#This Row],[Overall_Rating]]="",
    "",
    --(tblMergedCleaned[[#This Row],[Overall_Rating]]&lt;=2)
)</f>
        <v/>
      </c>
      <c r="AL202">
        <f>IF(
    tblMergedCleaned[[#This Row],[Definitely_Recommend_Pct]]="",
    "",
    --(tblMergedCleaned[[#This Row],[Definitely_Recommend_Pct]]&lt;TX_Median_Recommend)
)</f>
        <v>0</v>
      </c>
      <c r="AM202">
        <f>IF(
    tblMergedCleaned[[#This Row],[Readmission_Comparison]]="",
    "",
    --(tblMergedCleaned[[#This Row],[Readmission_Comparison]]="Worse")
)</f>
        <v>0</v>
      </c>
      <c r="AN202">
        <f>COUNT(
    tblMergedCleaned[[#This Row],[Low_Rating_Flag]:[Worse_Readmission_Flag]]
)</f>
        <v>2</v>
      </c>
      <c r="AO202">
        <f>SUM(
    tblMergedCleaned[[#This Row],[Low_Rating_Flag]:[Worse_Readmission_Flag]]
)</f>
        <v>0</v>
      </c>
      <c r="AP20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0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02" s="2">
        <f>IF(
    tblMergedCleaned[[#This Row],[Definitely_Recommend_Pct]]="",
    "",
    tblMergedCleaned[[#This Row],[Definitely_Recommend_Pct]]-TX_Median_Recommend
)</f>
        <v>2</v>
      </c>
      <c r="AS202" s="2">
        <f>IF(
    tblMergedCleaned[[#This Row],[Readmission_Rate_Pct]]="",
    "",
    tblMergedCleaned[[#This Row],[Readmission_Rate_Pct]]-TX_Median_Readmission
)</f>
        <v>-0.30000000000000071</v>
      </c>
    </row>
    <row r="203" spans="1:45">
      <c r="A203" t="s">
        <v>1216</v>
      </c>
      <c r="B203" t="s">
        <v>1217</v>
      </c>
      <c r="C203" t="s">
        <v>1218</v>
      </c>
      <c r="D203" t="s">
        <v>1145</v>
      </c>
      <c r="E203" t="s">
        <v>18</v>
      </c>
      <c r="F203" t="s">
        <v>1219</v>
      </c>
      <c r="G203" t="s">
        <v>629</v>
      </c>
      <c r="H203" t="s">
        <v>1220</v>
      </c>
      <c r="I203" t="s">
        <v>21</v>
      </c>
      <c r="J203" t="s">
        <v>75</v>
      </c>
      <c r="K203" t="s">
        <v>23</v>
      </c>
      <c r="L203">
        <v>5</v>
      </c>
      <c r="M203" t="s">
        <v>168</v>
      </c>
      <c r="N203" t="s">
        <v>25</v>
      </c>
      <c r="O203" s="2">
        <v>79</v>
      </c>
      <c r="P203" s="2">
        <v>79</v>
      </c>
      <c r="Q203" s="2">
        <v>66</v>
      </c>
      <c r="R203" s="2">
        <v>88</v>
      </c>
      <c r="S203" s="2">
        <v>75</v>
      </c>
      <c r="T203" s="2">
        <v>75</v>
      </c>
      <c r="U203" t="s">
        <v>1831</v>
      </c>
      <c r="V203" s="2">
        <v>12</v>
      </c>
      <c r="W203" s="1">
        <v>45474</v>
      </c>
      <c r="X203" s="1">
        <v>45838</v>
      </c>
      <c r="Y203" s="2">
        <v>13.9</v>
      </c>
      <c r="Z203" t="s">
        <v>1884</v>
      </c>
      <c r="AA203">
        <v>831</v>
      </c>
      <c r="AB203" s="2">
        <v>12.6</v>
      </c>
      <c r="AC203" s="2">
        <v>15.3</v>
      </c>
      <c r="AD203" t="s">
        <v>25</v>
      </c>
      <c r="AE203" s="1">
        <v>45108</v>
      </c>
      <c r="AF203" s="1">
        <v>45473</v>
      </c>
      <c r="AG203" t="b">
        <v>1</v>
      </c>
      <c r="AH203" t="b">
        <v>1</v>
      </c>
      <c r="AI203" t="b">
        <v>1</v>
      </c>
      <c r="AJ203" t="str">
        <f>IF(tblMergedCleaned[[#This Row],[Overall_Rating]]=
    "",
    "Unavailable",
    IF(tblMergedCleaned[[#This Row],[Overall_Rating]]&lt;=
        2,
        "Low (1-2)",
        IF(tblMergedCleaned[[#This Row],[Overall_Rating]]=
            3,
            "Middle (3)",
            "High (4-5)"
        )
    )
)</f>
        <v>High (4-5)</v>
      </c>
      <c r="AK203" cm="1">
        <f t="array" ref="AK203">IF(
    tblMergedCleaned[[#This Row],[Overall_Rating]]="",
    "",
    --(tblMergedCleaned[[#This Row],[Overall_Rating]]&lt;=2)
)</f>
        <v>0</v>
      </c>
      <c r="AL203">
        <f>IF(
    tblMergedCleaned[[#This Row],[Definitely_Recommend_Pct]]="",
    "",
    --(tblMergedCleaned[[#This Row],[Definitely_Recommend_Pct]]&lt;TX_Median_Recommend)
)</f>
        <v>0</v>
      </c>
      <c r="AM203">
        <f>IF(
    tblMergedCleaned[[#This Row],[Readmission_Comparison]]="",
    "",
    --(tblMergedCleaned[[#This Row],[Readmission_Comparison]]="Worse")
)</f>
        <v>0</v>
      </c>
      <c r="AN203">
        <f>COUNT(
    tblMergedCleaned[[#This Row],[Low_Rating_Flag]:[Worse_Readmission_Flag]]
)</f>
        <v>3</v>
      </c>
      <c r="AO203">
        <f>SUM(
    tblMergedCleaned[[#This Row],[Low_Rating_Flag]:[Worse_Readmission_Flag]]
)</f>
        <v>0</v>
      </c>
      <c r="AP20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0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03" s="2">
        <f>IF(
    tblMergedCleaned[[#This Row],[Definitely_Recommend_Pct]]="",
    "",
    tblMergedCleaned[[#This Row],[Definitely_Recommend_Pct]]-TX_Median_Recommend
)</f>
        <v>4</v>
      </c>
      <c r="AS203" s="2">
        <f>IF(
    tblMergedCleaned[[#This Row],[Readmission_Rate_Pct]]="",
    "",
    tblMergedCleaned[[#This Row],[Readmission_Rate_Pct]]-TX_Median_Readmission
)</f>
        <v>-1</v>
      </c>
    </row>
    <row r="204" spans="1:45">
      <c r="A204" t="s">
        <v>1221</v>
      </c>
      <c r="B204" t="s">
        <v>1222</v>
      </c>
      <c r="C204" t="s">
        <v>1223</v>
      </c>
      <c r="D204" t="s">
        <v>1224</v>
      </c>
      <c r="E204" t="s">
        <v>18</v>
      </c>
      <c r="F204" t="s">
        <v>1225</v>
      </c>
      <c r="G204" t="s">
        <v>128</v>
      </c>
      <c r="H204" t="s">
        <v>1226</v>
      </c>
      <c r="I204" t="s">
        <v>21</v>
      </c>
      <c r="J204" t="s">
        <v>22</v>
      </c>
      <c r="K204" t="s">
        <v>23</v>
      </c>
      <c r="M204" t="s">
        <v>176</v>
      </c>
      <c r="N204" t="s">
        <v>177</v>
      </c>
      <c r="O204" s="2">
        <v>88</v>
      </c>
      <c r="P204" s="2">
        <v>85</v>
      </c>
      <c r="Q204" s="2">
        <v>73</v>
      </c>
      <c r="R204" s="2">
        <v>90</v>
      </c>
      <c r="S204" s="2">
        <v>88</v>
      </c>
      <c r="T204" s="2">
        <v>90</v>
      </c>
      <c r="U204" t="s">
        <v>1832</v>
      </c>
      <c r="V204" s="2">
        <v>40</v>
      </c>
      <c r="W204" s="1">
        <v>45474</v>
      </c>
      <c r="X204" s="1">
        <v>45838</v>
      </c>
      <c r="Y204" s="2">
        <v>15</v>
      </c>
      <c r="Z204" t="s">
        <v>1884</v>
      </c>
      <c r="AA204">
        <v>90</v>
      </c>
      <c r="AB204" s="2">
        <v>12</v>
      </c>
      <c r="AC204" s="2">
        <v>18.600000000000001</v>
      </c>
      <c r="AD204" t="s">
        <v>25</v>
      </c>
      <c r="AE204" s="1">
        <v>45108</v>
      </c>
      <c r="AF204" s="1">
        <v>45473</v>
      </c>
      <c r="AG204" t="b">
        <v>0</v>
      </c>
      <c r="AH204" t="b">
        <v>1</v>
      </c>
      <c r="AI204" t="b">
        <v>1</v>
      </c>
      <c r="AJ204" t="str">
        <f>IF(tblMergedCleaned[[#This Row],[Overall_Rating]]=
    "",
    "Unavailable",
    IF(tblMergedCleaned[[#This Row],[Overall_Rating]]&lt;=
        2,
        "Low (1-2)",
        IF(tblMergedCleaned[[#This Row],[Overall_Rating]]=
            3,
            "Middle (3)",
            "High (4-5)"
        )
    )
)</f>
        <v>Unavailable</v>
      </c>
      <c r="AK204" t="str" cm="1">
        <f t="array" ref="AK204">IF(
    tblMergedCleaned[[#This Row],[Overall_Rating]]="",
    "",
    --(tblMergedCleaned[[#This Row],[Overall_Rating]]&lt;=2)
)</f>
        <v/>
      </c>
      <c r="AL204">
        <f>IF(
    tblMergedCleaned[[#This Row],[Definitely_Recommend_Pct]]="",
    "",
    --(tblMergedCleaned[[#This Row],[Definitely_Recommend_Pct]]&lt;TX_Median_Recommend)
)</f>
        <v>0</v>
      </c>
      <c r="AM204">
        <f>IF(
    tblMergedCleaned[[#This Row],[Readmission_Comparison]]="",
    "",
    --(tblMergedCleaned[[#This Row],[Readmission_Comparison]]="Worse")
)</f>
        <v>0</v>
      </c>
      <c r="AN204">
        <f>COUNT(
    tblMergedCleaned[[#This Row],[Low_Rating_Flag]:[Worse_Readmission_Flag]]
)</f>
        <v>2</v>
      </c>
      <c r="AO204">
        <f>SUM(
    tblMergedCleaned[[#This Row],[Low_Rating_Flag]:[Worse_Readmission_Flag]]
)</f>
        <v>0</v>
      </c>
      <c r="AP20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0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04" s="2">
        <f>IF(
    tblMergedCleaned[[#This Row],[Definitely_Recommend_Pct]]="",
    "",
    tblMergedCleaned[[#This Row],[Definitely_Recommend_Pct]]-TX_Median_Recommend
)</f>
        <v>19</v>
      </c>
      <c r="AS204" s="2">
        <f>IF(
    tblMergedCleaned[[#This Row],[Readmission_Rate_Pct]]="",
    "",
    tblMergedCleaned[[#This Row],[Readmission_Rate_Pct]]-TX_Median_Readmission
)</f>
        <v>9.9999999999999645E-2</v>
      </c>
    </row>
    <row r="205" spans="1:45">
      <c r="A205" t="s">
        <v>1227</v>
      </c>
      <c r="B205" t="s">
        <v>1228</v>
      </c>
      <c r="C205" t="s">
        <v>1229</v>
      </c>
      <c r="D205" t="s">
        <v>53</v>
      </c>
      <c r="E205" t="s">
        <v>18</v>
      </c>
      <c r="F205" t="s">
        <v>675</v>
      </c>
      <c r="G205" t="s">
        <v>53</v>
      </c>
      <c r="H205" t="s">
        <v>1230</v>
      </c>
      <c r="I205" t="s">
        <v>21</v>
      </c>
      <c r="J205" t="s">
        <v>81</v>
      </c>
      <c r="K205" t="s">
        <v>23</v>
      </c>
      <c r="M205" t="s">
        <v>176</v>
      </c>
      <c r="N205" t="s">
        <v>177</v>
      </c>
      <c r="O205" s="2">
        <v>91</v>
      </c>
      <c r="P205" s="2">
        <v>87</v>
      </c>
      <c r="Q205" s="2">
        <v>68</v>
      </c>
      <c r="R205" s="2">
        <v>91</v>
      </c>
      <c r="S205" s="2">
        <v>87</v>
      </c>
      <c r="T205" s="2">
        <v>89</v>
      </c>
      <c r="U205" t="s">
        <v>1757</v>
      </c>
      <c r="V205" s="2">
        <v>43</v>
      </c>
      <c r="W205" s="1">
        <v>45474</v>
      </c>
      <c r="X205" s="1">
        <v>45838</v>
      </c>
      <c r="Y205" s="2">
        <v>14.6</v>
      </c>
      <c r="Z205" t="s">
        <v>1884</v>
      </c>
      <c r="AA205">
        <v>105</v>
      </c>
      <c r="AB205" s="2">
        <v>11.8</v>
      </c>
      <c r="AC205" s="2">
        <v>18.3</v>
      </c>
      <c r="AD205" t="s">
        <v>25</v>
      </c>
      <c r="AE205" s="1">
        <v>45108</v>
      </c>
      <c r="AF205" s="1">
        <v>45473</v>
      </c>
      <c r="AG205" t="b">
        <v>0</v>
      </c>
      <c r="AH205" t="b">
        <v>1</v>
      </c>
      <c r="AI205" t="b">
        <v>1</v>
      </c>
      <c r="AJ205" t="str">
        <f>IF(tblMergedCleaned[[#This Row],[Overall_Rating]]=
    "",
    "Unavailable",
    IF(tblMergedCleaned[[#This Row],[Overall_Rating]]&lt;=
        2,
        "Low (1-2)",
        IF(tblMergedCleaned[[#This Row],[Overall_Rating]]=
            3,
            "Middle (3)",
            "High (4-5)"
        )
    )
)</f>
        <v>Unavailable</v>
      </c>
      <c r="AK205" t="str" cm="1">
        <f t="array" ref="AK205">IF(
    tblMergedCleaned[[#This Row],[Overall_Rating]]="",
    "",
    --(tblMergedCleaned[[#This Row],[Overall_Rating]]&lt;=2)
)</f>
        <v/>
      </c>
      <c r="AL205">
        <f>IF(
    tblMergedCleaned[[#This Row],[Definitely_Recommend_Pct]]="",
    "",
    --(tblMergedCleaned[[#This Row],[Definitely_Recommend_Pct]]&lt;TX_Median_Recommend)
)</f>
        <v>0</v>
      </c>
      <c r="AM205">
        <f>IF(
    tblMergedCleaned[[#This Row],[Readmission_Comparison]]="",
    "",
    --(tblMergedCleaned[[#This Row],[Readmission_Comparison]]="Worse")
)</f>
        <v>0</v>
      </c>
      <c r="AN205">
        <f>COUNT(
    tblMergedCleaned[[#This Row],[Low_Rating_Flag]:[Worse_Readmission_Flag]]
)</f>
        <v>2</v>
      </c>
      <c r="AO205">
        <f>SUM(
    tblMergedCleaned[[#This Row],[Low_Rating_Flag]:[Worse_Readmission_Flag]]
)</f>
        <v>0</v>
      </c>
      <c r="AP20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0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05" s="2">
        <f>IF(
    tblMergedCleaned[[#This Row],[Definitely_Recommend_Pct]]="",
    "",
    tblMergedCleaned[[#This Row],[Definitely_Recommend_Pct]]-TX_Median_Recommend
)</f>
        <v>18</v>
      </c>
      <c r="AS205" s="2">
        <f>IF(
    tblMergedCleaned[[#This Row],[Readmission_Rate_Pct]]="",
    "",
    tblMergedCleaned[[#This Row],[Readmission_Rate_Pct]]-TX_Median_Readmission
)</f>
        <v>-0.30000000000000071</v>
      </c>
    </row>
    <row r="206" spans="1:45">
      <c r="A206" t="s">
        <v>1231</v>
      </c>
      <c r="B206" t="s">
        <v>1232</v>
      </c>
      <c r="C206" t="s">
        <v>1233</v>
      </c>
      <c r="D206" t="s">
        <v>847</v>
      </c>
      <c r="E206" t="s">
        <v>18</v>
      </c>
      <c r="F206" t="s">
        <v>1034</v>
      </c>
      <c r="G206" t="s">
        <v>629</v>
      </c>
      <c r="H206" t="s">
        <v>1234</v>
      </c>
      <c r="I206" t="s">
        <v>21</v>
      </c>
      <c r="J206" t="s">
        <v>75</v>
      </c>
      <c r="K206" t="s">
        <v>23</v>
      </c>
      <c r="L206">
        <v>4</v>
      </c>
      <c r="M206" t="s">
        <v>34</v>
      </c>
      <c r="N206" t="s">
        <v>25</v>
      </c>
      <c r="O206" s="2">
        <v>81</v>
      </c>
      <c r="P206" s="2">
        <v>82</v>
      </c>
      <c r="Q206" s="2">
        <v>64</v>
      </c>
      <c r="R206" s="2">
        <v>88</v>
      </c>
      <c r="S206" s="2">
        <v>81</v>
      </c>
      <c r="T206" s="2">
        <v>83</v>
      </c>
      <c r="U206" t="s">
        <v>1833</v>
      </c>
      <c r="V206" s="2">
        <v>21</v>
      </c>
      <c r="W206" s="1">
        <v>45474</v>
      </c>
      <c r="X206" s="1">
        <v>45838</v>
      </c>
      <c r="Y206" s="2">
        <v>15.1</v>
      </c>
      <c r="Z206" t="s">
        <v>1884</v>
      </c>
      <c r="AA206">
        <v>2699</v>
      </c>
      <c r="AB206" s="2">
        <v>14.2</v>
      </c>
      <c r="AC206" s="2">
        <v>16.2</v>
      </c>
      <c r="AD206" t="s">
        <v>25</v>
      </c>
      <c r="AE206" s="1">
        <v>45108</v>
      </c>
      <c r="AF206" s="1">
        <v>45473</v>
      </c>
      <c r="AG206" t="b">
        <v>1</v>
      </c>
      <c r="AH206" t="b">
        <v>1</v>
      </c>
      <c r="AI206" t="b">
        <v>1</v>
      </c>
      <c r="AJ206" t="str">
        <f>IF(tblMergedCleaned[[#This Row],[Overall_Rating]]=
    "",
    "Unavailable",
    IF(tblMergedCleaned[[#This Row],[Overall_Rating]]&lt;=
        2,
        "Low (1-2)",
        IF(tblMergedCleaned[[#This Row],[Overall_Rating]]=
            3,
            "Middle (3)",
            "High (4-5)"
        )
    )
)</f>
        <v>High (4-5)</v>
      </c>
      <c r="AK206" cm="1">
        <f t="array" ref="AK206">IF(
    tblMergedCleaned[[#This Row],[Overall_Rating]]="",
    "",
    --(tblMergedCleaned[[#This Row],[Overall_Rating]]&lt;=2)
)</f>
        <v>0</v>
      </c>
      <c r="AL206">
        <f>IF(
    tblMergedCleaned[[#This Row],[Definitely_Recommend_Pct]]="",
    "",
    --(tblMergedCleaned[[#This Row],[Definitely_Recommend_Pct]]&lt;TX_Median_Recommend)
)</f>
        <v>0</v>
      </c>
      <c r="AM206">
        <f>IF(
    tblMergedCleaned[[#This Row],[Readmission_Comparison]]="",
    "",
    --(tblMergedCleaned[[#This Row],[Readmission_Comparison]]="Worse")
)</f>
        <v>0</v>
      </c>
      <c r="AN206">
        <f>COUNT(
    tblMergedCleaned[[#This Row],[Low_Rating_Flag]:[Worse_Readmission_Flag]]
)</f>
        <v>3</v>
      </c>
      <c r="AO206">
        <f>SUM(
    tblMergedCleaned[[#This Row],[Low_Rating_Flag]:[Worse_Readmission_Flag]]
)</f>
        <v>0</v>
      </c>
      <c r="AP20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0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06" s="2">
        <f>IF(
    tblMergedCleaned[[#This Row],[Definitely_Recommend_Pct]]="",
    "",
    tblMergedCleaned[[#This Row],[Definitely_Recommend_Pct]]-TX_Median_Recommend
)</f>
        <v>12</v>
      </c>
      <c r="AS206" s="2">
        <f>IF(
    tblMergedCleaned[[#This Row],[Readmission_Rate_Pct]]="",
    "",
    tblMergedCleaned[[#This Row],[Readmission_Rate_Pct]]-TX_Median_Readmission
)</f>
        <v>0.19999999999999929</v>
      </c>
    </row>
    <row r="207" spans="1:45">
      <c r="A207" t="s">
        <v>1235</v>
      </c>
      <c r="B207" t="s">
        <v>1236</v>
      </c>
      <c r="C207" t="s">
        <v>1237</v>
      </c>
      <c r="D207" t="s">
        <v>847</v>
      </c>
      <c r="E207" t="s">
        <v>18</v>
      </c>
      <c r="F207" t="s">
        <v>1034</v>
      </c>
      <c r="G207" t="s">
        <v>629</v>
      </c>
      <c r="H207" t="s">
        <v>1238</v>
      </c>
      <c r="I207" t="s">
        <v>21</v>
      </c>
      <c r="J207" t="s">
        <v>81</v>
      </c>
      <c r="K207" t="s">
        <v>23</v>
      </c>
      <c r="M207" t="s">
        <v>176</v>
      </c>
      <c r="N207" t="s">
        <v>177</v>
      </c>
      <c r="O207" s="2">
        <v>90</v>
      </c>
      <c r="P207" s="2">
        <v>86</v>
      </c>
      <c r="Q207" s="2">
        <v>77</v>
      </c>
      <c r="R207" s="2">
        <v>86</v>
      </c>
      <c r="S207" s="2">
        <v>89</v>
      </c>
      <c r="T207" s="2">
        <v>88</v>
      </c>
      <c r="U207" t="s">
        <v>1834</v>
      </c>
      <c r="V207" s="2">
        <v>31</v>
      </c>
      <c r="W207" s="1">
        <v>45474</v>
      </c>
      <c r="X207" s="1">
        <v>45838</v>
      </c>
      <c r="Y207" s="2">
        <v>15</v>
      </c>
      <c r="Z207" t="s">
        <v>1884</v>
      </c>
      <c r="AA207">
        <v>43</v>
      </c>
      <c r="AB207" s="2">
        <v>11.8</v>
      </c>
      <c r="AC207" s="2">
        <v>18.600000000000001</v>
      </c>
      <c r="AD207" t="s">
        <v>25</v>
      </c>
      <c r="AE207" s="1">
        <v>45108</v>
      </c>
      <c r="AF207" s="1">
        <v>45473</v>
      </c>
      <c r="AG207" t="b">
        <v>0</v>
      </c>
      <c r="AH207" t="b">
        <v>1</v>
      </c>
      <c r="AI207" t="b">
        <v>1</v>
      </c>
      <c r="AJ207" t="str">
        <f>IF(tblMergedCleaned[[#This Row],[Overall_Rating]]=
    "",
    "Unavailable",
    IF(tblMergedCleaned[[#This Row],[Overall_Rating]]&lt;=
        2,
        "Low (1-2)",
        IF(tblMergedCleaned[[#This Row],[Overall_Rating]]=
            3,
            "Middle (3)",
            "High (4-5)"
        )
    )
)</f>
        <v>Unavailable</v>
      </c>
      <c r="AK207" t="str" cm="1">
        <f t="array" ref="AK207">IF(
    tblMergedCleaned[[#This Row],[Overall_Rating]]="",
    "",
    --(tblMergedCleaned[[#This Row],[Overall_Rating]]&lt;=2)
)</f>
        <v/>
      </c>
      <c r="AL207">
        <f>IF(
    tblMergedCleaned[[#This Row],[Definitely_Recommend_Pct]]="",
    "",
    --(tblMergedCleaned[[#This Row],[Definitely_Recommend_Pct]]&lt;TX_Median_Recommend)
)</f>
        <v>0</v>
      </c>
      <c r="AM207">
        <f>IF(
    tblMergedCleaned[[#This Row],[Readmission_Comparison]]="",
    "",
    --(tblMergedCleaned[[#This Row],[Readmission_Comparison]]="Worse")
)</f>
        <v>0</v>
      </c>
      <c r="AN207">
        <f>COUNT(
    tblMergedCleaned[[#This Row],[Low_Rating_Flag]:[Worse_Readmission_Flag]]
)</f>
        <v>2</v>
      </c>
      <c r="AO207">
        <f>SUM(
    tblMergedCleaned[[#This Row],[Low_Rating_Flag]:[Worse_Readmission_Flag]]
)</f>
        <v>0</v>
      </c>
      <c r="AP20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0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07" s="2">
        <f>IF(
    tblMergedCleaned[[#This Row],[Definitely_Recommend_Pct]]="",
    "",
    tblMergedCleaned[[#This Row],[Definitely_Recommend_Pct]]-TX_Median_Recommend
)</f>
        <v>17</v>
      </c>
      <c r="AS207" s="2">
        <f>IF(
    tblMergedCleaned[[#This Row],[Readmission_Rate_Pct]]="",
    "",
    tblMergedCleaned[[#This Row],[Readmission_Rate_Pct]]-TX_Median_Readmission
)</f>
        <v>9.9999999999999645E-2</v>
      </c>
    </row>
    <row r="208" spans="1:45">
      <c r="A208" t="s">
        <v>1239</v>
      </c>
      <c r="B208" t="s">
        <v>1240</v>
      </c>
      <c r="C208" t="s">
        <v>1241</v>
      </c>
      <c r="D208" t="s">
        <v>808</v>
      </c>
      <c r="E208" t="s">
        <v>18</v>
      </c>
      <c r="F208" t="s">
        <v>1242</v>
      </c>
      <c r="G208" t="s">
        <v>808</v>
      </c>
      <c r="H208" t="s">
        <v>1243</v>
      </c>
      <c r="I208" t="s">
        <v>21</v>
      </c>
      <c r="J208" t="s">
        <v>81</v>
      </c>
      <c r="K208" t="s">
        <v>23</v>
      </c>
      <c r="L208">
        <v>5</v>
      </c>
      <c r="M208" t="s">
        <v>168</v>
      </c>
      <c r="N208" t="s">
        <v>25</v>
      </c>
      <c r="O208" s="2">
        <v>86</v>
      </c>
      <c r="P208" s="2">
        <v>84</v>
      </c>
      <c r="Q208" s="2">
        <v>66</v>
      </c>
      <c r="R208" s="2">
        <v>92</v>
      </c>
      <c r="S208" s="2">
        <v>88</v>
      </c>
      <c r="T208" s="2">
        <v>86</v>
      </c>
      <c r="U208" t="s">
        <v>1728</v>
      </c>
      <c r="V208" s="2">
        <v>35</v>
      </c>
      <c r="W208" s="1">
        <v>45474</v>
      </c>
      <c r="X208" s="1">
        <v>45838</v>
      </c>
      <c r="Y208" s="2">
        <v>15</v>
      </c>
      <c r="Z208" t="s">
        <v>1884</v>
      </c>
      <c r="AA208">
        <v>472</v>
      </c>
      <c r="AB208" s="2">
        <v>13.2</v>
      </c>
      <c r="AC208" s="2">
        <v>16.899999999999999</v>
      </c>
      <c r="AD208" t="s">
        <v>25</v>
      </c>
      <c r="AE208" s="1">
        <v>45108</v>
      </c>
      <c r="AF208" s="1">
        <v>45473</v>
      </c>
      <c r="AG208" t="b">
        <v>1</v>
      </c>
      <c r="AH208" t="b">
        <v>1</v>
      </c>
      <c r="AI208" t="b">
        <v>1</v>
      </c>
      <c r="AJ208" t="str">
        <f>IF(tblMergedCleaned[[#This Row],[Overall_Rating]]=
    "",
    "Unavailable",
    IF(tblMergedCleaned[[#This Row],[Overall_Rating]]&lt;=
        2,
        "Low (1-2)",
        IF(tblMergedCleaned[[#This Row],[Overall_Rating]]=
            3,
            "Middle (3)",
            "High (4-5)"
        )
    )
)</f>
        <v>High (4-5)</v>
      </c>
      <c r="AK208" cm="1">
        <f t="array" ref="AK208">IF(
    tblMergedCleaned[[#This Row],[Overall_Rating]]="",
    "",
    --(tblMergedCleaned[[#This Row],[Overall_Rating]]&lt;=2)
)</f>
        <v>0</v>
      </c>
      <c r="AL208">
        <f>IF(
    tblMergedCleaned[[#This Row],[Definitely_Recommend_Pct]]="",
    "",
    --(tblMergedCleaned[[#This Row],[Definitely_Recommend_Pct]]&lt;TX_Median_Recommend)
)</f>
        <v>0</v>
      </c>
      <c r="AM208">
        <f>IF(
    tblMergedCleaned[[#This Row],[Readmission_Comparison]]="",
    "",
    --(tblMergedCleaned[[#This Row],[Readmission_Comparison]]="Worse")
)</f>
        <v>0</v>
      </c>
      <c r="AN208">
        <f>COUNT(
    tblMergedCleaned[[#This Row],[Low_Rating_Flag]:[Worse_Readmission_Flag]]
)</f>
        <v>3</v>
      </c>
      <c r="AO208">
        <f>SUM(
    tblMergedCleaned[[#This Row],[Low_Rating_Flag]:[Worse_Readmission_Flag]]
)</f>
        <v>0</v>
      </c>
      <c r="AP20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0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08" s="2">
        <f>IF(
    tblMergedCleaned[[#This Row],[Definitely_Recommend_Pct]]="",
    "",
    tblMergedCleaned[[#This Row],[Definitely_Recommend_Pct]]-TX_Median_Recommend
)</f>
        <v>15</v>
      </c>
      <c r="AS208" s="2">
        <f>IF(
    tblMergedCleaned[[#This Row],[Readmission_Rate_Pct]]="",
    "",
    tblMergedCleaned[[#This Row],[Readmission_Rate_Pct]]-TX_Median_Readmission
)</f>
        <v>9.9999999999999645E-2</v>
      </c>
    </row>
    <row r="209" spans="1:45">
      <c r="A209" t="s">
        <v>1244</v>
      </c>
      <c r="B209" t="s">
        <v>1245</v>
      </c>
      <c r="C209" t="s">
        <v>1246</v>
      </c>
      <c r="D209" t="s">
        <v>808</v>
      </c>
      <c r="E209" t="s">
        <v>18</v>
      </c>
      <c r="F209" t="s">
        <v>1242</v>
      </c>
      <c r="G209" t="s">
        <v>808</v>
      </c>
      <c r="H209" t="s">
        <v>1247</v>
      </c>
      <c r="I209" t="s">
        <v>21</v>
      </c>
      <c r="J209" t="s">
        <v>22</v>
      </c>
      <c r="K209" t="s">
        <v>23</v>
      </c>
      <c r="M209" t="s">
        <v>176</v>
      </c>
      <c r="N209" t="s">
        <v>168</v>
      </c>
      <c r="U209" t="s">
        <v>176</v>
      </c>
      <c r="W209" s="1">
        <v>45474</v>
      </c>
      <c r="X209" s="1">
        <v>45838</v>
      </c>
      <c r="AD209" t="s">
        <v>168</v>
      </c>
      <c r="AE209" s="1">
        <v>45108</v>
      </c>
      <c r="AF209" s="1">
        <v>45473</v>
      </c>
      <c r="AG209" t="b">
        <v>0</v>
      </c>
      <c r="AH209" t="b">
        <v>0</v>
      </c>
      <c r="AI209" t="b">
        <v>0</v>
      </c>
      <c r="AJ209" t="str">
        <f>IF(tblMergedCleaned[[#This Row],[Overall_Rating]]=
    "",
    "Unavailable",
    IF(tblMergedCleaned[[#This Row],[Overall_Rating]]&lt;=
        2,
        "Low (1-2)",
        IF(tblMergedCleaned[[#This Row],[Overall_Rating]]=
            3,
            "Middle (3)",
            "High (4-5)"
        )
    )
)</f>
        <v>Unavailable</v>
      </c>
      <c r="AK209" t="str" cm="1">
        <f t="array" ref="AK209">IF(
    tblMergedCleaned[[#This Row],[Overall_Rating]]="",
    "",
    --(tblMergedCleaned[[#This Row],[Overall_Rating]]&lt;=2)
)</f>
        <v/>
      </c>
      <c r="AL209" t="str">
        <f>IF(
    tblMergedCleaned[[#This Row],[Definitely_Recommend_Pct]]="",
    "",
    --(tblMergedCleaned[[#This Row],[Definitely_Recommend_Pct]]&lt;TX_Median_Recommend)
)</f>
        <v/>
      </c>
      <c r="AM209" t="str">
        <f>IF(
    tblMergedCleaned[[#This Row],[Readmission_Comparison]]="",
    "",
    --(tblMergedCleaned[[#This Row],[Readmission_Comparison]]="Worse")
)</f>
        <v/>
      </c>
      <c r="AN209">
        <f>COUNT(
    tblMergedCleaned[[#This Row],[Low_Rating_Flag]:[Worse_Readmission_Flag]]
)</f>
        <v>0</v>
      </c>
      <c r="AO209">
        <f>SUM(
    tblMergedCleaned[[#This Row],[Low_Rating_Flag]:[Worse_Readmission_Flag]]
)</f>
        <v>0</v>
      </c>
      <c r="AP20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0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09" s="2" t="str">
        <f>IF(
    tblMergedCleaned[[#This Row],[Definitely_Recommend_Pct]]="",
    "",
    tblMergedCleaned[[#This Row],[Definitely_Recommend_Pct]]-TX_Median_Recommend
)</f>
        <v/>
      </c>
      <c r="AS209" s="2" t="str">
        <f>IF(
    tblMergedCleaned[[#This Row],[Readmission_Rate_Pct]]="",
    "",
    tblMergedCleaned[[#This Row],[Readmission_Rate_Pct]]-TX_Median_Readmission
)</f>
        <v/>
      </c>
    </row>
    <row r="210" spans="1:45">
      <c r="A210" t="s">
        <v>1248</v>
      </c>
      <c r="B210" t="s">
        <v>1249</v>
      </c>
      <c r="C210" t="s">
        <v>1250</v>
      </c>
      <c r="D210" t="s">
        <v>1043</v>
      </c>
      <c r="E210" t="s">
        <v>18</v>
      </c>
      <c r="F210" t="s">
        <v>1251</v>
      </c>
      <c r="G210" t="s">
        <v>121</v>
      </c>
      <c r="H210" t="s">
        <v>1252</v>
      </c>
      <c r="I210" t="s">
        <v>21</v>
      </c>
      <c r="J210" t="s">
        <v>22</v>
      </c>
      <c r="K210" t="s">
        <v>23</v>
      </c>
      <c r="M210" t="s">
        <v>176</v>
      </c>
      <c r="N210" t="s">
        <v>177</v>
      </c>
      <c r="O210" s="2">
        <v>84</v>
      </c>
      <c r="P210" s="2">
        <v>85</v>
      </c>
      <c r="Q210" s="2">
        <v>48</v>
      </c>
      <c r="R210" s="2">
        <v>88</v>
      </c>
      <c r="S210" s="2">
        <v>76</v>
      </c>
      <c r="T210" s="2">
        <v>79</v>
      </c>
      <c r="U210" t="s">
        <v>1835</v>
      </c>
      <c r="V210" s="2">
        <v>23</v>
      </c>
      <c r="W210" s="1">
        <v>45474</v>
      </c>
      <c r="X210" s="1">
        <v>45838</v>
      </c>
      <c r="Y210" s="2">
        <v>14.8</v>
      </c>
      <c r="Z210" t="s">
        <v>1884</v>
      </c>
      <c r="AA210">
        <v>54</v>
      </c>
      <c r="AB210" s="2">
        <v>11.8</v>
      </c>
      <c r="AC210" s="2">
        <v>18.8</v>
      </c>
      <c r="AD210" t="s">
        <v>25</v>
      </c>
      <c r="AE210" s="1">
        <v>45108</v>
      </c>
      <c r="AF210" s="1">
        <v>45473</v>
      </c>
      <c r="AG210" t="b">
        <v>0</v>
      </c>
      <c r="AH210" t="b">
        <v>1</v>
      </c>
      <c r="AI210" t="b">
        <v>1</v>
      </c>
      <c r="AJ210" t="str">
        <f>IF(tblMergedCleaned[[#This Row],[Overall_Rating]]=
    "",
    "Unavailable",
    IF(tblMergedCleaned[[#This Row],[Overall_Rating]]&lt;=
        2,
        "Low (1-2)",
        IF(tblMergedCleaned[[#This Row],[Overall_Rating]]=
            3,
            "Middle (3)",
            "High (4-5)"
        )
    )
)</f>
        <v>Unavailable</v>
      </c>
      <c r="AK210" t="str" cm="1">
        <f t="array" ref="AK210">IF(
    tblMergedCleaned[[#This Row],[Overall_Rating]]="",
    "",
    --(tblMergedCleaned[[#This Row],[Overall_Rating]]&lt;=2)
)</f>
        <v/>
      </c>
      <c r="AL210">
        <f>IF(
    tblMergedCleaned[[#This Row],[Definitely_Recommend_Pct]]="",
    "",
    --(tblMergedCleaned[[#This Row],[Definitely_Recommend_Pct]]&lt;TX_Median_Recommend)
)</f>
        <v>0</v>
      </c>
      <c r="AM210">
        <f>IF(
    tblMergedCleaned[[#This Row],[Readmission_Comparison]]="",
    "",
    --(tblMergedCleaned[[#This Row],[Readmission_Comparison]]="Worse")
)</f>
        <v>0</v>
      </c>
      <c r="AN210">
        <f>COUNT(
    tblMergedCleaned[[#This Row],[Low_Rating_Flag]:[Worse_Readmission_Flag]]
)</f>
        <v>2</v>
      </c>
      <c r="AO210">
        <f>SUM(
    tblMergedCleaned[[#This Row],[Low_Rating_Flag]:[Worse_Readmission_Flag]]
)</f>
        <v>0</v>
      </c>
      <c r="AP21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1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10" s="2">
        <f>IF(
    tblMergedCleaned[[#This Row],[Definitely_Recommend_Pct]]="",
    "",
    tblMergedCleaned[[#This Row],[Definitely_Recommend_Pct]]-TX_Median_Recommend
)</f>
        <v>8</v>
      </c>
      <c r="AS210" s="2">
        <f>IF(
    tblMergedCleaned[[#This Row],[Readmission_Rate_Pct]]="",
    "",
    tblMergedCleaned[[#This Row],[Readmission_Rate_Pct]]-TX_Median_Readmission
)</f>
        <v>-9.9999999999999645E-2</v>
      </c>
    </row>
    <row r="211" spans="1:45">
      <c r="A211" t="s">
        <v>1253</v>
      </c>
      <c r="B211" t="s">
        <v>1254</v>
      </c>
      <c r="C211" t="s">
        <v>1255</v>
      </c>
      <c r="D211" t="s">
        <v>181</v>
      </c>
      <c r="E211" t="s">
        <v>18</v>
      </c>
      <c r="F211" t="s">
        <v>1256</v>
      </c>
      <c r="G211" t="s">
        <v>183</v>
      </c>
      <c r="H211" t="s">
        <v>1257</v>
      </c>
      <c r="I211" t="s">
        <v>21</v>
      </c>
      <c r="J211" t="s">
        <v>81</v>
      </c>
      <c r="K211" t="s">
        <v>23</v>
      </c>
      <c r="M211" t="s">
        <v>176</v>
      </c>
      <c r="N211" t="s">
        <v>177</v>
      </c>
      <c r="O211" s="2">
        <v>76</v>
      </c>
      <c r="P211" s="2">
        <v>78</v>
      </c>
      <c r="Q211" s="2">
        <v>66</v>
      </c>
      <c r="R211" s="2">
        <v>83</v>
      </c>
      <c r="S211" s="2">
        <v>64</v>
      </c>
      <c r="T211" s="2">
        <v>68</v>
      </c>
      <c r="U211" t="s">
        <v>1733</v>
      </c>
      <c r="V211" s="2">
        <v>32</v>
      </c>
      <c r="W211" s="1">
        <v>45474</v>
      </c>
      <c r="X211" s="1">
        <v>45838</v>
      </c>
      <c r="Y211" s="2">
        <v>14.2</v>
      </c>
      <c r="Z211" t="s">
        <v>1884</v>
      </c>
      <c r="AA211">
        <v>190</v>
      </c>
      <c r="AB211" s="2">
        <v>11.6</v>
      </c>
      <c r="AC211" s="2">
        <v>17.5</v>
      </c>
      <c r="AD211" t="s">
        <v>25</v>
      </c>
      <c r="AE211" s="1">
        <v>45108</v>
      </c>
      <c r="AF211" s="1">
        <v>45473</v>
      </c>
      <c r="AG211" t="b">
        <v>0</v>
      </c>
      <c r="AH211" t="b">
        <v>1</v>
      </c>
      <c r="AI211" t="b">
        <v>1</v>
      </c>
      <c r="AJ211" t="str">
        <f>IF(tblMergedCleaned[[#This Row],[Overall_Rating]]=
    "",
    "Unavailable",
    IF(tblMergedCleaned[[#This Row],[Overall_Rating]]&lt;=
        2,
        "Low (1-2)",
        IF(tblMergedCleaned[[#This Row],[Overall_Rating]]=
            3,
            "Middle (3)",
            "High (4-5)"
        )
    )
)</f>
        <v>Unavailable</v>
      </c>
      <c r="AK211" t="str" cm="1">
        <f t="array" ref="AK211">IF(
    tblMergedCleaned[[#This Row],[Overall_Rating]]="",
    "",
    --(tblMergedCleaned[[#This Row],[Overall_Rating]]&lt;=2)
)</f>
        <v/>
      </c>
      <c r="AL211">
        <f>IF(
    tblMergedCleaned[[#This Row],[Definitely_Recommend_Pct]]="",
    "",
    --(tblMergedCleaned[[#This Row],[Definitely_Recommend_Pct]]&lt;TX_Median_Recommend)
)</f>
        <v>1</v>
      </c>
      <c r="AM211">
        <f>IF(
    tblMergedCleaned[[#This Row],[Readmission_Comparison]]="",
    "",
    --(tblMergedCleaned[[#This Row],[Readmission_Comparison]]="Worse")
)</f>
        <v>0</v>
      </c>
      <c r="AN211">
        <f>COUNT(
    tblMergedCleaned[[#This Row],[Low_Rating_Flag]:[Worse_Readmission_Flag]]
)</f>
        <v>2</v>
      </c>
      <c r="AO211">
        <f>SUM(
    tblMergedCleaned[[#This Row],[Low_Rating_Flag]:[Worse_Readmission_Flag]]
)</f>
        <v>1</v>
      </c>
      <c r="AP21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1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211" s="2">
        <f>IF(
    tblMergedCleaned[[#This Row],[Definitely_Recommend_Pct]]="",
    "",
    tblMergedCleaned[[#This Row],[Definitely_Recommend_Pct]]-TX_Median_Recommend
)</f>
        <v>-3</v>
      </c>
      <c r="AS211" s="2">
        <f>IF(
    tblMergedCleaned[[#This Row],[Readmission_Rate_Pct]]="",
    "",
    tblMergedCleaned[[#This Row],[Readmission_Rate_Pct]]-TX_Median_Readmission
)</f>
        <v>-0.70000000000000107</v>
      </c>
    </row>
    <row r="212" spans="1:45">
      <c r="A212" t="s">
        <v>1258</v>
      </c>
      <c r="B212" t="s">
        <v>1259</v>
      </c>
      <c r="C212" t="s">
        <v>1260</v>
      </c>
      <c r="D212" t="s">
        <v>802</v>
      </c>
      <c r="E212" t="s">
        <v>18</v>
      </c>
      <c r="F212" t="s">
        <v>803</v>
      </c>
      <c r="G212" t="s">
        <v>121</v>
      </c>
      <c r="H212" t="s">
        <v>1261</v>
      </c>
      <c r="I212" t="s">
        <v>21</v>
      </c>
      <c r="J212" t="s">
        <v>81</v>
      </c>
      <c r="K212" t="s">
        <v>23</v>
      </c>
      <c r="M212" t="s">
        <v>176</v>
      </c>
      <c r="N212" t="s">
        <v>177</v>
      </c>
      <c r="O212" s="2">
        <v>88</v>
      </c>
      <c r="P212" s="2">
        <v>84</v>
      </c>
      <c r="Q212" s="2">
        <v>76</v>
      </c>
      <c r="R212" s="2">
        <v>87</v>
      </c>
      <c r="S212" s="2">
        <v>86</v>
      </c>
      <c r="T212" s="2">
        <v>88</v>
      </c>
      <c r="U212" t="s">
        <v>1811</v>
      </c>
      <c r="V212" s="2">
        <v>36</v>
      </c>
      <c r="W212" s="1">
        <v>45474</v>
      </c>
      <c r="X212" s="1">
        <v>45838</v>
      </c>
      <c r="Y212" s="2">
        <v>13.8</v>
      </c>
      <c r="Z212" t="s">
        <v>1884</v>
      </c>
      <c r="AA212">
        <v>241</v>
      </c>
      <c r="AB212" s="2">
        <v>11.3</v>
      </c>
      <c r="AC212" s="2">
        <v>17</v>
      </c>
      <c r="AD212" t="s">
        <v>25</v>
      </c>
      <c r="AE212" s="1">
        <v>45108</v>
      </c>
      <c r="AF212" s="1">
        <v>45473</v>
      </c>
      <c r="AG212" t="b">
        <v>0</v>
      </c>
      <c r="AH212" t="b">
        <v>1</v>
      </c>
      <c r="AI212" t="b">
        <v>1</v>
      </c>
      <c r="AJ212" t="str">
        <f>IF(tblMergedCleaned[[#This Row],[Overall_Rating]]=
    "",
    "Unavailable",
    IF(tblMergedCleaned[[#This Row],[Overall_Rating]]&lt;=
        2,
        "Low (1-2)",
        IF(tblMergedCleaned[[#This Row],[Overall_Rating]]=
            3,
            "Middle (3)",
            "High (4-5)"
        )
    )
)</f>
        <v>Unavailable</v>
      </c>
      <c r="AK212" t="str" cm="1">
        <f t="array" ref="AK212">IF(
    tblMergedCleaned[[#This Row],[Overall_Rating]]="",
    "",
    --(tblMergedCleaned[[#This Row],[Overall_Rating]]&lt;=2)
)</f>
        <v/>
      </c>
      <c r="AL212">
        <f>IF(
    tblMergedCleaned[[#This Row],[Definitely_Recommend_Pct]]="",
    "",
    --(tblMergedCleaned[[#This Row],[Definitely_Recommend_Pct]]&lt;TX_Median_Recommend)
)</f>
        <v>0</v>
      </c>
      <c r="AM212">
        <f>IF(
    tblMergedCleaned[[#This Row],[Readmission_Comparison]]="",
    "",
    --(tblMergedCleaned[[#This Row],[Readmission_Comparison]]="Worse")
)</f>
        <v>0</v>
      </c>
      <c r="AN212">
        <f>COUNT(
    tblMergedCleaned[[#This Row],[Low_Rating_Flag]:[Worse_Readmission_Flag]]
)</f>
        <v>2</v>
      </c>
      <c r="AO212">
        <f>SUM(
    tblMergedCleaned[[#This Row],[Low_Rating_Flag]:[Worse_Readmission_Flag]]
)</f>
        <v>0</v>
      </c>
      <c r="AP21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1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12" s="2">
        <f>IF(
    tblMergedCleaned[[#This Row],[Definitely_Recommend_Pct]]="",
    "",
    tblMergedCleaned[[#This Row],[Definitely_Recommend_Pct]]-TX_Median_Recommend
)</f>
        <v>17</v>
      </c>
      <c r="AS212" s="2">
        <f>IF(
    tblMergedCleaned[[#This Row],[Readmission_Rate_Pct]]="",
    "",
    tblMergedCleaned[[#This Row],[Readmission_Rate_Pct]]-TX_Median_Readmission
)</f>
        <v>-1.0999999999999996</v>
      </c>
    </row>
    <row r="213" spans="1:45">
      <c r="A213" t="s">
        <v>1262</v>
      </c>
      <c r="B213" t="s">
        <v>1263</v>
      </c>
      <c r="C213" t="s">
        <v>1264</v>
      </c>
      <c r="D213" t="s">
        <v>808</v>
      </c>
      <c r="E213" t="s">
        <v>18</v>
      </c>
      <c r="F213" t="s">
        <v>1242</v>
      </c>
      <c r="G213" t="s">
        <v>808</v>
      </c>
      <c r="H213" t="s">
        <v>1265</v>
      </c>
      <c r="I213" t="s">
        <v>21</v>
      </c>
      <c r="J213" t="s">
        <v>22</v>
      </c>
      <c r="K213" t="s">
        <v>302</v>
      </c>
      <c r="M213" t="s">
        <v>176</v>
      </c>
      <c r="N213" t="s">
        <v>177</v>
      </c>
      <c r="U213" t="s">
        <v>176</v>
      </c>
      <c r="W213" s="1">
        <v>45474</v>
      </c>
      <c r="X213" s="1">
        <v>45838</v>
      </c>
      <c r="AD213" t="s">
        <v>168</v>
      </c>
      <c r="AE213" s="1">
        <v>45108</v>
      </c>
      <c r="AF213" s="1">
        <v>45473</v>
      </c>
      <c r="AG213" t="b">
        <v>0</v>
      </c>
      <c r="AH213" t="b">
        <v>0</v>
      </c>
      <c r="AI213" t="b">
        <v>0</v>
      </c>
      <c r="AJ213" t="str">
        <f>IF(tblMergedCleaned[[#This Row],[Overall_Rating]]=
    "",
    "Unavailable",
    IF(tblMergedCleaned[[#This Row],[Overall_Rating]]&lt;=
        2,
        "Low (1-2)",
        IF(tblMergedCleaned[[#This Row],[Overall_Rating]]=
            3,
            "Middle (3)",
            "High (4-5)"
        )
    )
)</f>
        <v>Unavailable</v>
      </c>
      <c r="AK213" t="str" cm="1">
        <f t="array" ref="AK213">IF(
    tblMergedCleaned[[#This Row],[Overall_Rating]]="",
    "",
    --(tblMergedCleaned[[#This Row],[Overall_Rating]]&lt;=2)
)</f>
        <v/>
      </c>
      <c r="AL213" t="str">
        <f>IF(
    tblMergedCleaned[[#This Row],[Definitely_Recommend_Pct]]="",
    "",
    --(tblMergedCleaned[[#This Row],[Definitely_Recommend_Pct]]&lt;TX_Median_Recommend)
)</f>
        <v/>
      </c>
      <c r="AM213" t="str">
        <f>IF(
    tblMergedCleaned[[#This Row],[Readmission_Comparison]]="",
    "",
    --(tblMergedCleaned[[#This Row],[Readmission_Comparison]]="Worse")
)</f>
        <v/>
      </c>
      <c r="AN213">
        <f>COUNT(
    tblMergedCleaned[[#This Row],[Low_Rating_Flag]:[Worse_Readmission_Flag]]
)</f>
        <v>0</v>
      </c>
      <c r="AO213">
        <f>SUM(
    tblMergedCleaned[[#This Row],[Low_Rating_Flag]:[Worse_Readmission_Flag]]
)</f>
        <v>0</v>
      </c>
      <c r="AP21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1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13" s="2" t="str">
        <f>IF(
    tblMergedCleaned[[#This Row],[Definitely_Recommend_Pct]]="",
    "",
    tblMergedCleaned[[#This Row],[Definitely_Recommend_Pct]]-TX_Median_Recommend
)</f>
        <v/>
      </c>
      <c r="AS213" s="2" t="str">
        <f>IF(
    tblMergedCleaned[[#This Row],[Readmission_Rate_Pct]]="",
    "",
    tblMergedCleaned[[#This Row],[Readmission_Rate_Pct]]-TX_Median_Readmission
)</f>
        <v/>
      </c>
    </row>
    <row r="214" spans="1:45">
      <c r="A214" t="s">
        <v>1266</v>
      </c>
      <c r="B214" t="s">
        <v>1267</v>
      </c>
      <c r="C214" t="s">
        <v>1268</v>
      </c>
      <c r="D214" t="s">
        <v>1269</v>
      </c>
      <c r="E214" t="s">
        <v>18</v>
      </c>
      <c r="F214" t="s">
        <v>1270</v>
      </c>
      <c r="G214" t="s">
        <v>128</v>
      </c>
      <c r="H214" t="s">
        <v>1271</v>
      </c>
      <c r="I214" t="s">
        <v>21</v>
      </c>
      <c r="J214" t="s">
        <v>33</v>
      </c>
      <c r="K214" t="s">
        <v>23</v>
      </c>
      <c r="L214">
        <v>4</v>
      </c>
      <c r="M214" t="s">
        <v>34</v>
      </c>
      <c r="N214" t="s">
        <v>25</v>
      </c>
      <c r="O214" s="2">
        <v>82</v>
      </c>
      <c r="P214" s="2">
        <v>80</v>
      </c>
      <c r="Q214" s="2">
        <v>63</v>
      </c>
      <c r="R214" s="2">
        <v>89</v>
      </c>
      <c r="S214" s="2">
        <v>81</v>
      </c>
      <c r="T214" s="2">
        <v>83</v>
      </c>
      <c r="U214" t="s">
        <v>1836</v>
      </c>
      <c r="V214" s="2">
        <v>18</v>
      </c>
      <c r="W214" s="1">
        <v>45474</v>
      </c>
      <c r="X214" s="1">
        <v>45838</v>
      </c>
      <c r="Y214" s="2">
        <v>15</v>
      </c>
      <c r="Z214" t="s">
        <v>1884</v>
      </c>
      <c r="AA214">
        <v>1690</v>
      </c>
      <c r="AB214" s="2">
        <v>13.9</v>
      </c>
      <c r="AC214" s="2">
        <v>16.2</v>
      </c>
      <c r="AD214" t="s">
        <v>25</v>
      </c>
      <c r="AE214" s="1">
        <v>45108</v>
      </c>
      <c r="AF214" s="1">
        <v>45473</v>
      </c>
      <c r="AG214" t="b">
        <v>1</v>
      </c>
      <c r="AH214" t="b">
        <v>1</v>
      </c>
      <c r="AI214" t="b">
        <v>1</v>
      </c>
      <c r="AJ214" t="str">
        <f>IF(tblMergedCleaned[[#This Row],[Overall_Rating]]=
    "",
    "Unavailable",
    IF(tblMergedCleaned[[#This Row],[Overall_Rating]]&lt;=
        2,
        "Low (1-2)",
        IF(tblMergedCleaned[[#This Row],[Overall_Rating]]=
            3,
            "Middle (3)",
            "High (4-5)"
        )
    )
)</f>
        <v>High (4-5)</v>
      </c>
      <c r="AK214" cm="1">
        <f t="array" ref="AK214">IF(
    tblMergedCleaned[[#This Row],[Overall_Rating]]="",
    "",
    --(tblMergedCleaned[[#This Row],[Overall_Rating]]&lt;=2)
)</f>
        <v>0</v>
      </c>
      <c r="AL214">
        <f>IF(
    tblMergedCleaned[[#This Row],[Definitely_Recommend_Pct]]="",
    "",
    --(tblMergedCleaned[[#This Row],[Definitely_Recommend_Pct]]&lt;TX_Median_Recommend)
)</f>
        <v>0</v>
      </c>
      <c r="AM214">
        <f>IF(
    tblMergedCleaned[[#This Row],[Readmission_Comparison]]="",
    "",
    --(tblMergedCleaned[[#This Row],[Readmission_Comparison]]="Worse")
)</f>
        <v>0</v>
      </c>
      <c r="AN214">
        <f>COUNT(
    tblMergedCleaned[[#This Row],[Low_Rating_Flag]:[Worse_Readmission_Flag]]
)</f>
        <v>3</v>
      </c>
      <c r="AO214">
        <f>SUM(
    tblMergedCleaned[[#This Row],[Low_Rating_Flag]:[Worse_Readmission_Flag]]
)</f>
        <v>0</v>
      </c>
      <c r="AP21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1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14" s="2">
        <f>IF(
    tblMergedCleaned[[#This Row],[Definitely_Recommend_Pct]]="",
    "",
    tblMergedCleaned[[#This Row],[Definitely_Recommend_Pct]]-TX_Median_Recommend
)</f>
        <v>12</v>
      </c>
      <c r="AS214" s="2">
        <f>IF(
    tblMergedCleaned[[#This Row],[Readmission_Rate_Pct]]="",
    "",
    tblMergedCleaned[[#This Row],[Readmission_Rate_Pct]]-TX_Median_Readmission
)</f>
        <v>9.9999999999999645E-2</v>
      </c>
    </row>
    <row r="215" spans="1:45">
      <c r="A215" t="s">
        <v>1272</v>
      </c>
      <c r="B215" t="s">
        <v>1273</v>
      </c>
      <c r="C215" t="s">
        <v>1274</v>
      </c>
      <c r="D215" t="s">
        <v>847</v>
      </c>
      <c r="E215" t="s">
        <v>18</v>
      </c>
      <c r="F215" t="s">
        <v>1034</v>
      </c>
      <c r="G215" t="s">
        <v>629</v>
      </c>
      <c r="H215" t="s">
        <v>1275</v>
      </c>
      <c r="I215" t="s">
        <v>21</v>
      </c>
      <c r="J215" t="s">
        <v>81</v>
      </c>
      <c r="K215" t="s">
        <v>23</v>
      </c>
      <c r="L215">
        <v>4</v>
      </c>
      <c r="M215" t="s">
        <v>34</v>
      </c>
      <c r="N215" t="s">
        <v>25</v>
      </c>
      <c r="O215" s="2">
        <v>85</v>
      </c>
      <c r="P215" s="2">
        <v>84</v>
      </c>
      <c r="Q215" s="2">
        <v>68</v>
      </c>
      <c r="R215" s="2">
        <v>90</v>
      </c>
      <c r="S215" s="2">
        <v>88</v>
      </c>
      <c r="T215" s="2">
        <v>89</v>
      </c>
      <c r="U215" t="s">
        <v>1837</v>
      </c>
      <c r="V215" s="2">
        <v>31</v>
      </c>
      <c r="W215" s="1">
        <v>45474</v>
      </c>
      <c r="X215" s="1">
        <v>45838</v>
      </c>
      <c r="Y215" s="2">
        <v>14.1</v>
      </c>
      <c r="Z215" t="s">
        <v>1884</v>
      </c>
      <c r="AA215">
        <v>2452</v>
      </c>
      <c r="AB215" s="2">
        <v>13</v>
      </c>
      <c r="AC215" s="2">
        <v>15.3</v>
      </c>
      <c r="AD215" t="s">
        <v>25</v>
      </c>
      <c r="AE215" s="1">
        <v>45108</v>
      </c>
      <c r="AF215" s="1">
        <v>45473</v>
      </c>
      <c r="AG215" t="b">
        <v>1</v>
      </c>
      <c r="AH215" t="b">
        <v>1</v>
      </c>
      <c r="AI215" t="b">
        <v>1</v>
      </c>
      <c r="AJ215" t="str">
        <f>IF(tblMergedCleaned[[#This Row],[Overall_Rating]]=
    "",
    "Unavailable",
    IF(tblMergedCleaned[[#This Row],[Overall_Rating]]&lt;=
        2,
        "Low (1-2)",
        IF(tblMergedCleaned[[#This Row],[Overall_Rating]]=
            3,
            "Middle (3)",
            "High (4-5)"
        )
    )
)</f>
        <v>High (4-5)</v>
      </c>
      <c r="AK215" cm="1">
        <f t="array" ref="AK215">IF(
    tblMergedCleaned[[#This Row],[Overall_Rating]]="",
    "",
    --(tblMergedCleaned[[#This Row],[Overall_Rating]]&lt;=2)
)</f>
        <v>0</v>
      </c>
      <c r="AL215">
        <f>IF(
    tblMergedCleaned[[#This Row],[Definitely_Recommend_Pct]]="",
    "",
    --(tblMergedCleaned[[#This Row],[Definitely_Recommend_Pct]]&lt;TX_Median_Recommend)
)</f>
        <v>0</v>
      </c>
      <c r="AM215">
        <f>IF(
    tblMergedCleaned[[#This Row],[Readmission_Comparison]]="",
    "",
    --(tblMergedCleaned[[#This Row],[Readmission_Comparison]]="Worse")
)</f>
        <v>0</v>
      </c>
      <c r="AN215">
        <f>COUNT(
    tblMergedCleaned[[#This Row],[Low_Rating_Flag]:[Worse_Readmission_Flag]]
)</f>
        <v>3</v>
      </c>
      <c r="AO215">
        <f>SUM(
    tblMergedCleaned[[#This Row],[Low_Rating_Flag]:[Worse_Readmission_Flag]]
)</f>
        <v>0</v>
      </c>
      <c r="AP21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1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15" s="2">
        <f>IF(
    tblMergedCleaned[[#This Row],[Definitely_Recommend_Pct]]="",
    "",
    tblMergedCleaned[[#This Row],[Definitely_Recommend_Pct]]-TX_Median_Recommend
)</f>
        <v>18</v>
      </c>
      <c r="AS215" s="2">
        <f>IF(
    tblMergedCleaned[[#This Row],[Readmission_Rate_Pct]]="",
    "",
    tblMergedCleaned[[#This Row],[Readmission_Rate_Pct]]-TX_Median_Readmission
)</f>
        <v>-0.80000000000000071</v>
      </c>
    </row>
    <row r="216" spans="1:45">
      <c r="A216" t="s">
        <v>1276</v>
      </c>
      <c r="B216" t="s">
        <v>1277</v>
      </c>
      <c r="C216" t="s">
        <v>1278</v>
      </c>
      <c r="D216" t="s">
        <v>260</v>
      </c>
      <c r="E216" t="s">
        <v>18</v>
      </c>
      <c r="F216" t="s">
        <v>1279</v>
      </c>
      <c r="G216" t="s">
        <v>121</v>
      </c>
      <c r="H216" t="s">
        <v>1280</v>
      </c>
      <c r="I216" t="s">
        <v>21</v>
      </c>
      <c r="J216" t="s">
        <v>22</v>
      </c>
      <c r="K216" t="s">
        <v>23</v>
      </c>
      <c r="L216">
        <v>3</v>
      </c>
      <c r="M216" t="s">
        <v>42</v>
      </c>
      <c r="N216" t="s">
        <v>25</v>
      </c>
      <c r="O216" s="2">
        <v>75</v>
      </c>
      <c r="P216" s="2">
        <v>72</v>
      </c>
      <c r="Q216" s="2">
        <v>57</v>
      </c>
      <c r="R216" s="2">
        <v>81</v>
      </c>
      <c r="S216" s="2">
        <v>68</v>
      </c>
      <c r="T216" s="2">
        <v>65</v>
      </c>
      <c r="U216" t="s">
        <v>1838</v>
      </c>
      <c r="V216" s="2">
        <v>17</v>
      </c>
      <c r="W216" s="1">
        <v>45474</v>
      </c>
      <c r="X216" s="1">
        <v>45838</v>
      </c>
      <c r="Y216" s="2">
        <v>14.6</v>
      </c>
      <c r="Z216" t="s">
        <v>1884</v>
      </c>
      <c r="AA216">
        <v>389</v>
      </c>
      <c r="AB216" s="2">
        <v>13.1</v>
      </c>
      <c r="AC216" s="2">
        <v>16.3</v>
      </c>
      <c r="AD216" t="s">
        <v>25</v>
      </c>
      <c r="AE216" s="1">
        <v>45108</v>
      </c>
      <c r="AF216" s="1">
        <v>45473</v>
      </c>
      <c r="AG216" t="b">
        <v>1</v>
      </c>
      <c r="AH216" t="b">
        <v>1</v>
      </c>
      <c r="AI216" t="b">
        <v>1</v>
      </c>
      <c r="AJ216" t="str">
        <f>IF(tblMergedCleaned[[#This Row],[Overall_Rating]]=
    "",
    "Unavailable",
    IF(tblMergedCleaned[[#This Row],[Overall_Rating]]&lt;=
        2,
        "Low (1-2)",
        IF(tblMergedCleaned[[#This Row],[Overall_Rating]]=
            3,
            "Middle (3)",
            "High (4-5)"
        )
    )
)</f>
        <v>Middle (3)</v>
      </c>
      <c r="AK216" cm="1">
        <f t="array" ref="AK216">IF(
    tblMergedCleaned[[#This Row],[Overall_Rating]]="",
    "",
    --(tblMergedCleaned[[#This Row],[Overall_Rating]]&lt;=2)
)</f>
        <v>0</v>
      </c>
      <c r="AL216">
        <f>IF(
    tblMergedCleaned[[#This Row],[Definitely_Recommend_Pct]]="",
    "",
    --(tblMergedCleaned[[#This Row],[Definitely_Recommend_Pct]]&lt;TX_Median_Recommend)
)</f>
        <v>1</v>
      </c>
      <c r="AM216">
        <f>IF(
    tblMergedCleaned[[#This Row],[Readmission_Comparison]]="",
    "",
    --(tblMergedCleaned[[#This Row],[Readmission_Comparison]]="Worse")
)</f>
        <v>0</v>
      </c>
      <c r="AN216">
        <f>COUNT(
    tblMergedCleaned[[#This Row],[Low_Rating_Flag]:[Worse_Readmission_Flag]]
)</f>
        <v>3</v>
      </c>
      <c r="AO216">
        <f>SUM(
    tblMergedCleaned[[#This Row],[Low_Rating_Flag]:[Worse_Readmission_Flag]]
)</f>
        <v>1</v>
      </c>
      <c r="AP21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21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16" s="2">
        <f>IF(
    tblMergedCleaned[[#This Row],[Definitely_Recommend_Pct]]="",
    "",
    tblMergedCleaned[[#This Row],[Definitely_Recommend_Pct]]-TX_Median_Recommend
)</f>
        <v>-6</v>
      </c>
      <c r="AS216" s="2">
        <f>IF(
    tblMergedCleaned[[#This Row],[Readmission_Rate_Pct]]="",
    "",
    tblMergedCleaned[[#This Row],[Readmission_Rate_Pct]]-TX_Median_Readmission
)</f>
        <v>-0.30000000000000071</v>
      </c>
    </row>
    <row r="217" spans="1:45">
      <c r="A217" t="s">
        <v>1281</v>
      </c>
      <c r="B217" t="s">
        <v>1282</v>
      </c>
      <c r="C217" t="s">
        <v>1283</v>
      </c>
      <c r="D217" t="s">
        <v>991</v>
      </c>
      <c r="E217" t="s">
        <v>18</v>
      </c>
      <c r="F217" t="s">
        <v>1284</v>
      </c>
      <c r="G217" t="s">
        <v>993</v>
      </c>
      <c r="H217" t="s">
        <v>1285</v>
      </c>
      <c r="I217" t="s">
        <v>21</v>
      </c>
      <c r="J217" t="s">
        <v>33</v>
      </c>
      <c r="K217" t="s">
        <v>23</v>
      </c>
      <c r="L217">
        <v>4</v>
      </c>
      <c r="M217" t="s">
        <v>34</v>
      </c>
      <c r="N217" t="s">
        <v>25</v>
      </c>
      <c r="O217" s="2">
        <v>81</v>
      </c>
      <c r="P217" s="2">
        <v>80</v>
      </c>
      <c r="Q217" s="2">
        <v>62</v>
      </c>
      <c r="R217" s="2">
        <v>89</v>
      </c>
      <c r="S217" s="2">
        <v>77</v>
      </c>
      <c r="T217" s="2">
        <v>78</v>
      </c>
      <c r="U217" t="s">
        <v>1839</v>
      </c>
      <c r="V217" s="2">
        <v>20</v>
      </c>
      <c r="W217" s="1">
        <v>45474</v>
      </c>
      <c r="X217" s="1">
        <v>45838</v>
      </c>
      <c r="Y217" s="2">
        <v>13.9</v>
      </c>
      <c r="Z217" t="s">
        <v>1884</v>
      </c>
      <c r="AA217">
        <v>2814</v>
      </c>
      <c r="AB217" s="2">
        <v>13.1</v>
      </c>
      <c r="AC217" s="2">
        <v>15.1</v>
      </c>
      <c r="AD217" t="s">
        <v>25</v>
      </c>
      <c r="AE217" s="1">
        <v>45108</v>
      </c>
      <c r="AF217" s="1">
        <v>45473</v>
      </c>
      <c r="AG217" t="b">
        <v>1</v>
      </c>
      <c r="AH217" t="b">
        <v>1</v>
      </c>
      <c r="AI217" t="b">
        <v>1</v>
      </c>
      <c r="AJ217" t="str">
        <f>IF(tblMergedCleaned[[#This Row],[Overall_Rating]]=
    "",
    "Unavailable",
    IF(tblMergedCleaned[[#This Row],[Overall_Rating]]&lt;=
        2,
        "Low (1-2)",
        IF(tblMergedCleaned[[#This Row],[Overall_Rating]]=
            3,
            "Middle (3)",
            "High (4-5)"
        )
    )
)</f>
        <v>High (4-5)</v>
      </c>
      <c r="AK217" cm="1">
        <f t="array" ref="AK217">IF(
    tblMergedCleaned[[#This Row],[Overall_Rating]]="",
    "",
    --(tblMergedCleaned[[#This Row],[Overall_Rating]]&lt;=2)
)</f>
        <v>0</v>
      </c>
      <c r="AL217">
        <f>IF(
    tblMergedCleaned[[#This Row],[Definitely_Recommend_Pct]]="",
    "",
    --(tblMergedCleaned[[#This Row],[Definitely_Recommend_Pct]]&lt;TX_Median_Recommend)
)</f>
        <v>0</v>
      </c>
      <c r="AM217">
        <f>IF(
    tblMergedCleaned[[#This Row],[Readmission_Comparison]]="",
    "",
    --(tblMergedCleaned[[#This Row],[Readmission_Comparison]]="Worse")
)</f>
        <v>0</v>
      </c>
      <c r="AN217">
        <f>COUNT(
    tblMergedCleaned[[#This Row],[Low_Rating_Flag]:[Worse_Readmission_Flag]]
)</f>
        <v>3</v>
      </c>
      <c r="AO217">
        <f>SUM(
    tblMergedCleaned[[#This Row],[Low_Rating_Flag]:[Worse_Readmission_Flag]]
)</f>
        <v>0</v>
      </c>
      <c r="AP21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1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17" s="2">
        <f>IF(
    tblMergedCleaned[[#This Row],[Definitely_Recommend_Pct]]="",
    "",
    tblMergedCleaned[[#This Row],[Definitely_Recommend_Pct]]-TX_Median_Recommend
)</f>
        <v>7</v>
      </c>
      <c r="AS217" s="2">
        <f>IF(
    tblMergedCleaned[[#This Row],[Readmission_Rate_Pct]]="",
    "",
    tblMergedCleaned[[#This Row],[Readmission_Rate_Pct]]-TX_Median_Readmission
)</f>
        <v>-1</v>
      </c>
    </row>
    <row r="218" spans="1:45">
      <c r="A218" t="s">
        <v>1286</v>
      </c>
      <c r="B218" t="s">
        <v>1287</v>
      </c>
      <c r="C218" t="s">
        <v>1288</v>
      </c>
      <c r="D218" t="s">
        <v>991</v>
      </c>
      <c r="E218" t="s">
        <v>18</v>
      </c>
      <c r="F218" t="s">
        <v>1284</v>
      </c>
      <c r="G218" t="s">
        <v>993</v>
      </c>
      <c r="H218" t="s">
        <v>1289</v>
      </c>
      <c r="I218" t="s">
        <v>21</v>
      </c>
      <c r="J218" t="s">
        <v>33</v>
      </c>
      <c r="K218" t="s">
        <v>23</v>
      </c>
      <c r="L218">
        <v>4</v>
      </c>
      <c r="M218" t="s">
        <v>34</v>
      </c>
      <c r="N218" t="s">
        <v>143</v>
      </c>
      <c r="O218" s="2">
        <v>75</v>
      </c>
      <c r="P218" s="2">
        <v>77</v>
      </c>
      <c r="Q218" s="2">
        <v>61</v>
      </c>
      <c r="R218" s="2">
        <v>85</v>
      </c>
      <c r="S218" s="2">
        <v>71</v>
      </c>
      <c r="T218" s="2">
        <v>72</v>
      </c>
      <c r="U218" t="s">
        <v>1691</v>
      </c>
      <c r="V218" s="2">
        <v>15</v>
      </c>
      <c r="W218" s="1">
        <v>45474</v>
      </c>
      <c r="X218" s="1">
        <v>45838</v>
      </c>
      <c r="Y218" s="2">
        <v>14.4</v>
      </c>
      <c r="Z218" t="s">
        <v>1884</v>
      </c>
      <c r="AA218">
        <v>936</v>
      </c>
      <c r="AB218" s="2">
        <v>13.7</v>
      </c>
      <c r="AC218" s="2">
        <v>16</v>
      </c>
      <c r="AD218" t="s">
        <v>143</v>
      </c>
      <c r="AE218" s="1">
        <v>45108</v>
      </c>
      <c r="AF218" s="1">
        <v>45473</v>
      </c>
      <c r="AG218" t="b">
        <v>1</v>
      </c>
      <c r="AH218" t="b">
        <v>1</v>
      </c>
      <c r="AI218" t="b">
        <v>1</v>
      </c>
      <c r="AJ218" t="str">
        <f>IF(tblMergedCleaned[[#This Row],[Overall_Rating]]=
    "",
    "Unavailable",
    IF(tblMergedCleaned[[#This Row],[Overall_Rating]]&lt;=
        2,
        "Low (1-2)",
        IF(tblMergedCleaned[[#This Row],[Overall_Rating]]=
            3,
            "Middle (3)",
            "High (4-5)"
        )
    )
)</f>
        <v>High (4-5)</v>
      </c>
      <c r="AK218" cm="1">
        <f t="array" ref="AK218">IF(
    tblMergedCleaned[[#This Row],[Overall_Rating]]="",
    "",
    --(tblMergedCleaned[[#This Row],[Overall_Rating]]&lt;=2)
)</f>
        <v>0</v>
      </c>
      <c r="AL218">
        <f>IF(
    tblMergedCleaned[[#This Row],[Definitely_Recommend_Pct]]="",
    "",
    --(tblMergedCleaned[[#This Row],[Definitely_Recommend_Pct]]&lt;TX_Median_Recommend)
)</f>
        <v>0</v>
      </c>
      <c r="AM218">
        <f>IF(
    tblMergedCleaned[[#This Row],[Readmission_Comparison]]="",
    "",
    --(tblMergedCleaned[[#This Row],[Readmission_Comparison]]="Worse")
)</f>
        <v>0</v>
      </c>
      <c r="AN218">
        <f>COUNT(
    tblMergedCleaned[[#This Row],[Low_Rating_Flag]:[Worse_Readmission_Flag]]
)</f>
        <v>3</v>
      </c>
      <c r="AO218">
        <f>SUM(
    tblMergedCleaned[[#This Row],[Low_Rating_Flag]:[Worse_Readmission_Flag]]
)</f>
        <v>0</v>
      </c>
      <c r="AP21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1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18" s="2">
        <f>IF(
    tblMergedCleaned[[#This Row],[Definitely_Recommend_Pct]]="",
    "",
    tblMergedCleaned[[#This Row],[Definitely_Recommend_Pct]]-TX_Median_Recommend
)</f>
        <v>1</v>
      </c>
      <c r="AS218" s="2">
        <f>IF(
    tblMergedCleaned[[#This Row],[Readmission_Rate_Pct]]="",
    "",
    tblMergedCleaned[[#This Row],[Readmission_Rate_Pct]]-TX_Median_Readmission
)</f>
        <v>-0.5</v>
      </c>
    </row>
    <row r="219" spans="1:45">
      <c r="A219" t="s">
        <v>1290</v>
      </c>
      <c r="B219" t="s">
        <v>1291</v>
      </c>
      <c r="C219" t="s">
        <v>1292</v>
      </c>
      <c r="D219" t="s">
        <v>1293</v>
      </c>
      <c r="E219" t="s">
        <v>18</v>
      </c>
      <c r="F219" t="s">
        <v>1294</v>
      </c>
      <c r="G219" t="s">
        <v>993</v>
      </c>
      <c r="H219" t="s">
        <v>1295</v>
      </c>
      <c r="I219" t="s">
        <v>21</v>
      </c>
      <c r="J219" t="s">
        <v>75</v>
      </c>
      <c r="K219" t="s">
        <v>23</v>
      </c>
      <c r="L219">
        <v>3</v>
      </c>
      <c r="M219" t="s">
        <v>42</v>
      </c>
      <c r="N219" t="s">
        <v>25</v>
      </c>
      <c r="O219" s="2">
        <v>73</v>
      </c>
      <c r="P219" s="2">
        <v>77</v>
      </c>
      <c r="Q219" s="2">
        <v>57</v>
      </c>
      <c r="R219" s="2">
        <v>81</v>
      </c>
      <c r="S219" s="2">
        <v>65</v>
      </c>
      <c r="T219" s="2">
        <v>62</v>
      </c>
      <c r="U219" t="s">
        <v>1840</v>
      </c>
      <c r="V219" s="2">
        <v>12</v>
      </c>
      <c r="W219" s="1">
        <v>45474</v>
      </c>
      <c r="X219" s="1">
        <v>45838</v>
      </c>
      <c r="Y219" s="2">
        <v>15.6</v>
      </c>
      <c r="Z219" t="s">
        <v>1884</v>
      </c>
      <c r="AA219">
        <v>1020</v>
      </c>
      <c r="AB219" s="2">
        <v>14.5</v>
      </c>
      <c r="AC219" s="2">
        <v>17.2</v>
      </c>
      <c r="AD219" t="s">
        <v>25</v>
      </c>
      <c r="AE219" s="1">
        <v>45108</v>
      </c>
      <c r="AF219" s="1">
        <v>45473</v>
      </c>
      <c r="AG219" t="b">
        <v>1</v>
      </c>
      <c r="AH219" t="b">
        <v>1</v>
      </c>
      <c r="AI219" t="b">
        <v>1</v>
      </c>
      <c r="AJ219" t="str">
        <f>IF(tblMergedCleaned[[#This Row],[Overall_Rating]]=
    "",
    "Unavailable",
    IF(tblMergedCleaned[[#This Row],[Overall_Rating]]&lt;=
        2,
        "Low (1-2)",
        IF(tblMergedCleaned[[#This Row],[Overall_Rating]]=
            3,
            "Middle (3)",
            "High (4-5)"
        )
    )
)</f>
        <v>Middle (3)</v>
      </c>
      <c r="AK219" cm="1">
        <f t="array" ref="AK219">IF(
    tblMergedCleaned[[#This Row],[Overall_Rating]]="",
    "",
    --(tblMergedCleaned[[#This Row],[Overall_Rating]]&lt;=2)
)</f>
        <v>0</v>
      </c>
      <c r="AL219">
        <f>IF(
    tblMergedCleaned[[#This Row],[Definitely_Recommend_Pct]]="",
    "",
    --(tblMergedCleaned[[#This Row],[Definitely_Recommend_Pct]]&lt;TX_Median_Recommend)
)</f>
        <v>1</v>
      </c>
      <c r="AM219">
        <f>IF(
    tblMergedCleaned[[#This Row],[Readmission_Comparison]]="",
    "",
    --(tblMergedCleaned[[#This Row],[Readmission_Comparison]]="Worse")
)</f>
        <v>0</v>
      </c>
      <c r="AN219">
        <f>COUNT(
    tblMergedCleaned[[#This Row],[Low_Rating_Flag]:[Worse_Readmission_Flag]]
)</f>
        <v>3</v>
      </c>
      <c r="AO219">
        <f>SUM(
    tblMergedCleaned[[#This Row],[Low_Rating_Flag]:[Worse_Readmission_Flag]]
)</f>
        <v>1</v>
      </c>
      <c r="AP21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21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19" s="2">
        <f>IF(
    tblMergedCleaned[[#This Row],[Definitely_Recommend_Pct]]="",
    "",
    tblMergedCleaned[[#This Row],[Definitely_Recommend_Pct]]-TX_Median_Recommend
)</f>
        <v>-9</v>
      </c>
      <c r="AS219" s="2">
        <f>IF(
    tblMergedCleaned[[#This Row],[Readmission_Rate_Pct]]="",
    "",
    tblMergedCleaned[[#This Row],[Readmission_Rate_Pct]]-TX_Median_Readmission
)</f>
        <v>0.69999999999999929</v>
      </c>
    </row>
    <row r="220" spans="1:45">
      <c r="A220" t="s">
        <v>1296</v>
      </c>
      <c r="B220" t="s">
        <v>1297</v>
      </c>
      <c r="C220" t="s">
        <v>1298</v>
      </c>
      <c r="D220" t="s">
        <v>1299</v>
      </c>
      <c r="E220" t="s">
        <v>18</v>
      </c>
      <c r="F220" t="s">
        <v>1300</v>
      </c>
      <c r="G220" t="s">
        <v>1299</v>
      </c>
      <c r="H220" t="s">
        <v>1301</v>
      </c>
      <c r="I220" t="s">
        <v>21</v>
      </c>
      <c r="J220" t="s">
        <v>22</v>
      </c>
      <c r="K220" t="s">
        <v>23</v>
      </c>
      <c r="L220">
        <v>5</v>
      </c>
      <c r="M220" t="s">
        <v>168</v>
      </c>
      <c r="N220" t="s">
        <v>25</v>
      </c>
      <c r="O220" s="2">
        <v>80</v>
      </c>
      <c r="P220" s="2">
        <v>78</v>
      </c>
      <c r="Q220" s="2">
        <v>63</v>
      </c>
      <c r="R220" s="2">
        <v>88</v>
      </c>
      <c r="S220" s="2">
        <v>78</v>
      </c>
      <c r="T220" s="2">
        <v>80</v>
      </c>
      <c r="U220" t="s">
        <v>1694</v>
      </c>
      <c r="V220" s="2">
        <v>19</v>
      </c>
      <c r="W220" s="1">
        <v>45474</v>
      </c>
      <c r="X220" s="1">
        <v>45838</v>
      </c>
      <c r="Y220" s="2">
        <v>14.6</v>
      </c>
      <c r="Z220" t="s">
        <v>1884</v>
      </c>
      <c r="AA220">
        <v>819</v>
      </c>
      <c r="AB220" s="2">
        <v>13.2</v>
      </c>
      <c r="AC220" s="2">
        <v>16.2</v>
      </c>
      <c r="AD220" t="s">
        <v>25</v>
      </c>
      <c r="AE220" s="1">
        <v>45108</v>
      </c>
      <c r="AF220" s="1">
        <v>45473</v>
      </c>
      <c r="AG220" t="b">
        <v>1</v>
      </c>
      <c r="AH220" t="b">
        <v>1</v>
      </c>
      <c r="AI220" t="b">
        <v>1</v>
      </c>
      <c r="AJ220" t="str">
        <f>IF(tblMergedCleaned[[#This Row],[Overall_Rating]]=
    "",
    "Unavailable",
    IF(tblMergedCleaned[[#This Row],[Overall_Rating]]&lt;=
        2,
        "Low (1-2)",
        IF(tblMergedCleaned[[#This Row],[Overall_Rating]]=
            3,
            "Middle (3)",
            "High (4-5)"
        )
    )
)</f>
        <v>High (4-5)</v>
      </c>
      <c r="AK220" cm="1">
        <f t="array" ref="AK220">IF(
    tblMergedCleaned[[#This Row],[Overall_Rating]]="",
    "",
    --(tblMergedCleaned[[#This Row],[Overall_Rating]]&lt;=2)
)</f>
        <v>0</v>
      </c>
      <c r="AL220">
        <f>IF(
    tblMergedCleaned[[#This Row],[Definitely_Recommend_Pct]]="",
    "",
    --(tblMergedCleaned[[#This Row],[Definitely_Recommend_Pct]]&lt;TX_Median_Recommend)
)</f>
        <v>0</v>
      </c>
      <c r="AM220">
        <f>IF(
    tblMergedCleaned[[#This Row],[Readmission_Comparison]]="",
    "",
    --(tblMergedCleaned[[#This Row],[Readmission_Comparison]]="Worse")
)</f>
        <v>0</v>
      </c>
      <c r="AN220">
        <f>COUNT(
    tblMergedCleaned[[#This Row],[Low_Rating_Flag]:[Worse_Readmission_Flag]]
)</f>
        <v>3</v>
      </c>
      <c r="AO220">
        <f>SUM(
    tblMergedCleaned[[#This Row],[Low_Rating_Flag]:[Worse_Readmission_Flag]]
)</f>
        <v>0</v>
      </c>
      <c r="AP22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2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20" s="2">
        <f>IF(
    tblMergedCleaned[[#This Row],[Definitely_Recommend_Pct]]="",
    "",
    tblMergedCleaned[[#This Row],[Definitely_Recommend_Pct]]-TX_Median_Recommend
)</f>
        <v>9</v>
      </c>
      <c r="AS220" s="2">
        <f>IF(
    tblMergedCleaned[[#This Row],[Readmission_Rate_Pct]]="",
    "",
    tblMergedCleaned[[#This Row],[Readmission_Rate_Pct]]-TX_Median_Readmission
)</f>
        <v>-0.30000000000000071</v>
      </c>
    </row>
    <row r="221" spans="1:45">
      <c r="A221" t="s">
        <v>1302</v>
      </c>
      <c r="B221" t="s">
        <v>1303</v>
      </c>
      <c r="C221" t="s">
        <v>1304</v>
      </c>
      <c r="D221" t="s">
        <v>17</v>
      </c>
      <c r="E221" t="s">
        <v>18</v>
      </c>
      <c r="F221" t="s">
        <v>1305</v>
      </c>
      <c r="G221" t="s">
        <v>17</v>
      </c>
      <c r="H221" t="s">
        <v>1306</v>
      </c>
      <c r="I221" t="s">
        <v>21</v>
      </c>
      <c r="J221" t="s">
        <v>22</v>
      </c>
      <c r="K221" t="s">
        <v>23</v>
      </c>
      <c r="L221">
        <v>2</v>
      </c>
      <c r="M221" t="s">
        <v>24</v>
      </c>
      <c r="N221" t="s">
        <v>25</v>
      </c>
      <c r="O221" s="2">
        <v>69</v>
      </c>
      <c r="P221" s="2">
        <v>68</v>
      </c>
      <c r="Q221" s="2">
        <v>51</v>
      </c>
      <c r="R221" s="2">
        <v>77</v>
      </c>
      <c r="S221" s="2">
        <v>58</v>
      </c>
      <c r="T221" s="2">
        <v>57</v>
      </c>
      <c r="U221" t="s">
        <v>1841</v>
      </c>
      <c r="V221" s="2">
        <v>12</v>
      </c>
      <c r="W221" s="1">
        <v>45474</v>
      </c>
      <c r="X221" s="1">
        <v>45838</v>
      </c>
      <c r="Y221" s="2">
        <v>15.1</v>
      </c>
      <c r="Z221" t="s">
        <v>1884</v>
      </c>
      <c r="AA221">
        <v>910</v>
      </c>
      <c r="AB221" s="2">
        <v>13.8</v>
      </c>
      <c r="AC221" s="2">
        <v>16.5</v>
      </c>
      <c r="AD221" t="s">
        <v>25</v>
      </c>
      <c r="AE221" s="1">
        <v>45108</v>
      </c>
      <c r="AF221" s="1">
        <v>45473</v>
      </c>
      <c r="AG221" t="b">
        <v>1</v>
      </c>
      <c r="AH221" t="b">
        <v>1</v>
      </c>
      <c r="AI221" t="b">
        <v>1</v>
      </c>
      <c r="AJ221" t="str">
        <f>IF(tblMergedCleaned[[#This Row],[Overall_Rating]]=
    "",
    "Unavailable",
    IF(tblMergedCleaned[[#This Row],[Overall_Rating]]&lt;=
        2,
        "Low (1-2)",
        IF(tblMergedCleaned[[#This Row],[Overall_Rating]]=
            3,
            "Middle (3)",
            "High (4-5)"
        )
    )
)</f>
        <v>Low (1-2)</v>
      </c>
      <c r="AK221" cm="1">
        <f t="array" ref="AK221">IF(
    tblMergedCleaned[[#This Row],[Overall_Rating]]="",
    "",
    --(tblMergedCleaned[[#This Row],[Overall_Rating]]&lt;=2)
)</f>
        <v>1</v>
      </c>
      <c r="AL221">
        <f>IF(
    tblMergedCleaned[[#This Row],[Definitely_Recommend_Pct]]="",
    "",
    --(tblMergedCleaned[[#This Row],[Definitely_Recommend_Pct]]&lt;TX_Median_Recommend)
)</f>
        <v>1</v>
      </c>
      <c r="AM221">
        <f>IF(
    tblMergedCleaned[[#This Row],[Readmission_Comparison]]="",
    "",
    --(tblMergedCleaned[[#This Row],[Readmission_Comparison]]="Worse")
)</f>
        <v>0</v>
      </c>
      <c r="AN221">
        <f>COUNT(
    tblMergedCleaned[[#This Row],[Low_Rating_Flag]:[Worse_Readmission_Flag]]
)</f>
        <v>3</v>
      </c>
      <c r="AO221">
        <f>SUM(
    tblMergedCleaned[[#This Row],[Low_Rating_Flag]:[Worse_Readmission_Flag]]
)</f>
        <v>2</v>
      </c>
      <c r="AP22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22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21" s="2">
        <f>IF(
    tblMergedCleaned[[#This Row],[Definitely_Recommend_Pct]]="",
    "",
    tblMergedCleaned[[#This Row],[Definitely_Recommend_Pct]]-TX_Median_Recommend
)</f>
        <v>-14</v>
      </c>
      <c r="AS221" s="2">
        <f>IF(
    tblMergedCleaned[[#This Row],[Readmission_Rate_Pct]]="",
    "",
    tblMergedCleaned[[#This Row],[Readmission_Rate_Pct]]-TX_Median_Readmission
)</f>
        <v>0.19999999999999929</v>
      </c>
    </row>
    <row r="222" spans="1:45">
      <c r="A222" t="s">
        <v>1307</v>
      </c>
      <c r="B222" t="s">
        <v>1308</v>
      </c>
      <c r="C222" t="s">
        <v>1309</v>
      </c>
      <c r="D222" t="s">
        <v>53</v>
      </c>
      <c r="E222" t="s">
        <v>18</v>
      </c>
      <c r="F222" t="s">
        <v>675</v>
      </c>
      <c r="G222" t="s">
        <v>53</v>
      </c>
      <c r="H222" t="s">
        <v>1310</v>
      </c>
      <c r="I222" t="s">
        <v>21</v>
      </c>
      <c r="J222" t="s">
        <v>75</v>
      </c>
      <c r="K222" t="s">
        <v>23</v>
      </c>
      <c r="M222" t="s">
        <v>176</v>
      </c>
      <c r="N222" t="s">
        <v>177</v>
      </c>
      <c r="O222" s="2">
        <v>78</v>
      </c>
      <c r="P222" s="2">
        <v>85</v>
      </c>
      <c r="Q222" s="2">
        <v>65</v>
      </c>
      <c r="R222" s="2">
        <v>91</v>
      </c>
      <c r="S222" s="2">
        <v>78</v>
      </c>
      <c r="T222" s="2">
        <v>80</v>
      </c>
      <c r="U222" t="s">
        <v>1842</v>
      </c>
      <c r="V222" s="2">
        <v>41</v>
      </c>
      <c r="W222" s="1">
        <v>45474</v>
      </c>
      <c r="X222" s="1">
        <v>45838</v>
      </c>
      <c r="Y222" s="2">
        <v>14.2</v>
      </c>
      <c r="Z222" t="s">
        <v>1884</v>
      </c>
      <c r="AA222">
        <v>368</v>
      </c>
      <c r="AB222" s="2">
        <v>11.6</v>
      </c>
      <c r="AC222" s="2">
        <v>17.5</v>
      </c>
      <c r="AD222" t="s">
        <v>25</v>
      </c>
      <c r="AE222" s="1">
        <v>45108</v>
      </c>
      <c r="AF222" s="1">
        <v>45473</v>
      </c>
      <c r="AG222" t="b">
        <v>0</v>
      </c>
      <c r="AH222" t="b">
        <v>1</v>
      </c>
      <c r="AI222" t="b">
        <v>1</v>
      </c>
      <c r="AJ222" t="str">
        <f>IF(tblMergedCleaned[[#This Row],[Overall_Rating]]=
    "",
    "Unavailable",
    IF(tblMergedCleaned[[#This Row],[Overall_Rating]]&lt;=
        2,
        "Low (1-2)",
        IF(tblMergedCleaned[[#This Row],[Overall_Rating]]=
            3,
            "Middle (3)",
            "High (4-5)"
        )
    )
)</f>
        <v>Unavailable</v>
      </c>
      <c r="AK222" t="str" cm="1">
        <f t="array" ref="AK222">IF(
    tblMergedCleaned[[#This Row],[Overall_Rating]]="",
    "",
    --(tblMergedCleaned[[#This Row],[Overall_Rating]]&lt;=2)
)</f>
        <v/>
      </c>
      <c r="AL222">
        <f>IF(
    tblMergedCleaned[[#This Row],[Definitely_Recommend_Pct]]="",
    "",
    --(tblMergedCleaned[[#This Row],[Definitely_Recommend_Pct]]&lt;TX_Median_Recommend)
)</f>
        <v>0</v>
      </c>
      <c r="AM222">
        <f>IF(
    tblMergedCleaned[[#This Row],[Readmission_Comparison]]="",
    "",
    --(tblMergedCleaned[[#This Row],[Readmission_Comparison]]="Worse")
)</f>
        <v>0</v>
      </c>
      <c r="AN222">
        <f>COUNT(
    tblMergedCleaned[[#This Row],[Low_Rating_Flag]:[Worse_Readmission_Flag]]
)</f>
        <v>2</v>
      </c>
      <c r="AO222">
        <f>SUM(
    tblMergedCleaned[[#This Row],[Low_Rating_Flag]:[Worse_Readmission_Flag]]
)</f>
        <v>0</v>
      </c>
      <c r="AP22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2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22" s="2">
        <f>IF(
    tblMergedCleaned[[#This Row],[Definitely_Recommend_Pct]]="",
    "",
    tblMergedCleaned[[#This Row],[Definitely_Recommend_Pct]]-TX_Median_Recommend
)</f>
        <v>9</v>
      </c>
      <c r="AS222" s="2">
        <f>IF(
    tblMergedCleaned[[#This Row],[Readmission_Rate_Pct]]="",
    "",
    tblMergedCleaned[[#This Row],[Readmission_Rate_Pct]]-TX_Median_Readmission
)</f>
        <v>-0.70000000000000107</v>
      </c>
    </row>
    <row r="223" spans="1:45">
      <c r="A223" t="s">
        <v>1311</v>
      </c>
      <c r="B223" t="s">
        <v>1312</v>
      </c>
      <c r="C223" t="s">
        <v>1313</v>
      </c>
      <c r="D223" t="s">
        <v>1078</v>
      </c>
      <c r="E223" t="s">
        <v>18</v>
      </c>
      <c r="F223" t="s">
        <v>1314</v>
      </c>
      <c r="G223" t="s">
        <v>535</v>
      </c>
      <c r="H223" t="s">
        <v>1315</v>
      </c>
      <c r="I223" t="s">
        <v>21</v>
      </c>
      <c r="J223" t="s">
        <v>33</v>
      </c>
      <c r="K223" t="s">
        <v>23</v>
      </c>
      <c r="L223">
        <v>3</v>
      </c>
      <c r="M223" t="s">
        <v>42</v>
      </c>
      <c r="N223" t="s">
        <v>25</v>
      </c>
      <c r="O223" s="2">
        <v>71</v>
      </c>
      <c r="P223" s="2">
        <v>77</v>
      </c>
      <c r="Q223" s="2">
        <v>57</v>
      </c>
      <c r="R223" s="2">
        <v>86</v>
      </c>
      <c r="S223" s="2">
        <v>64</v>
      </c>
      <c r="T223" s="2">
        <v>61</v>
      </c>
      <c r="U223" t="s">
        <v>1843</v>
      </c>
      <c r="V223" s="2">
        <v>9</v>
      </c>
      <c r="W223" s="1">
        <v>45474</v>
      </c>
      <c r="X223" s="1">
        <v>45838</v>
      </c>
      <c r="Y223" s="2">
        <v>15.5</v>
      </c>
      <c r="Z223" t="s">
        <v>1884</v>
      </c>
      <c r="AA223">
        <v>336</v>
      </c>
      <c r="AB223" s="2">
        <v>13.9</v>
      </c>
      <c r="AC223" s="2">
        <v>17.2</v>
      </c>
      <c r="AD223" t="s">
        <v>25</v>
      </c>
      <c r="AE223" s="1">
        <v>45108</v>
      </c>
      <c r="AF223" s="1">
        <v>45473</v>
      </c>
      <c r="AG223" t="b">
        <v>1</v>
      </c>
      <c r="AH223" t="b">
        <v>1</v>
      </c>
      <c r="AI223" t="b">
        <v>1</v>
      </c>
      <c r="AJ223" t="str">
        <f>IF(tblMergedCleaned[[#This Row],[Overall_Rating]]=
    "",
    "Unavailable",
    IF(tblMergedCleaned[[#This Row],[Overall_Rating]]&lt;=
        2,
        "Low (1-2)",
        IF(tblMergedCleaned[[#This Row],[Overall_Rating]]=
            3,
            "Middle (3)",
            "High (4-5)"
        )
    )
)</f>
        <v>Middle (3)</v>
      </c>
      <c r="AK223" cm="1">
        <f t="array" ref="AK223">IF(
    tblMergedCleaned[[#This Row],[Overall_Rating]]="",
    "",
    --(tblMergedCleaned[[#This Row],[Overall_Rating]]&lt;=2)
)</f>
        <v>0</v>
      </c>
      <c r="AL223">
        <f>IF(
    tblMergedCleaned[[#This Row],[Definitely_Recommend_Pct]]="",
    "",
    --(tblMergedCleaned[[#This Row],[Definitely_Recommend_Pct]]&lt;TX_Median_Recommend)
)</f>
        <v>1</v>
      </c>
      <c r="AM223">
        <f>IF(
    tblMergedCleaned[[#This Row],[Readmission_Comparison]]="",
    "",
    --(tblMergedCleaned[[#This Row],[Readmission_Comparison]]="Worse")
)</f>
        <v>0</v>
      </c>
      <c r="AN223">
        <f>COUNT(
    tblMergedCleaned[[#This Row],[Low_Rating_Flag]:[Worse_Readmission_Flag]]
)</f>
        <v>3</v>
      </c>
      <c r="AO223">
        <f>SUM(
    tblMergedCleaned[[#This Row],[Low_Rating_Flag]:[Worse_Readmission_Flag]]
)</f>
        <v>1</v>
      </c>
      <c r="AP22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22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23" s="2">
        <f>IF(
    tblMergedCleaned[[#This Row],[Definitely_Recommend_Pct]]="",
    "",
    tblMergedCleaned[[#This Row],[Definitely_Recommend_Pct]]-TX_Median_Recommend
)</f>
        <v>-10</v>
      </c>
      <c r="AS223" s="2">
        <f>IF(
    tblMergedCleaned[[#This Row],[Readmission_Rate_Pct]]="",
    "",
    tblMergedCleaned[[#This Row],[Readmission_Rate_Pct]]-TX_Median_Readmission
)</f>
        <v>0.59999999999999964</v>
      </c>
    </row>
    <row r="224" spans="1:45">
      <c r="A224" t="s">
        <v>1316</v>
      </c>
      <c r="B224" t="s">
        <v>1317</v>
      </c>
      <c r="C224" t="s">
        <v>1318</v>
      </c>
      <c r="D224" t="s">
        <v>188</v>
      </c>
      <c r="E224" t="s">
        <v>18</v>
      </c>
      <c r="F224" t="s">
        <v>1319</v>
      </c>
      <c r="G224" t="s">
        <v>190</v>
      </c>
      <c r="H224" t="s">
        <v>1320</v>
      </c>
      <c r="I224" t="s">
        <v>21</v>
      </c>
      <c r="J224" t="s">
        <v>22</v>
      </c>
      <c r="K224" t="s">
        <v>23</v>
      </c>
      <c r="M224" t="s">
        <v>176</v>
      </c>
      <c r="N224" t="s">
        <v>177</v>
      </c>
      <c r="O224" s="2">
        <v>87</v>
      </c>
      <c r="P224" s="2">
        <v>87</v>
      </c>
      <c r="Q224" s="2">
        <v>79</v>
      </c>
      <c r="R224" s="2">
        <v>88</v>
      </c>
      <c r="S224" s="2">
        <v>86</v>
      </c>
      <c r="T224" s="2">
        <v>84</v>
      </c>
      <c r="U224" t="s">
        <v>1844</v>
      </c>
      <c r="V224" s="2">
        <v>20</v>
      </c>
      <c r="W224" s="1">
        <v>45474</v>
      </c>
      <c r="X224" s="1">
        <v>45838</v>
      </c>
      <c r="Y224" s="2">
        <v>14.2</v>
      </c>
      <c r="Z224" t="s">
        <v>1884</v>
      </c>
      <c r="AA224">
        <v>94</v>
      </c>
      <c r="AB224" s="2">
        <v>11.4</v>
      </c>
      <c r="AC224" s="2">
        <v>17.5</v>
      </c>
      <c r="AD224" t="s">
        <v>25</v>
      </c>
      <c r="AE224" s="1">
        <v>45108</v>
      </c>
      <c r="AF224" s="1">
        <v>45473</v>
      </c>
      <c r="AG224" t="b">
        <v>0</v>
      </c>
      <c r="AH224" t="b">
        <v>1</v>
      </c>
      <c r="AI224" t="b">
        <v>1</v>
      </c>
      <c r="AJ224" t="str">
        <f>IF(tblMergedCleaned[[#This Row],[Overall_Rating]]=
    "",
    "Unavailable",
    IF(tblMergedCleaned[[#This Row],[Overall_Rating]]&lt;=
        2,
        "Low (1-2)",
        IF(tblMergedCleaned[[#This Row],[Overall_Rating]]=
            3,
            "Middle (3)",
            "High (4-5)"
        )
    )
)</f>
        <v>Unavailable</v>
      </c>
      <c r="AK224" t="str" cm="1">
        <f t="array" ref="AK224">IF(
    tblMergedCleaned[[#This Row],[Overall_Rating]]="",
    "",
    --(tblMergedCleaned[[#This Row],[Overall_Rating]]&lt;=2)
)</f>
        <v/>
      </c>
      <c r="AL224">
        <f>IF(
    tblMergedCleaned[[#This Row],[Definitely_Recommend_Pct]]="",
    "",
    --(tblMergedCleaned[[#This Row],[Definitely_Recommend_Pct]]&lt;TX_Median_Recommend)
)</f>
        <v>0</v>
      </c>
      <c r="AM224">
        <f>IF(
    tblMergedCleaned[[#This Row],[Readmission_Comparison]]="",
    "",
    --(tblMergedCleaned[[#This Row],[Readmission_Comparison]]="Worse")
)</f>
        <v>0</v>
      </c>
      <c r="AN224">
        <f>COUNT(
    tblMergedCleaned[[#This Row],[Low_Rating_Flag]:[Worse_Readmission_Flag]]
)</f>
        <v>2</v>
      </c>
      <c r="AO224">
        <f>SUM(
    tblMergedCleaned[[#This Row],[Low_Rating_Flag]:[Worse_Readmission_Flag]]
)</f>
        <v>0</v>
      </c>
      <c r="AP22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2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24" s="2">
        <f>IF(
    tblMergedCleaned[[#This Row],[Definitely_Recommend_Pct]]="",
    "",
    tblMergedCleaned[[#This Row],[Definitely_Recommend_Pct]]-TX_Median_Recommend
)</f>
        <v>13</v>
      </c>
      <c r="AS224" s="2">
        <f>IF(
    tblMergedCleaned[[#This Row],[Readmission_Rate_Pct]]="",
    "",
    tblMergedCleaned[[#This Row],[Readmission_Rate_Pct]]-TX_Median_Readmission
)</f>
        <v>-0.70000000000000107</v>
      </c>
    </row>
    <row r="225" spans="1:45">
      <c r="A225" t="s">
        <v>1321</v>
      </c>
      <c r="B225" t="s">
        <v>1322</v>
      </c>
      <c r="C225" t="s">
        <v>1323</v>
      </c>
      <c r="D225" t="s">
        <v>188</v>
      </c>
      <c r="E225" t="s">
        <v>18</v>
      </c>
      <c r="F225" t="s">
        <v>1155</v>
      </c>
      <c r="G225" t="s">
        <v>190</v>
      </c>
      <c r="H225" t="s">
        <v>1324</v>
      </c>
      <c r="I225" t="s">
        <v>21</v>
      </c>
      <c r="J225" t="s">
        <v>22</v>
      </c>
      <c r="K225" t="s">
        <v>23</v>
      </c>
      <c r="L225">
        <v>4</v>
      </c>
      <c r="M225" t="s">
        <v>34</v>
      </c>
      <c r="N225" t="s">
        <v>25</v>
      </c>
      <c r="O225" s="2">
        <v>75</v>
      </c>
      <c r="P225" s="2">
        <v>76</v>
      </c>
      <c r="Q225" s="2">
        <v>58</v>
      </c>
      <c r="R225" s="2">
        <v>82</v>
      </c>
      <c r="S225" s="2">
        <v>69</v>
      </c>
      <c r="T225" s="2">
        <v>71</v>
      </c>
      <c r="U225" t="s">
        <v>1845</v>
      </c>
      <c r="V225" s="2">
        <v>22</v>
      </c>
      <c r="W225" s="1">
        <v>45474</v>
      </c>
      <c r="X225" s="1">
        <v>45838</v>
      </c>
      <c r="Y225" s="2">
        <v>15.4</v>
      </c>
      <c r="Z225" t="s">
        <v>1884</v>
      </c>
      <c r="AA225">
        <v>3707</v>
      </c>
      <c r="AB225" s="2">
        <v>14.5</v>
      </c>
      <c r="AC225" s="2">
        <v>16.399999999999999</v>
      </c>
      <c r="AD225" t="s">
        <v>25</v>
      </c>
      <c r="AE225" s="1">
        <v>45108</v>
      </c>
      <c r="AF225" s="1">
        <v>45473</v>
      </c>
      <c r="AG225" t="b">
        <v>1</v>
      </c>
      <c r="AH225" t="b">
        <v>1</v>
      </c>
      <c r="AI225" t="b">
        <v>1</v>
      </c>
      <c r="AJ225" t="str">
        <f>IF(tblMergedCleaned[[#This Row],[Overall_Rating]]=
    "",
    "Unavailable",
    IF(tblMergedCleaned[[#This Row],[Overall_Rating]]&lt;=
        2,
        "Low (1-2)",
        IF(tblMergedCleaned[[#This Row],[Overall_Rating]]=
            3,
            "Middle (3)",
            "High (4-5)"
        )
    )
)</f>
        <v>High (4-5)</v>
      </c>
      <c r="AK225" cm="1">
        <f t="array" ref="AK225">IF(
    tblMergedCleaned[[#This Row],[Overall_Rating]]="",
    "",
    --(tblMergedCleaned[[#This Row],[Overall_Rating]]&lt;=2)
)</f>
        <v>0</v>
      </c>
      <c r="AL225">
        <f>IF(
    tblMergedCleaned[[#This Row],[Definitely_Recommend_Pct]]="",
    "",
    --(tblMergedCleaned[[#This Row],[Definitely_Recommend_Pct]]&lt;TX_Median_Recommend)
)</f>
        <v>0</v>
      </c>
      <c r="AM225">
        <f>IF(
    tblMergedCleaned[[#This Row],[Readmission_Comparison]]="",
    "",
    --(tblMergedCleaned[[#This Row],[Readmission_Comparison]]="Worse")
)</f>
        <v>0</v>
      </c>
      <c r="AN225">
        <f>COUNT(
    tblMergedCleaned[[#This Row],[Low_Rating_Flag]:[Worse_Readmission_Flag]]
)</f>
        <v>3</v>
      </c>
      <c r="AO225">
        <f>SUM(
    tblMergedCleaned[[#This Row],[Low_Rating_Flag]:[Worse_Readmission_Flag]]
)</f>
        <v>0</v>
      </c>
      <c r="AP22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2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225" s="2">
        <f>IF(
    tblMergedCleaned[[#This Row],[Definitely_Recommend_Pct]]="",
    "",
    tblMergedCleaned[[#This Row],[Definitely_Recommend_Pct]]-TX_Median_Recommend
)</f>
        <v>0</v>
      </c>
      <c r="AS225" s="2">
        <f>IF(
    tblMergedCleaned[[#This Row],[Readmission_Rate_Pct]]="",
    "",
    tblMergedCleaned[[#This Row],[Readmission_Rate_Pct]]-TX_Median_Readmission
)</f>
        <v>0.5</v>
      </c>
    </row>
    <row r="226" spans="1:45">
      <c r="A226" t="s">
        <v>1325</v>
      </c>
      <c r="B226" t="s">
        <v>1326</v>
      </c>
      <c r="C226" t="s">
        <v>1327</v>
      </c>
      <c r="D226" t="s">
        <v>1328</v>
      </c>
      <c r="E226" t="s">
        <v>18</v>
      </c>
      <c r="F226" t="s">
        <v>1329</v>
      </c>
      <c r="G226" t="s">
        <v>511</v>
      </c>
      <c r="H226" t="s">
        <v>1330</v>
      </c>
      <c r="I226" t="s">
        <v>21</v>
      </c>
      <c r="J226" t="s">
        <v>33</v>
      </c>
      <c r="K226" t="s">
        <v>23</v>
      </c>
      <c r="L226">
        <v>3</v>
      </c>
      <c r="M226" t="s">
        <v>42</v>
      </c>
      <c r="N226" t="s">
        <v>143</v>
      </c>
      <c r="O226" s="2">
        <v>74</v>
      </c>
      <c r="P226" s="2">
        <v>76</v>
      </c>
      <c r="Q226" s="2">
        <v>59</v>
      </c>
      <c r="R226" s="2">
        <v>85</v>
      </c>
      <c r="S226" s="2">
        <v>66</v>
      </c>
      <c r="T226" s="2">
        <v>65</v>
      </c>
      <c r="U226" t="s">
        <v>1846</v>
      </c>
      <c r="V226" s="2">
        <v>14</v>
      </c>
      <c r="W226" s="1">
        <v>45474</v>
      </c>
      <c r="X226" s="1">
        <v>45838</v>
      </c>
      <c r="Y226" s="2">
        <v>14.4</v>
      </c>
      <c r="Z226" t="s">
        <v>1884</v>
      </c>
      <c r="AA226">
        <v>761</v>
      </c>
      <c r="AB226" s="2">
        <v>13.4</v>
      </c>
      <c r="AC226" s="2">
        <v>15.9</v>
      </c>
      <c r="AD226" t="s">
        <v>143</v>
      </c>
      <c r="AE226" s="1">
        <v>45108</v>
      </c>
      <c r="AF226" s="1">
        <v>45473</v>
      </c>
      <c r="AG226" t="b">
        <v>1</v>
      </c>
      <c r="AH226" t="b">
        <v>1</v>
      </c>
      <c r="AI226" t="b">
        <v>1</v>
      </c>
      <c r="AJ226" t="str">
        <f>IF(tblMergedCleaned[[#This Row],[Overall_Rating]]=
    "",
    "Unavailable",
    IF(tblMergedCleaned[[#This Row],[Overall_Rating]]&lt;=
        2,
        "Low (1-2)",
        IF(tblMergedCleaned[[#This Row],[Overall_Rating]]=
            3,
            "Middle (3)",
            "High (4-5)"
        )
    )
)</f>
        <v>Middle (3)</v>
      </c>
      <c r="AK226" cm="1">
        <f t="array" ref="AK226">IF(
    tblMergedCleaned[[#This Row],[Overall_Rating]]="",
    "",
    --(tblMergedCleaned[[#This Row],[Overall_Rating]]&lt;=2)
)</f>
        <v>0</v>
      </c>
      <c r="AL226">
        <f>IF(
    tblMergedCleaned[[#This Row],[Definitely_Recommend_Pct]]="",
    "",
    --(tblMergedCleaned[[#This Row],[Definitely_Recommend_Pct]]&lt;TX_Median_Recommend)
)</f>
        <v>1</v>
      </c>
      <c r="AM226">
        <f>IF(
    tblMergedCleaned[[#This Row],[Readmission_Comparison]]="",
    "",
    --(tblMergedCleaned[[#This Row],[Readmission_Comparison]]="Worse")
)</f>
        <v>0</v>
      </c>
      <c r="AN226">
        <f>COUNT(
    tblMergedCleaned[[#This Row],[Low_Rating_Flag]:[Worse_Readmission_Flag]]
)</f>
        <v>3</v>
      </c>
      <c r="AO226">
        <f>SUM(
    tblMergedCleaned[[#This Row],[Low_Rating_Flag]:[Worse_Readmission_Flag]]
)</f>
        <v>1</v>
      </c>
      <c r="AP22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22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26" s="2">
        <f>IF(
    tblMergedCleaned[[#This Row],[Definitely_Recommend_Pct]]="",
    "",
    tblMergedCleaned[[#This Row],[Definitely_Recommend_Pct]]-TX_Median_Recommend
)</f>
        <v>-6</v>
      </c>
      <c r="AS226" s="2">
        <f>IF(
    tblMergedCleaned[[#This Row],[Readmission_Rate_Pct]]="",
    "",
    tblMergedCleaned[[#This Row],[Readmission_Rate_Pct]]-TX_Median_Readmission
)</f>
        <v>-0.5</v>
      </c>
    </row>
    <row r="227" spans="1:45">
      <c r="A227" t="s">
        <v>1331</v>
      </c>
      <c r="B227" t="s">
        <v>1332</v>
      </c>
      <c r="C227" t="s">
        <v>1333</v>
      </c>
      <c r="D227" t="s">
        <v>1164</v>
      </c>
      <c r="E227" t="s">
        <v>18</v>
      </c>
      <c r="F227" t="s">
        <v>1165</v>
      </c>
      <c r="G227" t="s">
        <v>462</v>
      </c>
      <c r="H227" t="s">
        <v>1334</v>
      </c>
      <c r="I227" t="s">
        <v>21</v>
      </c>
      <c r="J227" t="s">
        <v>75</v>
      </c>
      <c r="K227" t="s">
        <v>23</v>
      </c>
      <c r="M227" t="s">
        <v>176</v>
      </c>
      <c r="N227" t="s">
        <v>177</v>
      </c>
      <c r="O227" s="2">
        <v>78</v>
      </c>
      <c r="P227" s="2">
        <v>80</v>
      </c>
      <c r="Q227" s="2">
        <v>60</v>
      </c>
      <c r="R227" s="2">
        <v>86</v>
      </c>
      <c r="S227" s="2">
        <v>80</v>
      </c>
      <c r="T227" s="2">
        <v>77</v>
      </c>
      <c r="U227" t="s">
        <v>1683</v>
      </c>
      <c r="V227" s="2">
        <v>30</v>
      </c>
      <c r="W227" s="1">
        <v>45474</v>
      </c>
      <c r="X227" s="1">
        <v>45838</v>
      </c>
      <c r="Y227" s="2">
        <v>14.4</v>
      </c>
      <c r="Z227" t="s">
        <v>1884</v>
      </c>
      <c r="AA227">
        <v>141</v>
      </c>
      <c r="AB227" s="2">
        <v>11.8</v>
      </c>
      <c r="AC227" s="2">
        <v>17.600000000000001</v>
      </c>
      <c r="AD227" t="s">
        <v>25</v>
      </c>
      <c r="AE227" s="1">
        <v>45108</v>
      </c>
      <c r="AF227" s="1">
        <v>45473</v>
      </c>
      <c r="AG227" t="b">
        <v>0</v>
      </c>
      <c r="AH227" t="b">
        <v>1</v>
      </c>
      <c r="AI227" t="b">
        <v>1</v>
      </c>
      <c r="AJ227" t="str">
        <f>IF(tblMergedCleaned[[#This Row],[Overall_Rating]]=
    "",
    "Unavailable",
    IF(tblMergedCleaned[[#This Row],[Overall_Rating]]&lt;=
        2,
        "Low (1-2)",
        IF(tblMergedCleaned[[#This Row],[Overall_Rating]]=
            3,
            "Middle (3)",
            "High (4-5)"
        )
    )
)</f>
        <v>Unavailable</v>
      </c>
      <c r="AK227" t="str" cm="1">
        <f t="array" ref="AK227">IF(
    tblMergedCleaned[[#This Row],[Overall_Rating]]="",
    "",
    --(tblMergedCleaned[[#This Row],[Overall_Rating]]&lt;=2)
)</f>
        <v/>
      </c>
      <c r="AL227">
        <f>IF(
    tblMergedCleaned[[#This Row],[Definitely_Recommend_Pct]]="",
    "",
    --(tblMergedCleaned[[#This Row],[Definitely_Recommend_Pct]]&lt;TX_Median_Recommend)
)</f>
        <v>0</v>
      </c>
      <c r="AM227">
        <f>IF(
    tblMergedCleaned[[#This Row],[Readmission_Comparison]]="",
    "",
    --(tblMergedCleaned[[#This Row],[Readmission_Comparison]]="Worse")
)</f>
        <v>0</v>
      </c>
      <c r="AN227">
        <f>COUNT(
    tblMergedCleaned[[#This Row],[Low_Rating_Flag]:[Worse_Readmission_Flag]]
)</f>
        <v>2</v>
      </c>
      <c r="AO227">
        <f>SUM(
    tblMergedCleaned[[#This Row],[Low_Rating_Flag]:[Worse_Readmission_Flag]]
)</f>
        <v>0</v>
      </c>
      <c r="AP22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2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27" s="2">
        <f>IF(
    tblMergedCleaned[[#This Row],[Definitely_Recommend_Pct]]="",
    "",
    tblMergedCleaned[[#This Row],[Definitely_Recommend_Pct]]-TX_Median_Recommend
)</f>
        <v>6</v>
      </c>
      <c r="AS227" s="2">
        <f>IF(
    tblMergedCleaned[[#This Row],[Readmission_Rate_Pct]]="",
    "",
    tblMergedCleaned[[#This Row],[Readmission_Rate_Pct]]-TX_Median_Readmission
)</f>
        <v>-0.5</v>
      </c>
    </row>
    <row r="228" spans="1:45">
      <c r="A228" t="s">
        <v>1335</v>
      </c>
      <c r="B228" t="s">
        <v>1336</v>
      </c>
      <c r="C228" t="s">
        <v>1337</v>
      </c>
      <c r="D228" t="s">
        <v>1338</v>
      </c>
      <c r="E228" t="s">
        <v>18</v>
      </c>
      <c r="F228" t="s">
        <v>1339</v>
      </c>
      <c r="G228" t="s">
        <v>53</v>
      </c>
      <c r="H228" t="s">
        <v>1340</v>
      </c>
      <c r="I228" t="s">
        <v>21</v>
      </c>
      <c r="J228" t="s">
        <v>33</v>
      </c>
      <c r="K228" t="s">
        <v>23</v>
      </c>
      <c r="L228">
        <v>2</v>
      </c>
      <c r="M228" t="s">
        <v>24</v>
      </c>
      <c r="N228" t="s">
        <v>25</v>
      </c>
      <c r="O228" s="2">
        <v>63</v>
      </c>
      <c r="P228" s="2">
        <v>70</v>
      </c>
      <c r="Q228" s="2">
        <v>46</v>
      </c>
      <c r="R228" s="2">
        <v>78</v>
      </c>
      <c r="S228" s="2">
        <v>54</v>
      </c>
      <c r="T228" s="2">
        <v>50</v>
      </c>
      <c r="U228" t="s">
        <v>1847</v>
      </c>
      <c r="V228" s="2">
        <v>12</v>
      </c>
      <c r="W228" s="1">
        <v>45474</v>
      </c>
      <c r="X228" s="1">
        <v>45838</v>
      </c>
      <c r="Y228" s="2">
        <v>15.4</v>
      </c>
      <c r="Z228" t="s">
        <v>1884</v>
      </c>
      <c r="AA228">
        <v>625</v>
      </c>
      <c r="AB228" s="2">
        <v>14</v>
      </c>
      <c r="AC228" s="2">
        <v>17</v>
      </c>
      <c r="AD228" t="s">
        <v>25</v>
      </c>
      <c r="AE228" s="1">
        <v>45108</v>
      </c>
      <c r="AF228" s="1">
        <v>45473</v>
      </c>
      <c r="AG228" t="b">
        <v>1</v>
      </c>
      <c r="AH228" t="b">
        <v>1</v>
      </c>
      <c r="AI228" t="b">
        <v>1</v>
      </c>
      <c r="AJ228" t="str">
        <f>IF(tblMergedCleaned[[#This Row],[Overall_Rating]]=
    "",
    "Unavailable",
    IF(tblMergedCleaned[[#This Row],[Overall_Rating]]&lt;=
        2,
        "Low (1-2)",
        IF(tblMergedCleaned[[#This Row],[Overall_Rating]]=
            3,
            "Middle (3)",
            "High (4-5)"
        )
    )
)</f>
        <v>Low (1-2)</v>
      </c>
      <c r="AK228" cm="1">
        <f t="array" ref="AK228">IF(
    tblMergedCleaned[[#This Row],[Overall_Rating]]="",
    "",
    --(tblMergedCleaned[[#This Row],[Overall_Rating]]&lt;=2)
)</f>
        <v>1</v>
      </c>
      <c r="AL228">
        <f>IF(
    tblMergedCleaned[[#This Row],[Definitely_Recommend_Pct]]="",
    "",
    --(tblMergedCleaned[[#This Row],[Definitely_Recommend_Pct]]&lt;TX_Median_Recommend)
)</f>
        <v>1</v>
      </c>
      <c r="AM228">
        <f>IF(
    tblMergedCleaned[[#This Row],[Readmission_Comparison]]="",
    "",
    --(tblMergedCleaned[[#This Row],[Readmission_Comparison]]="Worse")
)</f>
        <v>0</v>
      </c>
      <c r="AN228">
        <f>COUNT(
    tblMergedCleaned[[#This Row],[Low_Rating_Flag]:[Worse_Readmission_Flag]]
)</f>
        <v>3</v>
      </c>
      <c r="AO228">
        <f>SUM(
    tblMergedCleaned[[#This Row],[Low_Rating_Flag]:[Worse_Readmission_Flag]]
)</f>
        <v>2</v>
      </c>
      <c r="AP22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22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28" s="2">
        <f>IF(
    tblMergedCleaned[[#This Row],[Definitely_Recommend_Pct]]="",
    "",
    tblMergedCleaned[[#This Row],[Definitely_Recommend_Pct]]-TX_Median_Recommend
)</f>
        <v>-21</v>
      </c>
      <c r="AS228" s="2">
        <f>IF(
    tblMergedCleaned[[#This Row],[Readmission_Rate_Pct]]="",
    "",
    tblMergedCleaned[[#This Row],[Readmission_Rate_Pct]]-TX_Median_Readmission
)</f>
        <v>0.5</v>
      </c>
    </row>
    <row r="229" spans="1:45">
      <c r="A229" t="s">
        <v>1341</v>
      </c>
      <c r="B229" t="s">
        <v>1342</v>
      </c>
      <c r="C229" t="s">
        <v>1343</v>
      </c>
      <c r="D229" t="s">
        <v>1344</v>
      </c>
      <c r="E229" t="s">
        <v>18</v>
      </c>
      <c r="F229" t="s">
        <v>1345</v>
      </c>
      <c r="G229" t="s">
        <v>808</v>
      </c>
      <c r="H229" t="s">
        <v>1346</v>
      </c>
      <c r="I229" t="s">
        <v>21</v>
      </c>
      <c r="J229" t="s">
        <v>22</v>
      </c>
      <c r="K229" t="s">
        <v>23</v>
      </c>
      <c r="M229" t="s">
        <v>176</v>
      </c>
      <c r="N229" t="s">
        <v>177</v>
      </c>
      <c r="O229" s="2">
        <v>90</v>
      </c>
      <c r="P229" s="2">
        <v>84</v>
      </c>
      <c r="Q229" s="2">
        <v>67</v>
      </c>
      <c r="R229" s="2">
        <v>87</v>
      </c>
      <c r="S229" s="2">
        <v>72</v>
      </c>
      <c r="T229" s="2">
        <v>70</v>
      </c>
      <c r="U229" t="s">
        <v>1848</v>
      </c>
      <c r="V229" s="2">
        <v>20</v>
      </c>
      <c r="W229" s="1">
        <v>45474</v>
      </c>
      <c r="X229" s="1">
        <v>45838</v>
      </c>
      <c r="Y229" s="2">
        <v>15.1</v>
      </c>
      <c r="Z229" t="s">
        <v>1884</v>
      </c>
      <c r="AA229">
        <v>57</v>
      </c>
      <c r="AB229" s="2">
        <v>13.1</v>
      </c>
      <c r="AC229" s="2">
        <v>17.5</v>
      </c>
      <c r="AD229" t="s">
        <v>25</v>
      </c>
      <c r="AE229" s="1">
        <v>45108</v>
      </c>
      <c r="AF229" s="1">
        <v>45473</v>
      </c>
      <c r="AG229" t="b">
        <v>0</v>
      </c>
      <c r="AH229" t="b">
        <v>1</v>
      </c>
      <c r="AI229" t="b">
        <v>1</v>
      </c>
      <c r="AJ229" t="str">
        <f>IF(tblMergedCleaned[[#This Row],[Overall_Rating]]=
    "",
    "Unavailable",
    IF(tblMergedCleaned[[#This Row],[Overall_Rating]]&lt;=
        2,
        "Low (1-2)",
        IF(tblMergedCleaned[[#This Row],[Overall_Rating]]=
            3,
            "Middle (3)",
            "High (4-5)"
        )
    )
)</f>
        <v>Unavailable</v>
      </c>
      <c r="AK229" t="str" cm="1">
        <f t="array" ref="AK229">IF(
    tblMergedCleaned[[#This Row],[Overall_Rating]]="",
    "",
    --(tblMergedCleaned[[#This Row],[Overall_Rating]]&lt;=2)
)</f>
        <v/>
      </c>
      <c r="AL229">
        <f>IF(
    tblMergedCleaned[[#This Row],[Definitely_Recommend_Pct]]="",
    "",
    --(tblMergedCleaned[[#This Row],[Definitely_Recommend_Pct]]&lt;TX_Median_Recommend)
)</f>
        <v>1</v>
      </c>
      <c r="AM229">
        <f>IF(
    tblMergedCleaned[[#This Row],[Readmission_Comparison]]="",
    "",
    --(tblMergedCleaned[[#This Row],[Readmission_Comparison]]="Worse")
)</f>
        <v>0</v>
      </c>
      <c r="AN229">
        <f>COUNT(
    tblMergedCleaned[[#This Row],[Low_Rating_Flag]:[Worse_Readmission_Flag]]
)</f>
        <v>2</v>
      </c>
      <c r="AO229">
        <f>SUM(
    tblMergedCleaned[[#This Row],[Low_Rating_Flag]:[Worse_Readmission_Flag]]
)</f>
        <v>1</v>
      </c>
      <c r="AP22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2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229" s="2">
        <f>IF(
    tblMergedCleaned[[#This Row],[Definitely_Recommend_Pct]]="",
    "",
    tblMergedCleaned[[#This Row],[Definitely_Recommend_Pct]]-TX_Median_Recommend
)</f>
        <v>-1</v>
      </c>
      <c r="AS229" s="2">
        <f>IF(
    tblMergedCleaned[[#This Row],[Readmission_Rate_Pct]]="",
    "",
    tblMergedCleaned[[#This Row],[Readmission_Rate_Pct]]-TX_Median_Readmission
)</f>
        <v>0.19999999999999929</v>
      </c>
    </row>
    <row r="230" spans="1:45">
      <c r="A230" t="s">
        <v>1347</v>
      </c>
      <c r="B230" t="s">
        <v>1348</v>
      </c>
      <c r="C230" t="s">
        <v>1349</v>
      </c>
      <c r="D230" t="s">
        <v>195</v>
      </c>
      <c r="E230" t="s">
        <v>18</v>
      </c>
      <c r="F230" t="s">
        <v>918</v>
      </c>
      <c r="G230" t="s">
        <v>128</v>
      </c>
      <c r="H230" t="s">
        <v>1350</v>
      </c>
      <c r="I230" t="s">
        <v>21</v>
      </c>
      <c r="J230" t="s">
        <v>22</v>
      </c>
      <c r="K230" t="s">
        <v>23</v>
      </c>
      <c r="M230" t="s">
        <v>176</v>
      </c>
      <c r="N230" t="s">
        <v>177</v>
      </c>
      <c r="O230" s="2">
        <v>84</v>
      </c>
      <c r="P230" s="2">
        <v>85</v>
      </c>
      <c r="Q230" s="2">
        <v>67</v>
      </c>
      <c r="R230" s="2">
        <v>91</v>
      </c>
      <c r="S230" s="2">
        <v>81</v>
      </c>
      <c r="T230" s="2">
        <v>82</v>
      </c>
      <c r="U230" t="s">
        <v>1849</v>
      </c>
      <c r="V230" s="2">
        <v>34</v>
      </c>
      <c r="W230" s="1">
        <v>45474</v>
      </c>
      <c r="X230" s="1">
        <v>45838</v>
      </c>
      <c r="Y230" s="2">
        <v>14.6</v>
      </c>
      <c r="Z230" t="s">
        <v>1884</v>
      </c>
      <c r="AA230">
        <v>676</v>
      </c>
      <c r="AB230" s="2">
        <v>12.2</v>
      </c>
      <c r="AC230" s="2">
        <v>17.600000000000001</v>
      </c>
      <c r="AD230" t="s">
        <v>25</v>
      </c>
      <c r="AE230" s="1">
        <v>45108</v>
      </c>
      <c r="AF230" s="1">
        <v>45473</v>
      </c>
      <c r="AG230" t="b">
        <v>0</v>
      </c>
      <c r="AH230" t="b">
        <v>1</v>
      </c>
      <c r="AI230" t="b">
        <v>1</v>
      </c>
      <c r="AJ230" t="str">
        <f>IF(tblMergedCleaned[[#This Row],[Overall_Rating]]=
    "",
    "Unavailable",
    IF(tblMergedCleaned[[#This Row],[Overall_Rating]]&lt;=
        2,
        "Low (1-2)",
        IF(tblMergedCleaned[[#This Row],[Overall_Rating]]=
            3,
            "Middle (3)",
            "High (4-5)"
        )
    )
)</f>
        <v>Unavailable</v>
      </c>
      <c r="AK230" t="str" cm="1">
        <f t="array" ref="AK230">IF(
    tblMergedCleaned[[#This Row],[Overall_Rating]]="",
    "",
    --(tblMergedCleaned[[#This Row],[Overall_Rating]]&lt;=2)
)</f>
        <v/>
      </c>
      <c r="AL230">
        <f>IF(
    tblMergedCleaned[[#This Row],[Definitely_Recommend_Pct]]="",
    "",
    --(tblMergedCleaned[[#This Row],[Definitely_Recommend_Pct]]&lt;TX_Median_Recommend)
)</f>
        <v>0</v>
      </c>
      <c r="AM230">
        <f>IF(
    tblMergedCleaned[[#This Row],[Readmission_Comparison]]="",
    "",
    --(tblMergedCleaned[[#This Row],[Readmission_Comparison]]="Worse")
)</f>
        <v>0</v>
      </c>
      <c r="AN230">
        <f>COUNT(
    tblMergedCleaned[[#This Row],[Low_Rating_Flag]:[Worse_Readmission_Flag]]
)</f>
        <v>2</v>
      </c>
      <c r="AO230">
        <f>SUM(
    tblMergedCleaned[[#This Row],[Low_Rating_Flag]:[Worse_Readmission_Flag]]
)</f>
        <v>0</v>
      </c>
      <c r="AP23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3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30" s="2">
        <f>IF(
    tblMergedCleaned[[#This Row],[Definitely_Recommend_Pct]]="",
    "",
    tblMergedCleaned[[#This Row],[Definitely_Recommend_Pct]]-TX_Median_Recommend
)</f>
        <v>11</v>
      </c>
      <c r="AS230" s="2">
        <f>IF(
    tblMergedCleaned[[#This Row],[Readmission_Rate_Pct]]="",
    "",
    tblMergedCleaned[[#This Row],[Readmission_Rate_Pct]]-TX_Median_Readmission
)</f>
        <v>-0.30000000000000071</v>
      </c>
    </row>
    <row r="231" spans="1:45">
      <c r="A231" t="s">
        <v>1351</v>
      </c>
      <c r="B231" t="s">
        <v>1352</v>
      </c>
      <c r="C231" t="s">
        <v>1353</v>
      </c>
      <c r="D231" t="s">
        <v>1354</v>
      </c>
      <c r="E231" t="s">
        <v>18</v>
      </c>
      <c r="F231" t="s">
        <v>1355</v>
      </c>
      <c r="G231" t="s">
        <v>808</v>
      </c>
      <c r="H231" t="s">
        <v>1356</v>
      </c>
      <c r="I231" t="s">
        <v>21</v>
      </c>
      <c r="J231" t="s">
        <v>22</v>
      </c>
      <c r="K231" t="s">
        <v>23</v>
      </c>
      <c r="L231">
        <v>5</v>
      </c>
      <c r="M231" t="s">
        <v>168</v>
      </c>
      <c r="N231" t="s">
        <v>25</v>
      </c>
      <c r="O231" s="2">
        <v>77</v>
      </c>
      <c r="P231" s="2">
        <v>80</v>
      </c>
      <c r="Q231" s="2">
        <v>61</v>
      </c>
      <c r="R231" s="2">
        <v>89</v>
      </c>
      <c r="S231" s="2">
        <v>78</v>
      </c>
      <c r="T231" s="2">
        <v>79</v>
      </c>
      <c r="U231" t="s">
        <v>1850</v>
      </c>
      <c r="V231" s="2">
        <v>21</v>
      </c>
      <c r="W231" s="1">
        <v>45474</v>
      </c>
      <c r="X231" s="1">
        <v>45838</v>
      </c>
      <c r="Y231" s="2">
        <v>13.9</v>
      </c>
      <c r="Z231" t="s">
        <v>1884</v>
      </c>
      <c r="AA231">
        <v>1007</v>
      </c>
      <c r="AB231" s="2">
        <v>12.7</v>
      </c>
      <c r="AC231" s="2">
        <v>15.3</v>
      </c>
      <c r="AD231" t="s">
        <v>25</v>
      </c>
      <c r="AE231" s="1">
        <v>45108</v>
      </c>
      <c r="AF231" s="1">
        <v>45473</v>
      </c>
      <c r="AG231" t="b">
        <v>1</v>
      </c>
      <c r="AH231" t="b">
        <v>1</v>
      </c>
      <c r="AI231" t="b">
        <v>1</v>
      </c>
      <c r="AJ231" t="str">
        <f>IF(tblMergedCleaned[[#This Row],[Overall_Rating]]=
    "",
    "Unavailable",
    IF(tblMergedCleaned[[#This Row],[Overall_Rating]]&lt;=
        2,
        "Low (1-2)",
        IF(tblMergedCleaned[[#This Row],[Overall_Rating]]=
            3,
            "Middle (3)",
            "High (4-5)"
        )
    )
)</f>
        <v>High (4-5)</v>
      </c>
      <c r="AK231" cm="1">
        <f t="array" ref="AK231">IF(
    tblMergedCleaned[[#This Row],[Overall_Rating]]="",
    "",
    --(tblMergedCleaned[[#This Row],[Overall_Rating]]&lt;=2)
)</f>
        <v>0</v>
      </c>
      <c r="AL231">
        <f>IF(
    tblMergedCleaned[[#This Row],[Definitely_Recommend_Pct]]="",
    "",
    --(tblMergedCleaned[[#This Row],[Definitely_Recommend_Pct]]&lt;TX_Median_Recommend)
)</f>
        <v>0</v>
      </c>
      <c r="AM231">
        <f>IF(
    tblMergedCleaned[[#This Row],[Readmission_Comparison]]="",
    "",
    --(tblMergedCleaned[[#This Row],[Readmission_Comparison]]="Worse")
)</f>
        <v>0</v>
      </c>
      <c r="AN231">
        <f>COUNT(
    tblMergedCleaned[[#This Row],[Low_Rating_Flag]:[Worse_Readmission_Flag]]
)</f>
        <v>3</v>
      </c>
      <c r="AO231">
        <f>SUM(
    tblMergedCleaned[[#This Row],[Low_Rating_Flag]:[Worse_Readmission_Flag]]
)</f>
        <v>0</v>
      </c>
      <c r="AP23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3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31" s="2">
        <f>IF(
    tblMergedCleaned[[#This Row],[Definitely_Recommend_Pct]]="",
    "",
    tblMergedCleaned[[#This Row],[Definitely_Recommend_Pct]]-TX_Median_Recommend
)</f>
        <v>8</v>
      </c>
      <c r="AS231" s="2">
        <f>IF(
    tblMergedCleaned[[#This Row],[Readmission_Rate_Pct]]="",
    "",
    tblMergedCleaned[[#This Row],[Readmission_Rate_Pct]]-TX_Median_Readmission
)</f>
        <v>-1</v>
      </c>
    </row>
    <row r="232" spans="1:45">
      <c r="A232" t="s">
        <v>1357</v>
      </c>
      <c r="B232" t="s">
        <v>1358</v>
      </c>
      <c r="C232" t="s">
        <v>1359</v>
      </c>
      <c r="D232" t="s">
        <v>627</v>
      </c>
      <c r="E232" t="s">
        <v>18</v>
      </c>
      <c r="F232" t="s">
        <v>1360</v>
      </c>
      <c r="G232" t="s">
        <v>629</v>
      </c>
      <c r="H232" t="s">
        <v>1361</v>
      </c>
      <c r="I232" t="s">
        <v>21</v>
      </c>
      <c r="J232" t="s">
        <v>81</v>
      </c>
      <c r="K232" t="s">
        <v>23</v>
      </c>
      <c r="M232" t="s">
        <v>176</v>
      </c>
      <c r="N232" t="s">
        <v>177</v>
      </c>
      <c r="O232" s="2">
        <v>88</v>
      </c>
      <c r="P232" s="2">
        <v>86</v>
      </c>
      <c r="Q232" s="2">
        <v>71</v>
      </c>
      <c r="R232" s="2">
        <v>91</v>
      </c>
      <c r="S232" s="2">
        <v>85</v>
      </c>
      <c r="T232" s="2">
        <v>88</v>
      </c>
      <c r="U232" t="s">
        <v>1851</v>
      </c>
      <c r="V232" s="2">
        <v>28</v>
      </c>
      <c r="W232" s="1">
        <v>45474</v>
      </c>
      <c r="X232" s="1">
        <v>45838</v>
      </c>
      <c r="Y232" s="2">
        <v>15.4</v>
      </c>
      <c r="Z232" t="s">
        <v>1884</v>
      </c>
      <c r="AA232">
        <v>133</v>
      </c>
      <c r="AB232" s="2">
        <v>12.5</v>
      </c>
      <c r="AC232" s="2">
        <v>19.100000000000001</v>
      </c>
      <c r="AD232" t="s">
        <v>25</v>
      </c>
      <c r="AE232" s="1">
        <v>45108</v>
      </c>
      <c r="AF232" s="1">
        <v>45473</v>
      </c>
      <c r="AG232" t="b">
        <v>0</v>
      </c>
      <c r="AH232" t="b">
        <v>1</v>
      </c>
      <c r="AI232" t="b">
        <v>1</v>
      </c>
      <c r="AJ232" t="str">
        <f>IF(tblMergedCleaned[[#This Row],[Overall_Rating]]=
    "",
    "Unavailable",
    IF(tblMergedCleaned[[#This Row],[Overall_Rating]]&lt;=
        2,
        "Low (1-2)",
        IF(tblMergedCleaned[[#This Row],[Overall_Rating]]=
            3,
            "Middle (3)",
            "High (4-5)"
        )
    )
)</f>
        <v>Unavailable</v>
      </c>
      <c r="AK232" t="str" cm="1">
        <f t="array" ref="AK232">IF(
    tblMergedCleaned[[#This Row],[Overall_Rating]]="",
    "",
    --(tblMergedCleaned[[#This Row],[Overall_Rating]]&lt;=2)
)</f>
        <v/>
      </c>
      <c r="AL232">
        <f>IF(
    tblMergedCleaned[[#This Row],[Definitely_Recommend_Pct]]="",
    "",
    --(tblMergedCleaned[[#This Row],[Definitely_Recommend_Pct]]&lt;TX_Median_Recommend)
)</f>
        <v>0</v>
      </c>
      <c r="AM232">
        <f>IF(
    tblMergedCleaned[[#This Row],[Readmission_Comparison]]="",
    "",
    --(tblMergedCleaned[[#This Row],[Readmission_Comparison]]="Worse")
)</f>
        <v>0</v>
      </c>
      <c r="AN232">
        <f>COUNT(
    tblMergedCleaned[[#This Row],[Low_Rating_Flag]:[Worse_Readmission_Flag]]
)</f>
        <v>2</v>
      </c>
      <c r="AO232">
        <f>SUM(
    tblMergedCleaned[[#This Row],[Low_Rating_Flag]:[Worse_Readmission_Flag]]
)</f>
        <v>0</v>
      </c>
      <c r="AP23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3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32" s="2">
        <f>IF(
    tblMergedCleaned[[#This Row],[Definitely_Recommend_Pct]]="",
    "",
    tblMergedCleaned[[#This Row],[Definitely_Recommend_Pct]]-TX_Median_Recommend
)</f>
        <v>17</v>
      </c>
      <c r="AS232" s="2">
        <f>IF(
    tblMergedCleaned[[#This Row],[Readmission_Rate_Pct]]="",
    "",
    tblMergedCleaned[[#This Row],[Readmission_Rate_Pct]]-TX_Median_Readmission
)</f>
        <v>0.5</v>
      </c>
    </row>
    <row r="233" spans="1:45">
      <c r="A233" t="s">
        <v>1362</v>
      </c>
      <c r="B233" t="s">
        <v>1363</v>
      </c>
      <c r="C233" t="s">
        <v>1364</v>
      </c>
      <c r="D233" t="s">
        <v>195</v>
      </c>
      <c r="E233" t="s">
        <v>18</v>
      </c>
      <c r="F233" t="s">
        <v>196</v>
      </c>
      <c r="G233" t="s">
        <v>128</v>
      </c>
      <c r="H233" t="s">
        <v>1365</v>
      </c>
      <c r="I233" t="s">
        <v>21</v>
      </c>
      <c r="J233" t="s">
        <v>81</v>
      </c>
      <c r="K233" t="s">
        <v>302</v>
      </c>
      <c r="L233">
        <v>4</v>
      </c>
      <c r="M233" t="s">
        <v>34</v>
      </c>
      <c r="N233" t="s">
        <v>25</v>
      </c>
      <c r="O233" s="2">
        <v>84</v>
      </c>
      <c r="P233" s="2">
        <v>83</v>
      </c>
      <c r="Q233" s="2">
        <v>65</v>
      </c>
      <c r="R233" s="2">
        <v>89</v>
      </c>
      <c r="S233" s="2">
        <v>84</v>
      </c>
      <c r="T233" s="2">
        <v>86</v>
      </c>
      <c r="U233" t="s">
        <v>1852</v>
      </c>
      <c r="V233" s="2">
        <v>31</v>
      </c>
      <c r="W233" s="1">
        <v>45474</v>
      </c>
      <c r="X233" s="1">
        <v>45838</v>
      </c>
      <c r="Y233" s="2">
        <v>14.3</v>
      </c>
      <c r="Z233" t="s">
        <v>1884</v>
      </c>
      <c r="AA233">
        <v>261</v>
      </c>
      <c r="AB233" s="2">
        <v>12.6</v>
      </c>
      <c r="AC233" s="2">
        <v>16.399999999999999</v>
      </c>
      <c r="AD233" t="s">
        <v>25</v>
      </c>
      <c r="AE233" s="1">
        <v>45108</v>
      </c>
      <c r="AF233" s="1">
        <v>45473</v>
      </c>
      <c r="AG233" t="b">
        <v>1</v>
      </c>
      <c r="AH233" t="b">
        <v>1</v>
      </c>
      <c r="AI233" t="b">
        <v>1</v>
      </c>
      <c r="AJ233" t="str">
        <f>IF(tblMergedCleaned[[#This Row],[Overall_Rating]]=
    "",
    "Unavailable",
    IF(tblMergedCleaned[[#This Row],[Overall_Rating]]&lt;=
        2,
        "Low (1-2)",
        IF(tblMergedCleaned[[#This Row],[Overall_Rating]]=
            3,
            "Middle (3)",
            "High (4-5)"
        )
    )
)</f>
        <v>High (4-5)</v>
      </c>
      <c r="AK233" cm="1">
        <f t="array" ref="AK233">IF(
    tblMergedCleaned[[#This Row],[Overall_Rating]]="",
    "",
    --(tblMergedCleaned[[#This Row],[Overall_Rating]]&lt;=2)
)</f>
        <v>0</v>
      </c>
      <c r="AL233">
        <f>IF(
    tblMergedCleaned[[#This Row],[Definitely_Recommend_Pct]]="",
    "",
    --(tblMergedCleaned[[#This Row],[Definitely_Recommend_Pct]]&lt;TX_Median_Recommend)
)</f>
        <v>0</v>
      </c>
      <c r="AM233">
        <f>IF(
    tblMergedCleaned[[#This Row],[Readmission_Comparison]]="",
    "",
    --(tblMergedCleaned[[#This Row],[Readmission_Comparison]]="Worse")
)</f>
        <v>0</v>
      </c>
      <c r="AN233">
        <f>COUNT(
    tblMergedCleaned[[#This Row],[Low_Rating_Flag]:[Worse_Readmission_Flag]]
)</f>
        <v>3</v>
      </c>
      <c r="AO233">
        <f>SUM(
    tblMergedCleaned[[#This Row],[Low_Rating_Flag]:[Worse_Readmission_Flag]]
)</f>
        <v>0</v>
      </c>
      <c r="AP23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3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33" s="2">
        <f>IF(
    tblMergedCleaned[[#This Row],[Definitely_Recommend_Pct]]="",
    "",
    tblMergedCleaned[[#This Row],[Definitely_Recommend_Pct]]-TX_Median_Recommend
)</f>
        <v>15</v>
      </c>
      <c r="AS233" s="2">
        <f>IF(
    tblMergedCleaned[[#This Row],[Readmission_Rate_Pct]]="",
    "",
    tblMergedCleaned[[#This Row],[Readmission_Rate_Pct]]-TX_Median_Readmission
)</f>
        <v>-0.59999999999999964</v>
      </c>
    </row>
    <row r="234" spans="1:45">
      <c r="A234" t="s">
        <v>1366</v>
      </c>
      <c r="B234" t="s">
        <v>1367</v>
      </c>
      <c r="C234" t="s">
        <v>1368</v>
      </c>
      <c r="D234" t="s">
        <v>1369</v>
      </c>
      <c r="E234" t="s">
        <v>18</v>
      </c>
      <c r="F234" t="s">
        <v>1370</v>
      </c>
      <c r="G234" t="s">
        <v>53</v>
      </c>
      <c r="H234" t="s">
        <v>1371</v>
      </c>
      <c r="I234" t="s">
        <v>21</v>
      </c>
      <c r="J234" t="s">
        <v>22</v>
      </c>
      <c r="K234" t="s">
        <v>23</v>
      </c>
      <c r="L234">
        <v>4</v>
      </c>
      <c r="M234" t="s">
        <v>34</v>
      </c>
      <c r="N234" t="s">
        <v>25</v>
      </c>
      <c r="O234" s="2">
        <v>82</v>
      </c>
      <c r="P234" s="2">
        <v>83</v>
      </c>
      <c r="Q234" s="2">
        <v>66</v>
      </c>
      <c r="R234" s="2">
        <v>89</v>
      </c>
      <c r="S234" s="2">
        <v>82</v>
      </c>
      <c r="T234" s="2">
        <v>83</v>
      </c>
      <c r="U234" t="s">
        <v>1853</v>
      </c>
      <c r="V234" s="2">
        <v>26</v>
      </c>
      <c r="W234" s="1">
        <v>45474</v>
      </c>
      <c r="X234" s="1">
        <v>45838</v>
      </c>
      <c r="Y234" s="2">
        <v>14.4</v>
      </c>
      <c r="Z234" t="s">
        <v>1884</v>
      </c>
      <c r="AA234">
        <v>187</v>
      </c>
      <c r="AB234" s="2">
        <v>11.8</v>
      </c>
      <c r="AC234" s="2">
        <v>17.5</v>
      </c>
      <c r="AD234" t="s">
        <v>25</v>
      </c>
      <c r="AE234" s="1">
        <v>45108</v>
      </c>
      <c r="AF234" s="1">
        <v>45473</v>
      </c>
      <c r="AG234" t="b">
        <v>1</v>
      </c>
      <c r="AH234" t="b">
        <v>1</v>
      </c>
      <c r="AI234" t="b">
        <v>1</v>
      </c>
      <c r="AJ234" t="str">
        <f>IF(tblMergedCleaned[[#This Row],[Overall_Rating]]=
    "",
    "Unavailable",
    IF(tblMergedCleaned[[#This Row],[Overall_Rating]]&lt;=
        2,
        "Low (1-2)",
        IF(tblMergedCleaned[[#This Row],[Overall_Rating]]=
            3,
            "Middle (3)",
            "High (4-5)"
        )
    )
)</f>
        <v>High (4-5)</v>
      </c>
      <c r="AK234" cm="1">
        <f t="array" ref="AK234">IF(
    tblMergedCleaned[[#This Row],[Overall_Rating]]="",
    "",
    --(tblMergedCleaned[[#This Row],[Overall_Rating]]&lt;=2)
)</f>
        <v>0</v>
      </c>
      <c r="AL234">
        <f>IF(
    tblMergedCleaned[[#This Row],[Definitely_Recommend_Pct]]="",
    "",
    --(tblMergedCleaned[[#This Row],[Definitely_Recommend_Pct]]&lt;TX_Median_Recommend)
)</f>
        <v>0</v>
      </c>
      <c r="AM234">
        <f>IF(
    tblMergedCleaned[[#This Row],[Readmission_Comparison]]="",
    "",
    --(tblMergedCleaned[[#This Row],[Readmission_Comparison]]="Worse")
)</f>
        <v>0</v>
      </c>
      <c r="AN234">
        <f>COUNT(
    tblMergedCleaned[[#This Row],[Low_Rating_Flag]:[Worse_Readmission_Flag]]
)</f>
        <v>3</v>
      </c>
      <c r="AO234">
        <f>SUM(
    tblMergedCleaned[[#This Row],[Low_Rating_Flag]:[Worse_Readmission_Flag]]
)</f>
        <v>0</v>
      </c>
      <c r="AP23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3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34" s="2">
        <f>IF(
    tblMergedCleaned[[#This Row],[Definitely_Recommend_Pct]]="",
    "",
    tblMergedCleaned[[#This Row],[Definitely_Recommend_Pct]]-TX_Median_Recommend
)</f>
        <v>12</v>
      </c>
      <c r="AS234" s="2">
        <f>IF(
    tblMergedCleaned[[#This Row],[Readmission_Rate_Pct]]="",
    "",
    tblMergedCleaned[[#This Row],[Readmission_Rate_Pct]]-TX_Median_Readmission
)</f>
        <v>-0.5</v>
      </c>
    </row>
    <row r="235" spans="1:45">
      <c r="A235" t="s">
        <v>1372</v>
      </c>
      <c r="B235" t="s">
        <v>1373</v>
      </c>
      <c r="C235" t="s">
        <v>1374</v>
      </c>
      <c r="D235" t="s">
        <v>119</v>
      </c>
      <c r="E235" t="s">
        <v>18</v>
      </c>
      <c r="F235" t="s">
        <v>1125</v>
      </c>
      <c r="G235" t="s">
        <v>121</v>
      </c>
      <c r="H235" t="s">
        <v>1375</v>
      </c>
      <c r="I235" t="s">
        <v>21</v>
      </c>
      <c r="J235" t="s">
        <v>33</v>
      </c>
      <c r="K235" t="s">
        <v>23</v>
      </c>
      <c r="L235">
        <v>4</v>
      </c>
      <c r="M235" t="s">
        <v>34</v>
      </c>
      <c r="N235" t="s">
        <v>25</v>
      </c>
      <c r="O235" s="2">
        <v>80</v>
      </c>
      <c r="P235" s="2">
        <v>75</v>
      </c>
      <c r="Q235" s="2">
        <v>63</v>
      </c>
      <c r="R235" s="2">
        <v>83</v>
      </c>
      <c r="S235" s="2">
        <v>78</v>
      </c>
      <c r="T235" s="2">
        <v>78</v>
      </c>
      <c r="U235" t="s">
        <v>1659</v>
      </c>
      <c r="V235" s="2">
        <v>11</v>
      </c>
      <c r="W235" s="1">
        <v>45474</v>
      </c>
      <c r="X235" s="1">
        <v>45838</v>
      </c>
      <c r="Y235" s="2">
        <v>15</v>
      </c>
      <c r="Z235" t="s">
        <v>1884</v>
      </c>
      <c r="AA235">
        <v>438</v>
      </c>
      <c r="AB235" s="2">
        <v>13.5</v>
      </c>
      <c r="AC235" s="2">
        <v>16.600000000000001</v>
      </c>
      <c r="AD235" t="s">
        <v>25</v>
      </c>
      <c r="AE235" s="1">
        <v>45108</v>
      </c>
      <c r="AF235" s="1">
        <v>45473</v>
      </c>
      <c r="AG235" t="b">
        <v>1</v>
      </c>
      <c r="AH235" t="b">
        <v>1</v>
      </c>
      <c r="AI235" t="b">
        <v>1</v>
      </c>
      <c r="AJ235" t="str">
        <f>IF(tblMergedCleaned[[#This Row],[Overall_Rating]]=
    "",
    "Unavailable",
    IF(tblMergedCleaned[[#This Row],[Overall_Rating]]&lt;=
        2,
        "Low (1-2)",
        IF(tblMergedCleaned[[#This Row],[Overall_Rating]]=
            3,
            "Middle (3)",
            "High (4-5)"
        )
    )
)</f>
        <v>High (4-5)</v>
      </c>
      <c r="AK235" cm="1">
        <f t="array" ref="AK235">IF(
    tblMergedCleaned[[#This Row],[Overall_Rating]]="",
    "",
    --(tblMergedCleaned[[#This Row],[Overall_Rating]]&lt;=2)
)</f>
        <v>0</v>
      </c>
      <c r="AL235">
        <f>IF(
    tblMergedCleaned[[#This Row],[Definitely_Recommend_Pct]]="",
    "",
    --(tblMergedCleaned[[#This Row],[Definitely_Recommend_Pct]]&lt;TX_Median_Recommend)
)</f>
        <v>0</v>
      </c>
      <c r="AM235">
        <f>IF(
    tblMergedCleaned[[#This Row],[Readmission_Comparison]]="",
    "",
    --(tblMergedCleaned[[#This Row],[Readmission_Comparison]]="Worse")
)</f>
        <v>0</v>
      </c>
      <c r="AN235">
        <f>COUNT(
    tblMergedCleaned[[#This Row],[Low_Rating_Flag]:[Worse_Readmission_Flag]]
)</f>
        <v>3</v>
      </c>
      <c r="AO235">
        <f>SUM(
    tblMergedCleaned[[#This Row],[Low_Rating_Flag]:[Worse_Readmission_Flag]]
)</f>
        <v>0</v>
      </c>
      <c r="AP23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3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35" s="2">
        <f>IF(
    tblMergedCleaned[[#This Row],[Definitely_Recommend_Pct]]="",
    "",
    tblMergedCleaned[[#This Row],[Definitely_Recommend_Pct]]-TX_Median_Recommend
)</f>
        <v>7</v>
      </c>
      <c r="AS235" s="2">
        <f>IF(
    tblMergedCleaned[[#This Row],[Readmission_Rate_Pct]]="",
    "",
    tblMergedCleaned[[#This Row],[Readmission_Rate_Pct]]-TX_Median_Readmission
)</f>
        <v>9.9999999999999645E-2</v>
      </c>
    </row>
    <row r="236" spans="1:45">
      <c r="A236" t="s">
        <v>1376</v>
      </c>
      <c r="B236" t="s">
        <v>1377</v>
      </c>
      <c r="C236" t="s">
        <v>1378</v>
      </c>
      <c r="D236" t="s">
        <v>687</v>
      </c>
      <c r="E236" t="s">
        <v>18</v>
      </c>
      <c r="F236" t="s">
        <v>1379</v>
      </c>
      <c r="G236" t="s">
        <v>528</v>
      </c>
      <c r="H236" t="s">
        <v>1380</v>
      </c>
      <c r="I236" t="s">
        <v>21</v>
      </c>
      <c r="J236" t="s">
        <v>81</v>
      </c>
      <c r="K236" t="s">
        <v>23</v>
      </c>
      <c r="L236">
        <v>3</v>
      </c>
      <c r="M236" t="s">
        <v>42</v>
      </c>
      <c r="N236" t="s">
        <v>25</v>
      </c>
      <c r="O236" s="2">
        <v>90</v>
      </c>
      <c r="P236" s="2">
        <v>89</v>
      </c>
      <c r="Q236" s="2">
        <v>76</v>
      </c>
      <c r="R236" s="2">
        <v>89</v>
      </c>
      <c r="S236" s="2">
        <v>83</v>
      </c>
      <c r="T236" s="2">
        <v>86</v>
      </c>
      <c r="U236" t="s">
        <v>1759</v>
      </c>
      <c r="V236" s="2">
        <v>31</v>
      </c>
      <c r="W236" s="1">
        <v>45474</v>
      </c>
      <c r="X236" s="1">
        <v>45838</v>
      </c>
      <c r="Y236" s="2">
        <v>14.9</v>
      </c>
      <c r="Z236" t="s">
        <v>1884</v>
      </c>
      <c r="AA236">
        <v>92</v>
      </c>
      <c r="AB236" s="2">
        <v>12.6</v>
      </c>
      <c r="AC236" s="2">
        <v>17.899999999999999</v>
      </c>
      <c r="AD236" t="s">
        <v>25</v>
      </c>
      <c r="AE236" s="1">
        <v>45108</v>
      </c>
      <c r="AF236" s="1">
        <v>45473</v>
      </c>
      <c r="AG236" t="b">
        <v>1</v>
      </c>
      <c r="AH236" t="b">
        <v>1</v>
      </c>
      <c r="AI236" t="b">
        <v>1</v>
      </c>
      <c r="AJ236" t="str">
        <f>IF(tblMergedCleaned[[#This Row],[Overall_Rating]]=
    "",
    "Unavailable",
    IF(tblMergedCleaned[[#This Row],[Overall_Rating]]&lt;=
        2,
        "Low (1-2)",
        IF(tblMergedCleaned[[#This Row],[Overall_Rating]]=
            3,
            "Middle (3)",
            "High (4-5)"
        )
    )
)</f>
        <v>Middle (3)</v>
      </c>
      <c r="AK236" cm="1">
        <f t="array" ref="AK236">IF(
    tblMergedCleaned[[#This Row],[Overall_Rating]]="",
    "",
    --(tblMergedCleaned[[#This Row],[Overall_Rating]]&lt;=2)
)</f>
        <v>0</v>
      </c>
      <c r="AL236">
        <f>IF(
    tblMergedCleaned[[#This Row],[Definitely_Recommend_Pct]]="",
    "",
    --(tblMergedCleaned[[#This Row],[Definitely_Recommend_Pct]]&lt;TX_Median_Recommend)
)</f>
        <v>0</v>
      </c>
      <c r="AM236">
        <f>IF(
    tblMergedCleaned[[#This Row],[Readmission_Comparison]]="",
    "",
    --(tblMergedCleaned[[#This Row],[Readmission_Comparison]]="Worse")
)</f>
        <v>0</v>
      </c>
      <c r="AN236">
        <f>COUNT(
    tblMergedCleaned[[#This Row],[Low_Rating_Flag]:[Worse_Readmission_Flag]]
)</f>
        <v>3</v>
      </c>
      <c r="AO236">
        <f>SUM(
    tblMergedCleaned[[#This Row],[Low_Rating_Flag]:[Worse_Readmission_Flag]]
)</f>
        <v>0</v>
      </c>
      <c r="AP23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3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36" s="2">
        <f>IF(
    tblMergedCleaned[[#This Row],[Definitely_Recommend_Pct]]="",
    "",
    tblMergedCleaned[[#This Row],[Definitely_Recommend_Pct]]-TX_Median_Recommend
)</f>
        <v>15</v>
      </c>
      <c r="AS236" s="2">
        <f>IF(
    tblMergedCleaned[[#This Row],[Readmission_Rate_Pct]]="",
    "",
    tblMergedCleaned[[#This Row],[Readmission_Rate_Pct]]-TX_Median_Readmission
)</f>
        <v>0</v>
      </c>
    </row>
    <row r="237" spans="1:45">
      <c r="A237" t="s">
        <v>1381</v>
      </c>
      <c r="B237" t="s">
        <v>1382</v>
      </c>
      <c r="C237" t="s">
        <v>1383</v>
      </c>
      <c r="D237" t="s">
        <v>119</v>
      </c>
      <c r="E237" t="s">
        <v>18</v>
      </c>
      <c r="F237" t="s">
        <v>1384</v>
      </c>
      <c r="G237" t="s">
        <v>121</v>
      </c>
      <c r="H237" t="s">
        <v>1385</v>
      </c>
      <c r="I237" t="s">
        <v>21</v>
      </c>
      <c r="J237" t="s">
        <v>33</v>
      </c>
      <c r="K237" t="s">
        <v>23</v>
      </c>
      <c r="L237">
        <v>5</v>
      </c>
      <c r="M237" t="s">
        <v>168</v>
      </c>
      <c r="N237" t="s">
        <v>25</v>
      </c>
      <c r="O237" s="2">
        <v>79</v>
      </c>
      <c r="P237" s="2">
        <v>76</v>
      </c>
      <c r="Q237" s="2">
        <v>62</v>
      </c>
      <c r="R237" s="2">
        <v>89</v>
      </c>
      <c r="S237" s="2">
        <v>81</v>
      </c>
      <c r="T237" s="2">
        <v>83</v>
      </c>
      <c r="U237" t="s">
        <v>1854</v>
      </c>
      <c r="V237" s="2">
        <v>16</v>
      </c>
      <c r="W237" s="1">
        <v>45474</v>
      </c>
      <c r="X237" s="1">
        <v>45838</v>
      </c>
      <c r="Y237" s="2">
        <v>15.1</v>
      </c>
      <c r="Z237" t="s">
        <v>1884</v>
      </c>
      <c r="AA237">
        <v>2643</v>
      </c>
      <c r="AB237" s="2">
        <v>14.2</v>
      </c>
      <c r="AC237" s="2">
        <v>16.2</v>
      </c>
      <c r="AD237" t="s">
        <v>25</v>
      </c>
      <c r="AE237" s="1">
        <v>45108</v>
      </c>
      <c r="AF237" s="1">
        <v>45473</v>
      </c>
      <c r="AG237" t="b">
        <v>1</v>
      </c>
      <c r="AH237" t="b">
        <v>1</v>
      </c>
      <c r="AI237" t="b">
        <v>1</v>
      </c>
      <c r="AJ237" t="str">
        <f>IF(tblMergedCleaned[[#This Row],[Overall_Rating]]=
    "",
    "Unavailable",
    IF(tblMergedCleaned[[#This Row],[Overall_Rating]]&lt;=
        2,
        "Low (1-2)",
        IF(tblMergedCleaned[[#This Row],[Overall_Rating]]=
            3,
            "Middle (3)",
            "High (4-5)"
        )
    )
)</f>
        <v>High (4-5)</v>
      </c>
      <c r="AK237" cm="1">
        <f t="array" ref="AK237">IF(
    tblMergedCleaned[[#This Row],[Overall_Rating]]="",
    "",
    --(tblMergedCleaned[[#This Row],[Overall_Rating]]&lt;=2)
)</f>
        <v>0</v>
      </c>
      <c r="AL237">
        <f>IF(
    tblMergedCleaned[[#This Row],[Definitely_Recommend_Pct]]="",
    "",
    --(tblMergedCleaned[[#This Row],[Definitely_Recommend_Pct]]&lt;TX_Median_Recommend)
)</f>
        <v>0</v>
      </c>
      <c r="AM237">
        <f>IF(
    tblMergedCleaned[[#This Row],[Readmission_Comparison]]="",
    "",
    --(tblMergedCleaned[[#This Row],[Readmission_Comparison]]="Worse")
)</f>
        <v>0</v>
      </c>
      <c r="AN237">
        <f>COUNT(
    tblMergedCleaned[[#This Row],[Low_Rating_Flag]:[Worse_Readmission_Flag]]
)</f>
        <v>3</v>
      </c>
      <c r="AO237">
        <f>SUM(
    tblMergedCleaned[[#This Row],[Low_Rating_Flag]:[Worse_Readmission_Flag]]
)</f>
        <v>0</v>
      </c>
      <c r="AP23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3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37" s="2">
        <f>IF(
    tblMergedCleaned[[#This Row],[Definitely_Recommend_Pct]]="",
    "",
    tblMergedCleaned[[#This Row],[Definitely_Recommend_Pct]]-TX_Median_Recommend
)</f>
        <v>12</v>
      </c>
      <c r="AS237" s="2">
        <f>IF(
    tblMergedCleaned[[#This Row],[Readmission_Rate_Pct]]="",
    "",
    tblMergedCleaned[[#This Row],[Readmission_Rate_Pct]]-TX_Median_Readmission
)</f>
        <v>0.19999999999999929</v>
      </c>
    </row>
    <row r="238" spans="1:45">
      <c r="A238" t="s">
        <v>1386</v>
      </c>
      <c r="B238" t="s">
        <v>1387</v>
      </c>
      <c r="C238" t="s">
        <v>1388</v>
      </c>
      <c r="D238" t="s">
        <v>188</v>
      </c>
      <c r="E238" t="s">
        <v>18</v>
      </c>
      <c r="F238" t="s">
        <v>1389</v>
      </c>
      <c r="G238" t="s">
        <v>190</v>
      </c>
      <c r="H238" t="s">
        <v>1390</v>
      </c>
      <c r="I238" t="s">
        <v>21</v>
      </c>
      <c r="J238" t="s">
        <v>22</v>
      </c>
      <c r="K238" t="s">
        <v>23</v>
      </c>
      <c r="L238">
        <v>5</v>
      </c>
      <c r="M238" t="s">
        <v>168</v>
      </c>
      <c r="N238" t="s">
        <v>25</v>
      </c>
      <c r="O238" s="2">
        <v>85</v>
      </c>
      <c r="P238" s="2">
        <v>83</v>
      </c>
      <c r="Q238" s="2">
        <v>71</v>
      </c>
      <c r="R238" s="2">
        <v>87</v>
      </c>
      <c r="S238" s="2">
        <v>83</v>
      </c>
      <c r="T238" s="2">
        <v>81</v>
      </c>
      <c r="U238" t="s">
        <v>1855</v>
      </c>
      <c r="V238" s="2">
        <v>17</v>
      </c>
      <c r="W238" s="1">
        <v>45474</v>
      </c>
      <c r="X238" s="1">
        <v>45838</v>
      </c>
      <c r="Y238" s="2">
        <v>15</v>
      </c>
      <c r="Z238" t="s">
        <v>1884</v>
      </c>
      <c r="AA238">
        <v>143</v>
      </c>
      <c r="AB238" s="2">
        <v>12.9</v>
      </c>
      <c r="AC238" s="2">
        <v>17.399999999999999</v>
      </c>
      <c r="AD238" t="s">
        <v>25</v>
      </c>
      <c r="AE238" s="1">
        <v>45108</v>
      </c>
      <c r="AF238" s="1">
        <v>45473</v>
      </c>
      <c r="AG238" t="b">
        <v>1</v>
      </c>
      <c r="AH238" t="b">
        <v>1</v>
      </c>
      <c r="AI238" t="b">
        <v>1</v>
      </c>
      <c r="AJ238" t="str">
        <f>IF(tblMergedCleaned[[#This Row],[Overall_Rating]]=
    "",
    "Unavailable",
    IF(tblMergedCleaned[[#This Row],[Overall_Rating]]&lt;=
        2,
        "Low (1-2)",
        IF(tblMergedCleaned[[#This Row],[Overall_Rating]]=
            3,
            "Middle (3)",
            "High (4-5)"
        )
    )
)</f>
        <v>High (4-5)</v>
      </c>
      <c r="AK238" cm="1">
        <f t="array" ref="AK238">IF(
    tblMergedCleaned[[#This Row],[Overall_Rating]]="",
    "",
    --(tblMergedCleaned[[#This Row],[Overall_Rating]]&lt;=2)
)</f>
        <v>0</v>
      </c>
      <c r="AL238">
        <f>IF(
    tblMergedCleaned[[#This Row],[Definitely_Recommend_Pct]]="",
    "",
    --(tblMergedCleaned[[#This Row],[Definitely_Recommend_Pct]]&lt;TX_Median_Recommend)
)</f>
        <v>0</v>
      </c>
      <c r="AM238">
        <f>IF(
    tblMergedCleaned[[#This Row],[Readmission_Comparison]]="",
    "",
    --(tblMergedCleaned[[#This Row],[Readmission_Comparison]]="Worse")
)</f>
        <v>0</v>
      </c>
      <c r="AN238">
        <f>COUNT(
    tblMergedCleaned[[#This Row],[Low_Rating_Flag]:[Worse_Readmission_Flag]]
)</f>
        <v>3</v>
      </c>
      <c r="AO238">
        <f>SUM(
    tblMergedCleaned[[#This Row],[Low_Rating_Flag]:[Worse_Readmission_Flag]]
)</f>
        <v>0</v>
      </c>
      <c r="AP23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3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38" s="2">
        <f>IF(
    tblMergedCleaned[[#This Row],[Definitely_Recommend_Pct]]="",
    "",
    tblMergedCleaned[[#This Row],[Definitely_Recommend_Pct]]-TX_Median_Recommend
)</f>
        <v>10</v>
      </c>
      <c r="AS238" s="2">
        <f>IF(
    tblMergedCleaned[[#This Row],[Readmission_Rate_Pct]]="",
    "",
    tblMergedCleaned[[#This Row],[Readmission_Rate_Pct]]-TX_Median_Readmission
)</f>
        <v>9.9999999999999645E-2</v>
      </c>
    </row>
    <row r="239" spans="1:45">
      <c r="A239" t="s">
        <v>1391</v>
      </c>
      <c r="B239" t="s">
        <v>1392</v>
      </c>
      <c r="C239" t="s">
        <v>1393</v>
      </c>
      <c r="D239" t="s">
        <v>1394</v>
      </c>
      <c r="E239" t="s">
        <v>18</v>
      </c>
      <c r="F239" t="s">
        <v>1395</v>
      </c>
      <c r="G239" t="s">
        <v>166</v>
      </c>
      <c r="H239" t="s">
        <v>1396</v>
      </c>
      <c r="I239" t="s">
        <v>21</v>
      </c>
      <c r="J239" t="s">
        <v>22</v>
      </c>
      <c r="K239" t="s">
        <v>23</v>
      </c>
      <c r="L239">
        <v>4</v>
      </c>
      <c r="M239" t="s">
        <v>34</v>
      </c>
      <c r="N239" t="s">
        <v>25</v>
      </c>
      <c r="O239" s="2">
        <v>81</v>
      </c>
      <c r="P239" s="2">
        <v>81</v>
      </c>
      <c r="Q239" s="2">
        <v>68</v>
      </c>
      <c r="R239" s="2">
        <v>87</v>
      </c>
      <c r="S239" s="2">
        <v>74</v>
      </c>
      <c r="T239" s="2">
        <v>73</v>
      </c>
      <c r="U239" t="s">
        <v>1856</v>
      </c>
      <c r="V239" s="2">
        <v>16</v>
      </c>
      <c r="W239" s="1">
        <v>45474</v>
      </c>
      <c r="X239" s="1">
        <v>45838</v>
      </c>
      <c r="Y239" s="2">
        <v>16.3</v>
      </c>
      <c r="Z239" t="s">
        <v>1884</v>
      </c>
      <c r="AA239">
        <v>617</v>
      </c>
      <c r="AB239" s="2">
        <v>14.9</v>
      </c>
      <c r="AC239" s="2">
        <v>18</v>
      </c>
      <c r="AD239" t="s">
        <v>25</v>
      </c>
      <c r="AE239" s="1">
        <v>45108</v>
      </c>
      <c r="AF239" s="1">
        <v>45473</v>
      </c>
      <c r="AG239" t="b">
        <v>1</v>
      </c>
      <c r="AH239" t="b">
        <v>1</v>
      </c>
      <c r="AI239" t="b">
        <v>1</v>
      </c>
      <c r="AJ239" t="str">
        <f>IF(tblMergedCleaned[[#This Row],[Overall_Rating]]=
    "",
    "Unavailable",
    IF(tblMergedCleaned[[#This Row],[Overall_Rating]]&lt;=
        2,
        "Low (1-2)",
        IF(tblMergedCleaned[[#This Row],[Overall_Rating]]=
            3,
            "Middle (3)",
            "High (4-5)"
        )
    )
)</f>
        <v>High (4-5)</v>
      </c>
      <c r="AK239" cm="1">
        <f t="array" ref="AK239">IF(
    tblMergedCleaned[[#This Row],[Overall_Rating]]="",
    "",
    --(tblMergedCleaned[[#This Row],[Overall_Rating]]&lt;=2)
)</f>
        <v>0</v>
      </c>
      <c r="AL239">
        <f>IF(
    tblMergedCleaned[[#This Row],[Definitely_Recommend_Pct]]="",
    "",
    --(tblMergedCleaned[[#This Row],[Definitely_Recommend_Pct]]&lt;TX_Median_Recommend)
)</f>
        <v>0</v>
      </c>
      <c r="AM239">
        <f>IF(
    tblMergedCleaned[[#This Row],[Readmission_Comparison]]="",
    "",
    --(tblMergedCleaned[[#This Row],[Readmission_Comparison]]="Worse")
)</f>
        <v>0</v>
      </c>
      <c r="AN239">
        <f>COUNT(
    tblMergedCleaned[[#This Row],[Low_Rating_Flag]:[Worse_Readmission_Flag]]
)</f>
        <v>3</v>
      </c>
      <c r="AO239">
        <f>SUM(
    tblMergedCleaned[[#This Row],[Low_Rating_Flag]:[Worse_Readmission_Flag]]
)</f>
        <v>0</v>
      </c>
      <c r="AP23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3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39" s="2">
        <f>IF(
    tblMergedCleaned[[#This Row],[Definitely_Recommend_Pct]]="",
    "",
    tblMergedCleaned[[#This Row],[Definitely_Recommend_Pct]]-TX_Median_Recommend
)</f>
        <v>2</v>
      </c>
      <c r="AS239" s="2">
        <f>IF(
    tblMergedCleaned[[#This Row],[Readmission_Rate_Pct]]="",
    "",
    tblMergedCleaned[[#This Row],[Readmission_Rate_Pct]]-TX_Median_Readmission
)</f>
        <v>1.4000000000000004</v>
      </c>
    </row>
    <row r="240" spans="1:45">
      <c r="A240" t="s">
        <v>1397</v>
      </c>
      <c r="B240" t="s">
        <v>1398</v>
      </c>
      <c r="C240" t="s">
        <v>1399</v>
      </c>
      <c r="D240" t="s">
        <v>1400</v>
      </c>
      <c r="E240" t="s">
        <v>18</v>
      </c>
      <c r="F240" t="s">
        <v>1401</v>
      </c>
      <c r="G240" t="s">
        <v>629</v>
      </c>
      <c r="H240" t="s">
        <v>1402</v>
      </c>
      <c r="I240" t="s">
        <v>21</v>
      </c>
      <c r="J240" t="s">
        <v>33</v>
      </c>
      <c r="K240" t="s">
        <v>23</v>
      </c>
      <c r="L240">
        <v>4</v>
      </c>
      <c r="M240" t="s">
        <v>34</v>
      </c>
      <c r="N240" t="s">
        <v>25</v>
      </c>
      <c r="O240" s="2">
        <v>79</v>
      </c>
      <c r="P240" s="2">
        <v>79</v>
      </c>
      <c r="Q240" s="2">
        <v>59</v>
      </c>
      <c r="R240" s="2">
        <v>87</v>
      </c>
      <c r="S240" s="2">
        <v>79</v>
      </c>
      <c r="T240" s="2">
        <v>78</v>
      </c>
      <c r="U240" t="s">
        <v>1857</v>
      </c>
      <c r="V240" s="2">
        <v>14</v>
      </c>
      <c r="W240" s="1">
        <v>45474</v>
      </c>
      <c r="X240" s="1">
        <v>45838</v>
      </c>
      <c r="Y240" s="2">
        <v>15.5</v>
      </c>
      <c r="Z240" t="s">
        <v>1884</v>
      </c>
      <c r="AA240">
        <v>2431</v>
      </c>
      <c r="AB240" s="2">
        <v>14.5</v>
      </c>
      <c r="AC240" s="2">
        <v>16.600000000000001</v>
      </c>
      <c r="AD240" t="s">
        <v>25</v>
      </c>
      <c r="AE240" s="1">
        <v>45108</v>
      </c>
      <c r="AF240" s="1">
        <v>45473</v>
      </c>
      <c r="AG240" t="b">
        <v>1</v>
      </c>
      <c r="AH240" t="b">
        <v>1</v>
      </c>
      <c r="AI240" t="b">
        <v>1</v>
      </c>
      <c r="AJ240" t="str">
        <f>IF(tblMergedCleaned[[#This Row],[Overall_Rating]]=
    "",
    "Unavailable",
    IF(tblMergedCleaned[[#This Row],[Overall_Rating]]&lt;=
        2,
        "Low (1-2)",
        IF(tblMergedCleaned[[#This Row],[Overall_Rating]]=
            3,
            "Middle (3)",
            "High (4-5)"
        )
    )
)</f>
        <v>High (4-5)</v>
      </c>
      <c r="AK240" cm="1">
        <f t="array" ref="AK240">IF(
    tblMergedCleaned[[#This Row],[Overall_Rating]]="",
    "",
    --(tblMergedCleaned[[#This Row],[Overall_Rating]]&lt;=2)
)</f>
        <v>0</v>
      </c>
      <c r="AL240">
        <f>IF(
    tblMergedCleaned[[#This Row],[Definitely_Recommend_Pct]]="",
    "",
    --(tblMergedCleaned[[#This Row],[Definitely_Recommend_Pct]]&lt;TX_Median_Recommend)
)</f>
        <v>0</v>
      </c>
      <c r="AM240">
        <f>IF(
    tblMergedCleaned[[#This Row],[Readmission_Comparison]]="",
    "",
    --(tblMergedCleaned[[#This Row],[Readmission_Comparison]]="Worse")
)</f>
        <v>0</v>
      </c>
      <c r="AN240">
        <f>COUNT(
    tblMergedCleaned[[#This Row],[Low_Rating_Flag]:[Worse_Readmission_Flag]]
)</f>
        <v>3</v>
      </c>
      <c r="AO240">
        <f>SUM(
    tblMergedCleaned[[#This Row],[Low_Rating_Flag]:[Worse_Readmission_Flag]]
)</f>
        <v>0</v>
      </c>
      <c r="AP24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4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40" s="2">
        <f>IF(
    tblMergedCleaned[[#This Row],[Definitely_Recommend_Pct]]="",
    "",
    tblMergedCleaned[[#This Row],[Definitely_Recommend_Pct]]-TX_Median_Recommend
)</f>
        <v>7</v>
      </c>
      <c r="AS240" s="2">
        <f>IF(
    tblMergedCleaned[[#This Row],[Readmission_Rate_Pct]]="",
    "",
    tblMergedCleaned[[#This Row],[Readmission_Rate_Pct]]-TX_Median_Readmission
)</f>
        <v>0.59999999999999964</v>
      </c>
    </row>
    <row r="241" spans="1:45">
      <c r="A241" t="s">
        <v>1403</v>
      </c>
      <c r="B241" t="s">
        <v>1404</v>
      </c>
      <c r="C241" t="s">
        <v>1405</v>
      </c>
      <c r="D241" t="s">
        <v>126</v>
      </c>
      <c r="E241" t="s">
        <v>18</v>
      </c>
      <c r="F241" t="s">
        <v>1406</v>
      </c>
      <c r="G241" t="s">
        <v>128</v>
      </c>
      <c r="H241" t="s">
        <v>1407</v>
      </c>
      <c r="I241" t="s">
        <v>21</v>
      </c>
      <c r="J241" t="s">
        <v>33</v>
      </c>
      <c r="K241" t="s">
        <v>23</v>
      </c>
      <c r="L241">
        <v>5</v>
      </c>
      <c r="M241" t="s">
        <v>168</v>
      </c>
      <c r="N241" t="s">
        <v>25</v>
      </c>
      <c r="O241" s="2">
        <v>78</v>
      </c>
      <c r="P241" s="2">
        <v>77</v>
      </c>
      <c r="Q241" s="2">
        <v>59</v>
      </c>
      <c r="R241" s="2">
        <v>89</v>
      </c>
      <c r="S241" s="2">
        <v>73</v>
      </c>
      <c r="T241" s="2">
        <v>73</v>
      </c>
      <c r="U241" t="s">
        <v>1725</v>
      </c>
      <c r="V241" s="2">
        <v>16</v>
      </c>
      <c r="W241" s="1">
        <v>45474</v>
      </c>
      <c r="X241" s="1">
        <v>45838</v>
      </c>
      <c r="Y241" s="2">
        <v>13.9</v>
      </c>
      <c r="Z241" t="s">
        <v>1884</v>
      </c>
      <c r="AA241">
        <v>883</v>
      </c>
      <c r="AB241" s="2">
        <v>12.6</v>
      </c>
      <c r="AC241" s="2">
        <v>15.4</v>
      </c>
      <c r="AD241" t="s">
        <v>25</v>
      </c>
      <c r="AE241" s="1">
        <v>45108</v>
      </c>
      <c r="AF241" s="1">
        <v>45473</v>
      </c>
      <c r="AG241" t="b">
        <v>1</v>
      </c>
      <c r="AH241" t="b">
        <v>1</v>
      </c>
      <c r="AI241" t="b">
        <v>1</v>
      </c>
      <c r="AJ241" t="str">
        <f>IF(tblMergedCleaned[[#This Row],[Overall_Rating]]=
    "",
    "Unavailable",
    IF(tblMergedCleaned[[#This Row],[Overall_Rating]]&lt;=
        2,
        "Low (1-2)",
        IF(tblMergedCleaned[[#This Row],[Overall_Rating]]=
            3,
            "Middle (3)",
            "High (4-5)"
        )
    )
)</f>
        <v>High (4-5)</v>
      </c>
      <c r="AK241" cm="1">
        <f t="array" ref="AK241">IF(
    tblMergedCleaned[[#This Row],[Overall_Rating]]="",
    "",
    --(tblMergedCleaned[[#This Row],[Overall_Rating]]&lt;=2)
)</f>
        <v>0</v>
      </c>
      <c r="AL241">
        <f>IF(
    tblMergedCleaned[[#This Row],[Definitely_Recommend_Pct]]="",
    "",
    --(tblMergedCleaned[[#This Row],[Definitely_Recommend_Pct]]&lt;TX_Median_Recommend)
)</f>
        <v>0</v>
      </c>
      <c r="AM241">
        <f>IF(
    tblMergedCleaned[[#This Row],[Readmission_Comparison]]="",
    "",
    --(tblMergedCleaned[[#This Row],[Readmission_Comparison]]="Worse")
)</f>
        <v>0</v>
      </c>
      <c r="AN241">
        <f>COUNT(
    tblMergedCleaned[[#This Row],[Low_Rating_Flag]:[Worse_Readmission_Flag]]
)</f>
        <v>3</v>
      </c>
      <c r="AO241">
        <f>SUM(
    tblMergedCleaned[[#This Row],[Low_Rating_Flag]:[Worse_Readmission_Flag]]
)</f>
        <v>0</v>
      </c>
      <c r="AP24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4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41" s="2">
        <f>IF(
    tblMergedCleaned[[#This Row],[Definitely_Recommend_Pct]]="",
    "",
    tblMergedCleaned[[#This Row],[Definitely_Recommend_Pct]]-TX_Median_Recommend
)</f>
        <v>2</v>
      </c>
      <c r="AS241" s="2">
        <f>IF(
    tblMergedCleaned[[#This Row],[Readmission_Rate_Pct]]="",
    "",
    tblMergedCleaned[[#This Row],[Readmission_Rate_Pct]]-TX_Median_Readmission
)</f>
        <v>-1</v>
      </c>
    </row>
    <row r="242" spans="1:45">
      <c r="A242" t="s">
        <v>1408</v>
      </c>
      <c r="B242" t="s">
        <v>1409</v>
      </c>
      <c r="C242" t="s">
        <v>1410</v>
      </c>
      <c r="D242" t="s">
        <v>1411</v>
      </c>
      <c r="E242" t="s">
        <v>18</v>
      </c>
      <c r="F242" t="s">
        <v>1412</v>
      </c>
      <c r="G242" t="s">
        <v>48</v>
      </c>
      <c r="H242" t="s">
        <v>1413</v>
      </c>
      <c r="I242" t="s">
        <v>21</v>
      </c>
      <c r="J242" t="s">
        <v>33</v>
      </c>
      <c r="K242" t="s">
        <v>23</v>
      </c>
      <c r="L242">
        <v>4</v>
      </c>
      <c r="M242" t="s">
        <v>34</v>
      </c>
      <c r="N242" t="s">
        <v>25</v>
      </c>
      <c r="O242" s="2">
        <v>82</v>
      </c>
      <c r="P242" s="2">
        <v>84</v>
      </c>
      <c r="Q242" s="2">
        <v>67</v>
      </c>
      <c r="R242" s="2">
        <v>88</v>
      </c>
      <c r="S242" s="2">
        <v>81</v>
      </c>
      <c r="T242" s="2">
        <v>82</v>
      </c>
      <c r="U242" t="s">
        <v>1858</v>
      </c>
      <c r="V242" s="2">
        <v>19</v>
      </c>
      <c r="W242" s="1">
        <v>45474</v>
      </c>
      <c r="X242" s="1">
        <v>45838</v>
      </c>
      <c r="Y242" s="2">
        <v>14.9</v>
      </c>
      <c r="Z242" t="s">
        <v>1884</v>
      </c>
      <c r="AA242">
        <v>1630</v>
      </c>
      <c r="AB242" s="2">
        <v>13.8</v>
      </c>
      <c r="AC242" s="2">
        <v>16.2</v>
      </c>
      <c r="AD242" t="s">
        <v>25</v>
      </c>
      <c r="AE242" s="1">
        <v>45108</v>
      </c>
      <c r="AF242" s="1">
        <v>45473</v>
      </c>
      <c r="AG242" t="b">
        <v>1</v>
      </c>
      <c r="AH242" t="b">
        <v>1</v>
      </c>
      <c r="AI242" t="b">
        <v>1</v>
      </c>
      <c r="AJ242" t="str">
        <f>IF(tblMergedCleaned[[#This Row],[Overall_Rating]]=
    "",
    "Unavailable",
    IF(tblMergedCleaned[[#This Row],[Overall_Rating]]&lt;=
        2,
        "Low (1-2)",
        IF(tblMergedCleaned[[#This Row],[Overall_Rating]]=
            3,
            "Middle (3)",
            "High (4-5)"
        )
    )
)</f>
        <v>High (4-5)</v>
      </c>
      <c r="AK242" cm="1">
        <f t="array" ref="AK242">IF(
    tblMergedCleaned[[#This Row],[Overall_Rating]]="",
    "",
    --(tblMergedCleaned[[#This Row],[Overall_Rating]]&lt;=2)
)</f>
        <v>0</v>
      </c>
      <c r="AL242">
        <f>IF(
    tblMergedCleaned[[#This Row],[Definitely_Recommend_Pct]]="",
    "",
    --(tblMergedCleaned[[#This Row],[Definitely_Recommend_Pct]]&lt;TX_Median_Recommend)
)</f>
        <v>0</v>
      </c>
      <c r="AM242">
        <f>IF(
    tblMergedCleaned[[#This Row],[Readmission_Comparison]]="",
    "",
    --(tblMergedCleaned[[#This Row],[Readmission_Comparison]]="Worse")
)</f>
        <v>0</v>
      </c>
      <c r="AN242">
        <f>COUNT(
    tblMergedCleaned[[#This Row],[Low_Rating_Flag]:[Worse_Readmission_Flag]]
)</f>
        <v>3</v>
      </c>
      <c r="AO242">
        <f>SUM(
    tblMergedCleaned[[#This Row],[Low_Rating_Flag]:[Worse_Readmission_Flag]]
)</f>
        <v>0</v>
      </c>
      <c r="AP24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4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42" s="2">
        <f>IF(
    tblMergedCleaned[[#This Row],[Definitely_Recommend_Pct]]="",
    "",
    tblMergedCleaned[[#This Row],[Definitely_Recommend_Pct]]-TX_Median_Recommend
)</f>
        <v>11</v>
      </c>
      <c r="AS242" s="2">
        <f>IF(
    tblMergedCleaned[[#This Row],[Readmission_Rate_Pct]]="",
    "",
    tblMergedCleaned[[#This Row],[Readmission_Rate_Pct]]-TX_Median_Readmission
)</f>
        <v>0</v>
      </c>
    </row>
    <row r="243" spans="1:45">
      <c r="A243" t="s">
        <v>1414</v>
      </c>
      <c r="B243" t="s">
        <v>1415</v>
      </c>
      <c r="C243" t="s">
        <v>1416</v>
      </c>
      <c r="D243" t="s">
        <v>1417</v>
      </c>
      <c r="E243" t="s">
        <v>18</v>
      </c>
      <c r="F243" t="s">
        <v>1418</v>
      </c>
      <c r="G243" t="s">
        <v>53</v>
      </c>
      <c r="H243" t="s">
        <v>1419</v>
      </c>
      <c r="I243" t="s">
        <v>21</v>
      </c>
      <c r="J243" t="s">
        <v>81</v>
      </c>
      <c r="K243" t="s">
        <v>23</v>
      </c>
      <c r="L243">
        <v>2</v>
      </c>
      <c r="M243" t="s">
        <v>24</v>
      </c>
      <c r="N243" t="s">
        <v>25</v>
      </c>
      <c r="O243" s="2">
        <v>71</v>
      </c>
      <c r="P243" s="2">
        <v>78</v>
      </c>
      <c r="Q243" s="2">
        <v>61</v>
      </c>
      <c r="R243" s="2">
        <v>79</v>
      </c>
      <c r="S243" s="2">
        <v>61</v>
      </c>
      <c r="T243" s="2">
        <v>49</v>
      </c>
      <c r="U243" t="s">
        <v>1859</v>
      </c>
      <c r="V243" s="2">
        <v>8</v>
      </c>
      <c r="W243" s="1">
        <v>45474</v>
      </c>
      <c r="X243" s="1">
        <v>45838</v>
      </c>
      <c r="Y243" s="2">
        <v>14.9</v>
      </c>
      <c r="Z243" t="s">
        <v>1884</v>
      </c>
      <c r="AA243">
        <v>85</v>
      </c>
      <c r="AB243" s="2">
        <v>13.1</v>
      </c>
      <c r="AC243" s="2">
        <v>17</v>
      </c>
      <c r="AD243" t="s">
        <v>25</v>
      </c>
      <c r="AE243" s="1">
        <v>45108</v>
      </c>
      <c r="AF243" s="1">
        <v>45473</v>
      </c>
      <c r="AG243" t="b">
        <v>1</v>
      </c>
      <c r="AH243" t="b">
        <v>1</v>
      </c>
      <c r="AI243" t="b">
        <v>1</v>
      </c>
      <c r="AJ243" t="str">
        <f>IF(tblMergedCleaned[[#This Row],[Overall_Rating]]=
    "",
    "Unavailable",
    IF(tblMergedCleaned[[#This Row],[Overall_Rating]]&lt;=
        2,
        "Low (1-2)",
        IF(tblMergedCleaned[[#This Row],[Overall_Rating]]=
            3,
            "Middle (3)",
            "High (4-5)"
        )
    )
)</f>
        <v>Low (1-2)</v>
      </c>
      <c r="AK243" cm="1">
        <f t="array" ref="AK243">IF(
    tblMergedCleaned[[#This Row],[Overall_Rating]]="",
    "",
    --(tblMergedCleaned[[#This Row],[Overall_Rating]]&lt;=2)
)</f>
        <v>1</v>
      </c>
      <c r="AL243">
        <f>IF(
    tblMergedCleaned[[#This Row],[Definitely_Recommend_Pct]]="",
    "",
    --(tblMergedCleaned[[#This Row],[Definitely_Recommend_Pct]]&lt;TX_Median_Recommend)
)</f>
        <v>1</v>
      </c>
      <c r="AM243">
        <f>IF(
    tblMergedCleaned[[#This Row],[Readmission_Comparison]]="",
    "",
    --(tblMergedCleaned[[#This Row],[Readmission_Comparison]]="Worse")
)</f>
        <v>0</v>
      </c>
      <c r="AN243">
        <f>COUNT(
    tblMergedCleaned[[#This Row],[Low_Rating_Flag]:[Worse_Readmission_Flag]]
)</f>
        <v>3</v>
      </c>
      <c r="AO243">
        <f>SUM(
    tblMergedCleaned[[#This Row],[Low_Rating_Flag]:[Worse_Readmission_Flag]]
)</f>
        <v>2</v>
      </c>
      <c r="AP24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24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43" s="2">
        <f>IF(
    tblMergedCleaned[[#This Row],[Definitely_Recommend_Pct]]="",
    "",
    tblMergedCleaned[[#This Row],[Definitely_Recommend_Pct]]-TX_Median_Recommend
)</f>
        <v>-22</v>
      </c>
      <c r="AS243" s="2">
        <f>IF(
    tblMergedCleaned[[#This Row],[Readmission_Rate_Pct]]="",
    "",
    tblMergedCleaned[[#This Row],[Readmission_Rate_Pct]]-TX_Median_Readmission
)</f>
        <v>0</v>
      </c>
    </row>
    <row r="244" spans="1:45">
      <c r="A244" t="s">
        <v>1420</v>
      </c>
      <c r="B244" t="s">
        <v>1421</v>
      </c>
      <c r="C244" t="s">
        <v>1422</v>
      </c>
      <c r="D244" t="s">
        <v>460</v>
      </c>
      <c r="E244" t="s">
        <v>18</v>
      </c>
      <c r="F244" t="s">
        <v>461</v>
      </c>
      <c r="G244" t="s">
        <v>462</v>
      </c>
      <c r="H244" t="s">
        <v>1423</v>
      </c>
      <c r="I244" t="s">
        <v>21</v>
      </c>
      <c r="J244" t="s">
        <v>81</v>
      </c>
      <c r="K244" t="s">
        <v>302</v>
      </c>
      <c r="M244" t="s">
        <v>176</v>
      </c>
      <c r="N244" t="s">
        <v>177</v>
      </c>
      <c r="U244" t="s">
        <v>176</v>
      </c>
      <c r="W244" s="1">
        <v>45474</v>
      </c>
      <c r="X244" s="1">
        <v>45838</v>
      </c>
      <c r="AD244" t="s">
        <v>168</v>
      </c>
      <c r="AE244" s="1">
        <v>45108</v>
      </c>
      <c r="AF244" s="1">
        <v>45473</v>
      </c>
      <c r="AG244" t="b">
        <v>0</v>
      </c>
      <c r="AH244" t="b">
        <v>0</v>
      </c>
      <c r="AI244" t="b">
        <v>0</v>
      </c>
      <c r="AJ244" t="str">
        <f>IF(tblMergedCleaned[[#This Row],[Overall_Rating]]=
    "",
    "Unavailable",
    IF(tblMergedCleaned[[#This Row],[Overall_Rating]]&lt;=
        2,
        "Low (1-2)",
        IF(tblMergedCleaned[[#This Row],[Overall_Rating]]=
            3,
            "Middle (3)",
            "High (4-5)"
        )
    )
)</f>
        <v>Unavailable</v>
      </c>
      <c r="AK244" t="str" cm="1">
        <f t="array" ref="AK244">IF(
    tblMergedCleaned[[#This Row],[Overall_Rating]]="",
    "",
    --(tblMergedCleaned[[#This Row],[Overall_Rating]]&lt;=2)
)</f>
        <v/>
      </c>
      <c r="AL244" t="str">
        <f>IF(
    tblMergedCleaned[[#This Row],[Definitely_Recommend_Pct]]="",
    "",
    --(tblMergedCleaned[[#This Row],[Definitely_Recommend_Pct]]&lt;TX_Median_Recommend)
)</f>
        <v/>
      </c>
      <c r="AM244" t="str">
        <f>IF(
    tblMergedCleaned[[#This Row],[Readmission_Comparison]]="",
    "",
    --(tblMergedCleaned[[#This Row],[Readmission_Comparison]]="Worse")
)</f>
        <v/>
      </c>
      <c r="AN244">
        <f>COUNT(
    tblMergedCleaned[[#This Row],[Low_Rating_Flag]:[Worse_Readmission_Flag]]
)</f>
        <v>0</v>
      </c>
      <c r="AO244">
        <f>SUM(
    tblMergedCleaned[[#This Row],[Low_Rating_Flag]:[Worse_Readmission_Flag]]
)</f>
        <v>0</v>
      </c>
      <c r="AP24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4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44" s="2" t="str">
        <f>IF(
    tblMergedCleaned[[#This Row],[Definitely_Recommend_Pct]]="",
    "",
    tblMergedCleaned[[#This Row],[Definitely_Recommend_Pct]]-TX_Median_Recommend
)</f>
        <v/>
      </c>
      <c r="AS244" s="2" t="str">
        <f>IF(
    tblMergedCleaned[[#This Row],[Readmission_Rate_Pct]]="",
    "",
    tblMergedCleaned[[#This Row],[Readmission_Rate_Pct]]-TX_Median_Readmission
)</f>
        <v/>
      </c>
    </row>
    <row r="245" spans="1:45">
      <c r="A245" t="s">
        <v>1424</v>
      </c>
      <c r="B245" t="s">
        <v>1425</v>
      </c>
      <c r="C245" t="s">
        <v>1426</v>
      </c>
      <c r="D245" t="s">
        <v>1427</v>
      </c>
      <c r="E245" t="s">
        <v>18</v>
      </c>
      <c r="F245" t="s">
        <v>1428</v>
      </c>
      <c r="G245" t="s">
        <v>1429</v>
      </c>
      <c r="H245" t="s">
        <v>1430</v>
      </c>
      <c r="I245" t="s">
        <v>21</v>
      </c>
      <c r="J245" t="s">
        <v>22</v>
      </c>
      <c r="K245" t="s">
        <v>23</v>
      </c>
      <c r="L245">
        <v>4</v>
      </c>
      <c r="M245" t="s">
        <v>34</v>
      </c>
      <c r="N245" t="s">
        <v>25</v>
      </c>
      <c r="O245" s="2">
        <v>79</v>
      </c>
      <c r="P245" s="2">
        <v>76</v>
      </c>
      <c r="Q245" s="2">
        <v>62</v>
      </c>
      <c r="R245" s="2">
        <v>84</v>
      </c>
      <c r="S245" s="2">
        <v>75</v>
      </c>
      <c r="T245" s="2">
        <v>75</v>
      </c>
      <c r="U245" t="s">
        <v>1860</v>
      </c>
      <c r="V245" s="2">
        <v>15</v>
      </c>
      <c r="W245" s="1">
        <v>45474</v>
      </c>
      <c r="X245" s="1">
        <v>45838</v>
      </c>
      <c r="Y245" s="2">
        <v>15.3</v>
      </c>
      <c r="Z245" t="s">
        <v>1884</v>
      </c>
      <c r="AA245">
        <v>835</v>
      </c>
      <c r="AB245" s="2">
        <v>14</v>
      </c>
      <c r="AC245" s="2">
        <v>16.8</v>
      </c>
      <c r="AD245" t="s">
        <v>25</v>
      </c>
      <c r="AE245" s="1">
        <v>45108</v>
      </c>
      <c r="AF245" s="1">
        <v>45473</v>
      </c>
      <c r="AG245" t="b">
        <v>1</v>
      </c>
      <c r="AH245" t="b">
        <v>1</v>
      </c>
      <c r="AI245" t="b">
        <v>1</v>
      </c>
      <c r="AJ245" t="str">
        <f>IF(tblMergedCleaned[[#This Row],[Overall_Rating]]=
    "",
    "Unavailable",
    IF(tblMergedCleaned[[#This Row],[Overall_Rating]]&lt;=
        2,
        "Low (1-2)",
        IF(tblMergedCleaned[[#This Row],[Overall_Rating]]=
            3,
            "Middle (3)",
            "High (4-5)"
        )
    )
)</f>
        <v>High (4-5)</v>
      </c>
      <c r="AK245" cm="1">
        <f t="array" ref="AK245">IF(
    tblMergedCleaned[[#This Row],[Overall_Rating]]="",
    "",
    --(tblMergedCleaned[[#This Row],[Overall_Rating]]&lt;=2)
)</f>
        <v>0</v>
      </c>
      <c r="AL245">
        <f>IF(
    tblMergedCleaned[[#This Row],[Definitely_Recommend_Pct]]="",
    "",
    --(tblMergedCleaned[[#This Row],[Definitely_Recommend_Pct]]&lt;TX_Median_Recommend)
)</f>
        <v>0</v>
      </c>
      <c r="AM245">
        <f>IF(
    tblMergedCleaned[[#This Row],[Readmission_Comparison]]="",
    "",
    --(tblMergedCleaned[[#This Row],[Readmission_Comparison]]="Worse")
)</f>
        <v>0</v>
      </c>
      <c r="AN245">
        <f>COUNT(
    tblMergedCleaned[[#This Row],[Low_Rating_Flag]:[Worse_Readmission_Flag]]
)</f>
        <v>3</v>
      </c>
      <c r="AO245">
        <f>SUM(
    tblMergedCleaned[[#This Row],[Low_Rating_Flag]:[Worse_Readmission_Flag]]
)</f>
        <v>0</v>
      </c>
      <c r="AP24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4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45" s="2">
        <f>IF(
    tblMergedCleaned[[#This Row],[Definitely_Recommend_Pct]]="",
    "",
    tblMergedCleaned[[#This Row],[Definitely_Recommend_Pct]]-TX_Median_Recommend
)</f>
        <v>4</v>
      </c>
      <c r="AS245" s="2">
        <f>IF(
    tblMergedCleaned[[#This Row],[Readmission_Rate_Pct]]="",
    "",
    tblMergedCleaned[[#This Row],[Readmission_Rate_Pct]]-TX_Median_Readmission
)</f>
        <v>0.40000000000000036</v>
      </c>
    </row>
    <row r="246" spans="1:45">
      <c r="A246" t="s">
        <v>1431</v>
      </c>
      <c r="B246" t="s">
        <v>1432</v>
      </c>
      <c r="C246" t="s">
        <v>1433</v>
      </c>
      <c r="D246" t="s">
        <v>119</v>
      </c>
      <c r="E246" t="s">
        <v>18</v>
      </c>
      <c r="F246" t="s">
        <v>1434</v>
      </c>
      <c r="G246" t="s">
        <v>121</v>
      </c>
      <c r="H246" t="s">
        <v>1435</v>
      </c>
      <c r="I246" t="s">
        <v>21</v>
      </c>
      <c r="J246" t="s">
        <v>22</v>
      </c>
      <c r="K246" t="s">
        <v>23</v>
      </c>
      <c r="M246" t="s">
        <v>176</v>
      </c>
      <c r="N246" t="s">
        <v>177</v>
      </c>
      <c r="O246" s="2">
        <v>71</v>
      </c>
      <c r="P246" s="2">
        <v>76</v>
      </c>
      <c r="Q246" s="2">
        <v>45</v>
      </c>
      <c r="R246" s="2">
        <v>70</v>
      </c>
      <c r="S246" s="2">
        <v>56</v>
      </c>
      <c r="T246" s="2">
        <v>58</v>
      </c>
      <c r="U246" t="s">
        <v>1861</v>
      </c>
      <c r="V246" s="2">
        <v>5</v>
      </c>
      <c r="W246" s="1">
        <v>45474</v>
      </c>
      <c r="X246" s="1">
        <v>45838</v>
      </c>
      <c r="Y246" s="2">
        <v>15.3</v>
      </c>
      <c r="Z246" t="s">
        <v>1884</v>
      </c>
      <c r="AA246">
        <v>40</v>
      </c>
      <c r="AB246" s="2">
        <v>13.4</v>
      </c>
      <c r="AC246" s="2">
        <v>17.600000000000001</v>
      </c>
      <c r="AD246" t="s">
        <v>25</v>
      </c>
      <c r="AE246" s="1">
        <v>45108</v>
      </c>
      <c r="AF246" s="1">
        <v>45473</v>
      </c>
      <c r="AG246" t="b">
        <v>0</v>
      </c>
      <c r="AH246" t="b">
        <v>1</v>
      </c>
      <c r="AI246" t="b">
        <v>1</v>
      </c>
      <c r="AJ246" t="str">
        <f>IF(tblMergedCleaned[[#This Row],[Overall_Rating]]=
    "",
    "Unavailable",
    IF(tblMergedCleaned[[#This Row],[Overall_Rating]]&lt;=
        2,
        "Low (1-2)",
        IF(tblMergedCleaned[[#This Row],[Overall_Rating]]=
            3,
            "Middle (3)",
            "High (4-5)"
        )
    )
)</f>
        <v>Unavailable</v>
      </c>
      <c r="AK246" t="str" cm="1">
        <f t="array" ref="AK246">IF(
    tblMergedCleaned[[#This Row],[Overall_Rating]]="",
    "",
    --(tblMergedCleaned[[#This Row],[Overall_Rating]]&lt;=2)
)</f>
        <v/>
      </c>
      <c r="AL246">
        <f>IF(
    tblMergedCleaned[[#This Row],[Definitely_Recommend_Pct]]="",
    "",
    --(tblMergedCleaned[[#This Row],[Definitely_Recommend_Pct]]&lt;TX_Median_Recommend)
)</f>
        <v>1</v>
      </c>
      <c r="AM246">
        <f>IF(
    tblMergedCleaned[[#This Row],[Readmission_Comparison]]="",
    "",
    --(tblMergedCleaned[[#This Row],[Readmission_Comparison]]="Worse")
)</f>
        <v>0</v>
      </c>
      <c r="AN246">
        <f>COUNT(
    tblMergedCleaned[[#This Row],[Low_Rating_Flag]:[Worse_Readmission_Flag]]
)</f>
        <v>2</v>
      </c>
      <c r="AO246">
        <f>SUM(
    tblMergedCleaned[[#This Row],[Low_Rating_Flag]:[Worse_Readmission_Flag]]
)</f>
        <v>1</v>
      </c>
      <c r="AP24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4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46" s="2">
        <f>IF(
    tblMergedCleaned[[#This Row],[Definitely_Recommend_Pct]]="",
    "",
    tblMergedCleaned[[#This Row],[Definitely_Recommend_Pct]]-TX_Median_Recommend
)</f>
        <v>-13</v>
      </c>
      <c r="AS246" s="2">
        <f>IF(
    tblMergedCleaned[[#This Row],[Readmission_Rate_Pct]]="",
    "",
    tblMergedCleaned[[#This Row],[Readmission_Rate_Pct]]-TX_Median_Readmission
)</f>
        <v>0.40000000000000036</v>
      </c>
    </row>
    <row r="247" spans="1:45">
      <c r="A247" t="s">
        <v>1436</v>
      </c>
      <c r="B247" t="s">
        <v>1437</v>
      </c>
      <c r="C247" t="s">
        <v>1438</v>
      </c>
      <c r="D247" t="s">
        <v>126</v>
      </c>
      <c r="E247" t="s">
        <v>18</v>
      </c>
      <c r="F247" t="s">
        <v>1439</v>
      </c>
      <c r="G247" t="s">
        <v>128</v>
      </c>
      <c r="H247" t="s">
        <v>1440</v>
      </c>
      <c r="I247" t="s">
        <v>21</v>
      </c>
      <c r="J247" t="s">
        <v>33</v>
      </c>
      <c r="K247" t="s">
        <v>23</v>
      </c>
      <c r="L247">
        <v>3</v>
      </c>
      <c r="M247" t="s">
        <v>42</v>
      </c>
      <c r="N247" t="s">
        <v>25</v>
      </c>
      <c r="O247" s="2">
        <v>76</v>
      </c>
      <c r="P247" s="2">
        <v>73</v>
      </c>
      <c r="Q247" s="2">
        <v>61</v>
      </c>
      <c r="R247" s="2">
        <v>84</v>
      </c>
      <c r="S247" s="2">
        <v>72</v>
      </c>
      <c r="T247" s="2">
        <v>70</v>
      </c>
      <c r="U247" t="s">
        <v>1862</v>
      </c>
      <c r="V247" s="2">
        <v>13</v>
      </c>
      <c r="W247" s="1">
        <v>45474</v>
      </c>
      <c r="X247" s="1">
        <v>45838</v>
      </c>
      <c r="Y247" s="2">
        <v>15.9</v>
      </c>
      <c r="Z247" t="s">
        <v>1884</v>
      </c>
      <c r="AA247">
        <v>613</v>
      </c>
      <c r="AB247" s="2">
        <v>14.4</v>
      </c>
      <c r="AC247" s="2">
        <v>17.399999999999999</v>
      </c>
      <c r="AD247" t="s">
        <v>25</v>
      </c>
      <c r="AE247" s="1">
        <v>45108</v>
      </c>
      <c r="AF247" s="1">
        <v>45473</v>
      </c>
      <c r="AG247" t="b">
        <v>1</v>
      </c>
      <c r="AH247" t="b">
        <v>1</v>
      </c>
      <c r="AI247" t="b">
        <v>1</v>
      </c>
      <c r="AJ247" t="str">
        <f>IF(tblMergedCleaned[[#This Row],[Overall_Rating]]=
    "",
    "Unavailable",
    IF(tblMergedCleaned[[#This Row],[Overall_Rating]]&lt;=
        2,
        "Low (1-2)",
        IF(tblMergedCleaned[[#This Row],[Overall_Rating]]=
            3,
            "Middle (3)",
            "High (4-5)"
        )
    )
)</f>
        <v>Middle (3)</v>
      </c>
      <c r="AK247" cm="1">
        <f t="array" ref="AK247">IF(
    tblMergedCleaned[[#This Row],[Overall_Rating]]="",
    "",
    --(tblMergedCleaned[[#This Row],[Overall_Rating]]&lt;=2)
)</f>
        <v>0</v>
      </c>
      <c r="AL247">
        <f>IF(
    tblMergedCleaned[[#This Row],[Definitely_Recommend_Pct]]="",
    "",
    --(tblMergedCleaned[[#This Row],[Definitely_Recommend_Pct]]&lt;TX_Median_Recommend)
)</f>
        <v>1</v>
      </c>
      <c r="AM247">
        <f>IF(
    tblMergedCleaned[[#This Row],[Readmission_Comparison]]="",
    "",
    --(tblMergedCleaned[[#This Row],[Readmission_Comparison]]="Worse")
)</f>
        <v>0</v>
      </c>
      <c r="AN247">
        <f>COUNT(
    tblMergedCleaned[[#This Row],[Low_Rating_Flag]:[Worse_Readmission_Flag]]
)</f>
        <v>3</v>
      </c>
      <c r="AO247">
        <f>SUM(
    tblMergedCleaned[[#This Row],[Low_Rating_Flag]:[Worse_Readmission_Flag]]
)</f>
        <v>1</v>
      </c>
      <c r="AP24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24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247" s="2">
        <f>IF(
    tblMergedCleaned[[#This Row],[Definitely_Recommend_Pct]]="",
    "",
    tblMergedCleaned[[#This Row],[Definitely_Recommend_Pct]]-TX_Median_Recommend
)</f>
        <v>-1</v>
      </c>
      <c r="AS247" s="2">
        <f>IF(
    tblMergedCleaned[[#This Row],[Readmission_Rate_Pct]]="",
    "",
    tblMergedCleaned[[#This Row],[Readmission_Rate_Pct]]-TX_Median_Readmission
)</f>
        <v>1</v>
      </c>
    </row>
    <row r="248" spans="1:45">
      <c r="A248" t="s">
        <v>1441</v>
      </c>
      <c r="B248" t="s">
        <v>1442</v>
      </c>
      <c r="C248" t="s">
        <v>1443</v>
      </c>
      <c r="D248" t="s">
        <v>1444</v>
      </c>
      <c r="E248" t="s">
        <v>18</v>
      </c>
      <c r="F248" t="s">
        <v>1445</v>
      </c>
      <c r="G248" t="s">
        <v>208</v>
      </c>
      <c r="H248" t="s">
        <v>1446</v>
      </c>
      <c r="I248" t="s">
        <v>21</v>
      </c>
      <c r="J248" t="s">
        <v>22</v>
      </c>
      <c r="K248" t="s">
        <v>23</v>
      </c>
      <c r="L248">
        <v>3</v>
      </c>
      <c r="M248" t="s">
        <v>42</v>
      </c>
      <c r="N248" t="s">
        <v>25</v>
      </c>
      <c r="O248" s="2">
        <v>73</v>
      </c>
      <c r="P248" s="2">
        <v>73</v>
      </c>
      <c r="Q248" s="2">
        <v>52</v>
      </c>
      <c r="R248" s="2">
        <v>81</v>
      </c>
      <c r="S248" s="2">
        <v>64</v>
      </c>
      <c r="T248" s="2">
        <v>60</v>
      </c>
      <c r="U248" t="s">
        <v>1863</v>
      </c>
      <c r="V248" s="2">
        <v>9</v>
      </c>
      <c r="W248" s="1">
        <v>45474</v>
      </c>
      <c r="X248" s="1">
        <v>45838</v>
      </c>
      <c r="Y248" s="2">
        <v>15.2</v>
      </c>
      <c r="Z248" t="s">
        <v>1884</v>
      </c>
      <c r="AA248">
        <v>335</v>
      </c>
      <c r="AB248" s="2">
        <v>13.6</v>
      </c>
      <c r="AC248" s="2">
        <v>16.8</v>
      </c>
      <c r="AD248" t="s">
        <v>25</v>
      </c>
      <c r="AE248" s="1">
        <v>45108</v>
      </c>
      <c r="AF248" s="1">
        <v>45473</v>
      </c>
      <c r="AG248" t="b">
        <v>1</v>
      </c>
      <c r="AH248" t="b">
        <v>1</v>
      </c>
      <c r="AI248" t="b">
        <v>1</v>
      </c>
      <c r="AJ248" t="str">
        <f>IF(tblMergedCleaned[[#This Row],[Overall_Rating]]=
    "",
    "Unavailable",
    IF(tblMergedCleaned[[#This Row],[Overall_Rating]]&lt;=
        2,
        "Low (1-2)",
        IF(tblMergedCleaned[[#This Row],[Overall_Rating]]=
            3,
            "Middle (3)",
            "High (4-5)"
        )
    )
)</f>
        <v>Middle (3)</v>
      </c>
      <c r="AK248" cm="1">
        <f t="array" ref="AK248">IF(
    tblMergedCleaned[[#This Row],[Overall_Rating]]="",
    "",
    --(tblMergedCleaned[[#This Row],[Overall_Rating]]&lt;=2)
)</f>
        <v>0</v>
      </c>
      <c r="AL248">
        <f>IF(
    tblMergedCleaned[[#This Row],[Definitely_Recommend_Pct]]="",
    "",
    --(tblMergedCleaned[[#This Row],[Definitely_Recommend_Pct]]&lt;TX_Median_Recommend)
)</f>
        <v>1</v>
      </c>
      <c r="AM248">
        <f>IF(
    tblMergedCleaned[[#This Row],[Readmission_Comparison]]="",
    "",
    --(tblMergedCleaned[[#This Row],[Readmission_Comparison]]="Worse")
)</f>
        <v>0</v>
      </c>
      <c r="AN248">
        <f>COUNT(
    tblMergedCleaned[[#This Row],[Low_Rating_Flag]:[Worse_Readmission_Flag]]
)</f>
        <v>3</v>
      </c>
      <c r="AO248">
        <f>SUM(
    tblMergedCleaned[[#This Row],[Low_Rating_Flag]:[Worse_Readmission_Flag]]
)</f>
        <v>1</v>
      </c>
      <c r="AP24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Monitor</v>
      </c>
      <c r="AQ24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48" s="2">
        <f>IF(
    tblMergedCleaned[[#This Row],[Definitely_Recommend_Pct]]="",
    "",
    tblMergedCleaned[[#This Row],[Definitely_Recommend_Pct]]-TX_Median_Recommend
)</f>
        <v>-11</v>
      </c>
      <c r="AS248" s="2">
        <f>IF(
    tblMergedCleaned[[#This Row],[Readmission_Rate_Pct]]="",
    "",
    tblMergedCleaned[[#This Row],[Readmission_Rate_Pct]]-TX_Median_Readmission
)</f>
        <v>0.29999999999999893</v>
      </c>
    </row>
    <row r="249" spans="1:45">
      <c r="A249" t="s">
        <v>1447</v>
      </c>
      <c r="B249" t="s">
        <v>1448</v>
      </c>
      <c r="C249" t="s">
        <v>1449</v>
      </c>
      <c r="D249" t="s">
        <v>1450</v>
      </c>
      <c r="E249" t="s">
        <v>18</v>
      </c>
      <c r="F249" t="s">
        <v>1451</v>
      </c>
      <c r="G249" t="s">
        <v>346</v>
      </c>
      <c r="H249" t="s">
        <v>1452</v>
      </c>
      <c r="I249" t="s">
        <v>21</v>
      </c>
      <c r="J249" t="s">
        <v>22</v>
      </c>
      <c r="K249" t="s">
        <v>23</v>
      </c>
      <c r="M249" t="s">
        <v>176</v>
      </c>
      <c r="N249" t="s">
        <v>177</v>
      </c>
      <c r="O249" s="2">
        <v>80</v>
      </c>
      <c r="P249" s="2">
        <v>72</v>
      </c>
      <c r="Q249" s="2">
        <v>66</v>
      </c>
      <c r="R249" s="2">
        <v>83</v>
      </c>
      <c r="S249" s="2">
        <v>69</v>
      </c>
      <c r="T249" s="2">
        <v>71</v>
      </c>
      <c r="U249" t="s">
        <v>1864</v>
      </c>
      <c r="V249" s="2">
        <v>15</v>
      </c>
      <c r="W249" s="1">
        <v>45474</v>
      </c>
      <c r="X249" s="1">
        <v>45838</v>
      </c>
      <c r="AD249" t="s">
        <v>322</v>
      </c>
      <c r="AE249" s="1">
        <v>45108</v>
      </c>
      <c r="AF249" s="1">
        <v>45473</v>
      </c>
      <c r="AG249" t="b">
        <v>0</v>
      </c>
      <c r="AH249" t="b">
        <v>1</v>
      </c>
      <c r="AI249" t="b">
        <v>0</v>
      </c>
      <c r="AJ249" t="str">
        <f>IF(tblMergedCleaned[[#This Row],[Overall_Rating]]=
    "",
    "Unavailable",
    IF(tblMergedCleaned[[#This Row],[Overall_Rating]]&lt;=
        2,
        "Low (1-2)",
        IF(tblMergedCleaned[[#This Row],[Overall_Rating]]=
            3,
            "Middle (3)",
            "High (4-5)"
        )
    )
)</f>
        <v>Unavailable</v>
      </c>
      <c r="AK249" t="str" cm="1">
        <f t="array" ref="AK249">IF(
    tblMergedCleaned[[#This Row],[Overall_Rating]]="",
    "",
    --(tblMergedCleaned[[#This Row],[Overall_Rating]]&lt;=2)
)</f>
        <v/>
      </c>
      <c r="AL249">
        <f>IF(
    tblMergedCleaned[[#This Row],[Definitely_Recommend_Pct]]="",
    "",
    --(tblMergedCleaned[[#This Row],[Definitely_Recommend_Pct]]&lt;TX_Median_Recommend)
)</f>
        <v>0</v>
      </c>
      <c r="AM249" t="str">
        <f>IF(
    tblMergedCleaned[[#This Row],[Readmission_Comparison]]="",
    "",
    --(tblMergedCleaned[[#This Row],[Readmission_Comparison]]="Worse")
)</f>
        <v/>
      </c>
      <c r="AN249">
        <f>COUNT(
    tblMergedCleaned[[#This Row],[Low_Rating_Flag]:[Worse_Readmission_Flag]]
)</f>
        <v>1</v>
      </c>
      <c r="AO249">
        <f>SUM(
    tblMergedCleaned[[#This Row],[Low_Rating_Flag]:[Worse_Readmission_Flag]]
)</f>
        <v>0</v>
      </c>
      <c r="AP24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4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249" s="2">
        <f>IF(
    tblMergedCleaned[[#This Row],[Definitely_Recommend_Pct]]="",
    "",
    tblMergedCleaned[[#This Row],[Definitely_Recommend_Pct]]-TX_Median_Recommend
)</f>
        <v>0</v>
      </c>
      <c r="AS249" s="2" t="str">
        <f>IF(
    tblMergedCleaned[[#This Row],[Readmission_Rate_Pct]]="",
    "",
    tblMergedCleaned[[#This Row],[Readmission_Rate_Pct]]-TX_Median_Readmission
)</f>
        <v/>
      </c>
    </row>
    <row r="250" spans="1:45">
      <c r="A250" t="s">
        <v>1453</v>
      </c>
      <c r="B250" t="s">
        <v>1454</v>
      </c>
      <c r="C250" t="s">
        <v>1455</v>
      </c>
      <c r="D250" t="s">
        <v>1456</v>
      </c>
      <c r="E250" t="s">
        <v>18</v>
      </c>
      <c r="F250" t="s">
        <v>1457</v>
      </c>
      <c r="G250" t="s">
        <v>1458</v>
      </c>
      <c r="H250" t="s">
        <v>1459</v>
      </c>
      <c r="I250" t="s">
        <v>21</v>
      </c>
      <c r="J250" t="s">
        <v>33</v>
      </c>
      <c r="K250" t="s">
        <v>23</v>
      </c>
      <c r="L250">
        <v>4</v>
      </c>
      <c r="M250" t="s">
        <v>34</v>
      </c>
      <c r="N250" t="s">
        <v>25</v>
      </c>
      <c r="O250" s="2">
        <v>83</v>
      </c>
      <c r="P250" s="2">
        <v>80</v>
      </c>
      <c r="Q250" s="2">
        <v>69</v>
      </c>
      <c r="R250" s="2">
        <v>91</v>
      </c>
      <c r="S250" s="2">
        <v>77</v>
      </c>
      <c r="T250" s="2">
        <v>79</v>
      </c>
      <c r="U250" t="s">
        <v>1865</v>
      </c>
      <c r="V250" s="2">
        <v>20</v>
      </c>
      <c r="W250" s="1">
        <v>45474</v>
      </c>
      <c r="X250" s="1">
        <v>45838</v>
      </c>
      <c r="Y250" s="2">
        <v>14.1</v>
      </c>
      <c r="Z250" t="s">
        <v>1884</v>
      </c>
      <c r="AA250">
        <v>629</v>
      </c>
      <c r="AB250" s="2">
        <v>12.9</v>
      </c>
      <c r="AC250" s="2">
        <v>15.8</v>
      </c>
      <c r="AD250" t="s">
        <v>25</v>
      </c>
      <c r="AE250" s="1">
        <v>45108</v>
      </c>
      <c r="AF250" s="1">
        <v>45473</v>
      </c>
      <c r="AG250" t="b">
        <v>1</v>
      </c>
      <c r="AH250" t="b">
        <v>1</v>
      </c>
      <c r="AI250" t="b">
        <v>1</v>
      </c>
      <c r="AJ250" t="str">
        <f>IF(tblMergedCleaned[[#This Row],[Overall_Rating]]=
    "",
    "Unavailable",
    IF(tblMergedCleaned[[#This Row],[Overall_Rating]]&lt;=
        2,
        "Low (1-2)",
        IF(tblMergedCleaned[[#This Row],[Overall_Rating]]=
            3,
            "Middle (3)",
            "High (4-5)"
        )
    )
)</f>
        <v>High (4-5)</v>
      </c>
      <c r="AK250" cm="1">
        <f t="array" ref="AK250">IF(
    tblMergedCleaned[[#This Row],[Overall_Rating]]="",
    "",
    --(tblMergedCleaned[[#This Row],[Overall_Rating]]&lt;=2)
)</f>
        <v>0</v>
      </c>
      <c r="AL250">
        <f>IF(
    tblMergedCleaned[[#This Row],[Definitely_Recommend_Pct]]="",
    "",
    --(tblMergedCleaned[[#This Row],[Definitely_Recommend_Pct]]&lt;TX_Median_Recommend)
)</f>
        <v>0</v>
      </c>
      <c r="AM250">
        <f>IF(
    tblMergedCleaned[[#This Row],[Readmission_Comparison]]="",
    "",
    --(tblMergedCleaned[[#This Row],[Readmission_Comparison]]="Worse")
)</f>
        <v>0</v>
      </c>
      <c r="AN250">
        <f>COUNT(
    tblMergedCleaned[[#This Row],[Low_Rating_Flag]:[Worse_Readmission_Flag]]
)</f>
        <v>3</v>
      </c>
      <c r="AO250">
        <f>SUM(
    tblMergedCleaned[[#This Row],[Low_Rating_Flag]:[Worse_Readmission_Flag]]
)</f>
        <v>0</v>
      </c>
      <c r="AP25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5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50" s="2">
        <f>IF(
    tblMergedCleaned[[#This Row],[Definitely_Recommend_Pct]]="",
    "",
    tblMergedCleaned[[#This Row],[Definitely_Recommend_Pct]]-TX_Median_Recommend
)</f>
        <v>8</v>
      </c>
      <c r="AS250" s="2">
        <f>IF(
    tblMergedCleaned[[#This Row],[Readmission_Rate_Pct]]="",
    "",
    tblMergedCleaned[[#This Row],[Readmission_Rate_Pct]]-TX_Median_Readmission
)</f>
        <v>-0.80000000000000071</v>
      </c>
    </row>
    <row r="251" spans="1:45">
      <c r="A251" t="s">
        <v>1460</v>
      </c>
      <c r="B251" t="s">
        <v>1461</v>
      </c>
      <c r="C251" t="s">
        <v>1462</v>
      </c>
      <c r="D251" t="s">
        <v>645</v>
      </c>
      <c r="E251" t="s">
        <v>18</v>
      </c>
      <c r="F251" t="s">
        <v>646</v>
      </c>
      <c r="G251" t="s">
        <v>121</v>
      </c>
      <c r="H251" t="s">
        <v>1463</v>
      </c>
      <c r="I251" t="s">
        <v>21</v>
      </c>
      <c r="J251" t="s">
        <v>22</v>
      </c>
      <c r="K251" t="s">
        <v>23</v>
      </c>
      <c r="M251" t="s">
        <v>176</v>
      </c>
      <c r="N251" t="s">
        <v>177</v>
      </c>
      <c r="U251" t="s">
        <v>176</v>
      </c>
      <c r="W251" s="1">
        <v>45474</v>
      </c>
      <c r="X251" s="1">
        <v>45838</v>
      </c>
      <c r="AD251" t="s">
        <v>322</v>
      </c>
      <c r="AE251" s="1">
        <v>45108</v>
      </c>
      <c r="AF251" s="1">
        <v>45473</v>
      </c>
      <c r="AG251" t="b">
        <v>0</v>
      </c>
      <c r="AH251" t="b">
        <v>0</v>
      </c>
      <c r="AI251" t="b">
        <v>0</v>
      </c>
      <c r="AJ251" t="str">
        <f>IF(tblMergedCleaned[[#This Row],[Overall_Rating]]=
    "",
    "Unavailable",
    IF(tblMergedCleaned[[#This Row],[Overall_Rating]]&lt;=
        2,
        "Low (1-2)",
        IF(tblMergedCleaned[[#This Row],[Overall_Rating]]=
            3,
            "Middle (3)",
            "High (4-5)"
        )
    )
)</f>
        <v>Unavailable</v>
      </c>
      <c r="AK251" t="str" cm="1">
        <f t="array" ref="AK251">IF(
    tblMergedCleaned[[#This Row],[Overall_Rating]]="",
    "",
    --(tblMergedCleaned[[#This Row],[Overall_Rating]]&lt;=2)
)</f>
        <v/>
      </c>
      <c r="AL251" t="str">
        <f>IF(
    tblMergedCleaned[[#This Row],[Definitely_Recommend_Pct]]="",
    "",
    --(tblMergedCleaned[[#This Row],[Definitely_Recommend_Pct]]&lt;TX_Median_Recommend)
)</f>
        <v/>
      </c>
      <c r="AM251" t="str">
        <f>IF(
    tblMergedCleaned[[#This Row],[Readmission_Comparison]]="",
    "",
    --(tblMergedCleaned[[#This Row],[Readmission_Comparison]]="Worse")
)</f>
        <v/>
      </c>
      <c r="AN251">
        <f>COUNT(
    tblMergedCleaned[[#This Row],[Low_Rating_Flag]:[Worse_Readmission_Flag]]
)</f>
        <v>0</v>
      </c>
      <c r="AO251">
        <f>SUM(
    tblMergedCleaned[[#This Row],[Low_Rating_Flag]:[Worse_Readmission_Flag]]
)</f>
        <v>0</v>
      </c>
      <c r="AP25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5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51" s="2" t="str">
        <f>IF(
    tblMergedCleaned[[#This Row],[Definitely_Recommend_Pct]]="",
    "",
    tblMergedCleaned[[#This Row],[Definitely_Recommend_Pct]]-TX_Median_Recommend
)</f>
        <v/>
      </c>
      <c r="AS251" s="2" t="str">
        <f>IF(
    tblMergedCleaned[[#This Row],[Readmission_Rate_Pct]]="",
    "",
    tblMergedCleaned[[#This Row],[Readmission_Rate_Pct]]-TX_Median_Readmission
)</f>
        <v/>
      </c>
    </row>
    <row r="252" spans="1:45">
      <c r="A252" t="s">
        <v>1464</v>
      </c>
      <c r="B252" t="s">
        <v>1465</v>
      </c>
      <c r="C252" t="s">
        <v>1466</v>
      </c>
      <c r="D252" t="s">
        <v>188</v>
      </c>
      <c r="E252" t="s">
        <v>18</v>
      </c>
      <c r="F252" t="s">
        <v>1467</v>
      </c>
      <c r="G252" t="s">
        <v>190</v>
      </c>
      <c r="H252" t="s">
        <v>1468</v>
      </c>
      <c r="I252" t="s">
        <v>21</v>
      </c>
      <c r="J252" t="s">
        <v>22</v>
      </c>
      <c r="K252" t="s">
        <v>302</v>
      </c>
      <c r="M252" t="s">
        <v>176</v>
      </c>
      <c r="N252" t="s">
        <v>177</v>
      </c>
      <c r="O252" s="2">
        <v>87</v>
      </c>
      <c r="P252" s="2">
        <v>81</v>
      </c>
      <c r="Q252" s="2">
        <v>78</v>
      </c>
      <c r="R252" s="2">
        <v>89</v>
      </c>
      <c r="S252" s="2">
        <v>85</v>
      </c>
      <c r="T252" s="2">
        <v>84</v>
      </c>
      <c r="U252" t="s">
        <v>1733</v>
      </c>
      <c r="V252" s="2">
        <v>28</v>
      </c>
      <c r="W252" s="1">
        <v>45474</v>
      </c>
      <c r="X252" s="1">
        <v>45838</v>
      </c>
      <c r="Y252" s="2">
        <v>14.4</v>
      </c>
      <c r="Z252" t="s">
        <v>1884</v>
      </c>
      <c r="AA252">
        <v>136</v>
      </c>
      <c r="AB252" s="2">
        <v>11.7</v>
      </c>
      <c r="AC252" s="2">
        <v>17.7</v>
      </c>
      <c r="AD252" t="s">
        <v>25</v>
      </c>
      <c r="AE252" s="1">
        <v>45108</v>
      </c>
      <c r="AF252" s="1">
        <v>45473</v>
      </c>
      <c r="AG252" t="b">
        <v>0</v>
      </c>
      <c r="AH252" t="b">
        <v>1</v>
      </c>
      <c r="AI252" t="b">
        <v>1</v>
      </c>
      <c r="AJ252" t="str">
        <f>IF(tblMergedCleaned[[#This Row],[Overall_Rating]]=
    "",
    "Unavailable",
    IF(tblMergedCleaned[[#This Row],[Overall_Rating]]&lt;=
        2,
        "Low (1-2)",
        IF(tblMergedCleaned[[#This Row],[Overall_Rating]]=
            3,
            "Middle (3)",
            "High (4-5)"
        )
    )
)</f>
        <v>Unavailable</v>
      </c>
      <c r="AK252" t="str" cm="1">
        <f t="array" ref="AK252">IF(
    tblMergedCleaned[[#This Row],[Overall_Rating]]="",
    "",
    --(tblMergedCleaned[[#This Row],[Overall_Rating]]&lt;=2)
)</f>
        <v/>
      </c>
      <c r="AL252">
        <f>IF(
    tblMergedCleaned[[#This Row],[Definitely_Recommend_Pct]]="",
    "",
    --(tblMergedCleaned[[#This Row],[Definitely_Recommend_Pct]]&lt;TX_Median_Recommend)
)</f>
        <v>0</v>
      </c>
      <c r="AM252">
        <f>IF(
    tblMergedCleaned[[#This Row],[Readmission_Comparison]]="",
    "",
    --(tblMergedCleaned[[#This Row],[Readmission_Comparison]]="Worse")
)</f>
        <v>0</v>
      </c>
      <c r="AN252">
        <f>COUNT(
    tblMergedCleaned[[#This Row],[Low_Rating_Flag]:[Worse_Readmission_Flag]]
)</f>
        <v>2</v>
      </c>
      <c r="AO252">
        <f>SUM(
    tblMergedCleaned[[#This Row],[Low_Rating_Flag]:[Worse_Readmission_Flag]]
)</f>
        <v>0</v>
      </c>
      <c r="AP25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5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52" s="2">
        <f>IF(
    tblMergedCleaned[[#This Row],[Definitely_Recommend_Pct]]="",
    "",
    tblMergedCleaned[[#This Row],[Definitely_Recommend_Pct]]-TX_Median_Recommend
)</f>
        <v>13</v>
      </c>
      <c r="AS252" s="2">
        <f>IF(
    tblMergedCleaned[[#This Row],[Readmission_Rate_Pct]]="",
    "",
    tblMergedCleaned[[#This Row],[Readmission_Rate_Pct]]-TX_Median_Readmission
)</f>
        <v>-0.5</v>
      </c>
    </row>
    <row r="253" spans="1:45">
      <c r="A253" t="s">
        <v>1469</v>
      </c>
      <c r="B253" t="s">
        <v>1470</v>
      </c>
      <c r="C253" t="s">
        <v>1471</v>
      </c>
      <c r="D253" t="s">
        <v>933</v>
      </c>
      <c r="E253" t="s">
        <v>18</v>
      </c>
      <c r="F253" t="s">
        <v>934</v>
      </c>
      <c r="G253" t="s">
        <v>121</v>
      </c>
      <c r="H253" t="s">
        <v>1472</v>
      </c>
      <c r="I253" t="s">
        <v>21</v>
      </c>
      <c r="J253" t="s">
        <v>22</v>
      </c>
      <c r="K253" t="s">
        <v>23</v>
      </c>
      <c r="M253" t="s">
        <v>176</v>
      </c>
      <c r="N253" t="s">
        <v>177</v>
      </c>
      <c r="U253" t="s">
        <v>176</v>
      </c>
      <c r="W253" s="1">
        <v>45474</v>
      </c>
      <c r="X253" s="1">
        <v>45838</v>
      </c>
      <c r="AD253" t="s">
        <v>168</v>
      </c>
      <c r="AE253" s="1">
        <v>45108</v>
      </c>
      <c r="AF253" s="1">
        <v>45473</v>
      </c>
      <c r="AG253" t="b">
        <v>0</v>
      </c>
      <c r="AH253" t="b">
        <v>0</v>
      </c>
      <c r="AI253" t="b">
        <v>0</v>
      </c>
      <c r="AJ253" t="str">
        <f>IF(tblMergedCleaned[[#This Row],[Overall_Rating]]=
    "",
    "Unavailable",
    IF(tblMergedCleaned[[#This Row],[Overall_Rating]]&lt;=
        2,
        "Low (1-2)",
        IF(tblMergedCleaned[[#This Row],[Overall_Rating]]=
            3,
            "Middle (3)",
            "High (4-5)"
        )
    )
)</f>
        <v>Unavailable</v>
      </c>
      <c r="AK253" t="str" cm="1">
        <f t="array" ref="AK253">IF(
    tblMergedCleaned[[#This Row],[Overall_Rating]]="",
    "",
    --(tblMergedCleaned[[#This Row],[Overall_Rating]]&lt;=2)
)</f>
        <v/>
      </c>
      <c r="AL253" t="str">
        <f>IF(
    tblMergedCleaned[[#This Row],[Definitely_Recommend_Pct]]="",
    "",
    --(tblMergedCleaned[[#This Row],[Definitely_Recommend_Pct]]&lt;TX_Median_Recommend)
)</f>
        <v/>
      </c>
      <c r="AM253" t="str">
        <f>IF(
    tblMergedCleaned[[#This Row],[Readmission_Comparison]]="",
    "",
    --(tblMergedCleaned[[#This Row],[Readmission_Comparison]]="Worse")
)</f>
        <v/>
      </c>
      <c r="AN253">
        <f>COUNT(
    tblMergedCleaned[[#This Row],[Low_Rating_Flag]:[Worse_Readmission_Flag]]
)</f>
        <v>0</v>
      </c>
      <c r="AO253">
        <f>SUM(
    tblMergedCleaned[[#This Row],[Low_Rating_Flag]:[Worse_Readmission_Flag]]
)</f>
        <v>0</v>
      </c>
      <c r="AP25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5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53" s="2" t="str">
        <f>IF(
    tblMergedCleaned[[#This Row],[Definitely_Recommend_Pct]]="",
    "",
    tblMergedCleaned[[#This Row],[Definitely_Recommend_Pct]]-TX_Median_Recommend
)</f>
        <v/>
      </c>
      <c r="AS253" s="2" t="str">
        <f>IF(
    tblMergedCleaned[[#This Row],[Readmission_Rate_Pct]]="",
    "",
    tblMergedCleaned[[#This Row],[Readmission_Rate_Pct]]-TX_Median_Readmission
)</f>
        <v/>
      </c>
    </row>
    <row r="254" spans="1:45">
      <c r="A254" t="s">
        <v>1473</v>
      </c>
      <c r="B254" t="s">
        <v>1474</v>
      </c>
      <c r="C254" t="s">
        <v>1475</v>
      </c>
      <c r="D254" t="s">
        <v>17</v>
      </c>
      <c r="E254" t="s">
        <v>18</v>
      </c>
      <c r="F254" t="s">
        <v>1476</v>
      </c>
      <c r="G254" t="s">
        <v>17</v>
      </c>
      <c r="H254" t="s">
        <v>1477</v>
      </c>
      <c r="I254" t="s">
        <v>21</v>
      </c>
      <c r="J254" t="s">
        <v>22</v>
      </c>
      <c r="K254" t="s">
        <v>23</v>
      </c>
      <c r="L254">
        <v>2</v>
      </c>
      <c r="M254" t="s">
        <v>24</v>
      </c>
      <c r="N254" t="s">
        <v>25</v>
      </c>
      <c r="O254" s="2">
        <v>74</v>
      </c>
      <c r="P254" s="2">
        <v>74</v>
      </c>
      <c r="Q254" s="2">
        <v>55</v>
      </c>
      <c r="R254" s="2">
        <v>80</v>
      </c>
      <c r="S254" s="2">
        <v>67</v>
      </c>
      <c r="T254" s="2">
        <v>64</v>
      </c>
      <c r="U254" t="s">
        <v>1866</v>
      </c>
      <c r="V254" s="2">
        <v>14</v>
      </c>
      <c r="W254" s="1">
        <v>45474</v>
      </c>
      <c r="X254" s="1">
        <v>45838</v>
      </c>
      <c r="Y254" s="2">
        <v>15.3</v>
      </c>
      <c r="Z254" t="s">
        <v>1884</v>
      </c>
      <c r="AA254">
        <v>683</v>
      </c>
      <c r="AB254" s="2">
        <v>13.9</v>
      </c>
      <c r="AC254" s="2">
        <v>16.899999999999999</v>
      </c>
      <c r="AD254" t="s">
        <v>25</v>
      </c>
      <c r="AE254" s="1">
        <v>45108</v>
      </c>
      <c r="AF254" s="1">
        <v>45473</v>
      </c>
      <c r="AG254" t="b">
        <v>1</v>
      </c>
      <c r="AH254" t="b">
        <v>1</v>
      </c>
      <c r="AI254" t="b">
        <v>1</v>
      </c>
      <c r="AJ254" t="str">
        <f>IF(tblMergedCleaned[[#This Row],[Overall_Rating]]=
    "",
    "Unavailable",
    IF(tblMergedCleaned[[#This Row],[Overall_Rating]]&lt;=
        2,
        "Low (1-2)",
        IF(tblMergedCleaned[[#This Row],[Overall_Rating]]=
            3,
            "Middle (3)",
            "High (4-5)"
        )
    )
)</f>
        <v>Low (1-2)</v>
      </c>
      <c r="AK254" cm="1">
        <f t="array" ref="AK254">IF(
    tblMergedCleaned[[#This Row],[Overall_Rating]]="",
    "",
    --(tblMergedCleaned[[#This Row],[Overall_Rating]]&lt;=2)
)</f>
        <v>1</v>
      </c>
      <c r="AL254">
        <f>IF(
    tblMergedCleaned[[#This Row],[Definitely_Recommend_Pct]]="",
    "",
    --(tblMergedCleaned[[#This Row],[Definitely_Recommend_Pct]]&lt;TX_Median_Recommend)
)</f>
        <v>1</v>
      </c>
      <c r="AM254">
        <f>IF(
    tblMergedCleaned[[#This Row],[Readmission_Comparison]]="",
    "",
    --(tblMergedCleaned[[#This Row],[Readmission_Comparison]]="Worse")
)</f>
        <v>0</v>
      </c>
      <c r="AN254">
        <f>COUNT(
    tblMergedCleaned[[#This Row],[Low_Rating_Flag]:[Worse_Readmission_Flag]]
)</f>
        <v>3</v>
      </c>
      <c r="AO254">
        <f>SUM(
    tblMergedCleaned[[#This Row],[Low_Rating_Flag]:[Worse_Readmission_Flag]]
)</f>
        <v>2</v>
      </c>
      <c r="AP25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Priority 2</v>
      </c>
      <c r="AQ25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54" s="2">
        <f>IF(
    tblMergedCleaned[[#This Row],[Definitely_Recommend_Pct]]="",
    "",
    tblMergedCleaned[[#This Row],[Definitely_Recommend_Pct]]-TX_Median_Recommend
)</f>
        <v>-7</v>
      </c>
      <c r="AS254" s="2">
        <f>IF(
    tblMergedCleaned[[#This Row],[Readmission_Rate_Pct]]="",
    "",
    tblMergedCleaned[[#This Row],[Readmission_Rate_Pct]]-TX_Median_Readmission
)</f>
        <v>0.40000000000000036</v>
      </c>
    </row>
    <row r="255" spans="1:45">
      <c r="A255" t="s">
        <v>1478</v>
      </c>
      <c r="B255" t="s">
        <v>1479</v>
      </c>
      <c r="C255" t="s">
        <v>1480</v>
      </c>
      <c r="D255" t="s">
        <v>1481</v>
      </c>
      <c r="E255" t="s">
        <v>18</v>
      </c>
      <c r="F255" t="s">
        <v>1482</v>
      </c>
      <c r="G255" t="s">
        <v>128</v>
      </c>
      <c r="H255" t="s">
        <v>1483</v>
      </c>
      <c r="I255" t="s">
        <v>21</v>
      </c>
      <c r="J255" t="s">
        <v>22</v>
      </c>
      <c r="K255" t="s">
        <v>23</v>
      </c>
      <c r="M255" t="s">
        <v>176</v>
      </c>
      <c r="N255" t="s">
        <v>177</v>
      </c>
      <c r="U255" t="s">
        <v>176</v>
      </c>
      <c r="W255" s="1">
        <v>45474</v>
      </c>
      <c r="X255" s="1">
        <v>45838</v>
      </c>
      <c r="AD255" t="s">
        <v>168</v>
      </c>
      <c r="AE255" s="1">
        <v>45108</v>
      </c>
      <c r="AF255" s="1">
        <v>45473</v>
      </c>
      <c r="AG255" t="b">
        <v>0</v>
      </c>
      <c r="AH255" t="b">
        <v>0</v>
      </c>
      <c r="AI255" t="b">
        <v>0</v>
      </c>
      <c r="AJ255" t="str">
        <f>IF(tblMergedCleaned[[#This Row],[Overall_Rating]]=
    "",
    "Unavailable",
    IF(tblMergedCleaned[[#This Row],[Overall_Rating]]&lt;=
        2,
        "Low (1-2)",
        IF(tblMergedCleaned[[#This Row],[Overall_Rating]]=
            3,
            "Middle (3)",
            "High (4-5)"
        )
    )
)</f>
        <v>Unavailable</v>
      </c>
      <c r="AK255" t="str" cm="1">
        <f t="array" ref="AK255">IF(
    tblMergedCleaned[[#This Row],[Overall_Rating]]="",
    "",
    --(tblMergedCleaned[[#This Row],[Overall_Rating]]&lt;=2)
)</f>
        <v/>
      </c>
      <c r="AL255" t="str">
        <f>IF(
    tblMergedCleaned[[#This Row],[Definitely_Recommend_Pct]]="",
    "",
    --(tblMergedCleaned[[#This Row],[Definitely_Recommend_Pct]]&lt;TX_Median_Recommend)
)</f>
        <v/>
      </c>
      <c r="AM255" t="str">
        <f>IF(
    tblMergedCleaned[[#This Row],[Readmission_Comparison]]="",
    "",
    --(tblMergedCleaned[[#This Row],[Readmission_Comparison]]="Worse")
)</f>
        <v/>
      </c>
      <c r="AN255">
        <f>COUNT(
    tblMergedCleaned[[#This Row],[Low_Rating_Flag]:[Worse_Readmission_Flag]]
)</f>
        <v>0</v>
      </c>
      <c r="AO255">
        <f>SUM(
    tblMergedCleaned[[#This Row],[Low_Rating_Flag]:[Worse_Readmission_Flag]]
)</f>
        <v>0</v>
      </c>
      <c r="AP25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5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55" s="2" t="str">
        <f>IF(
    tblMergedCleaned[[#This Row],[Definitely_Recommend_Pct]]="",
    "",
    tblMergedCleaned[[#This Row],[Definitely_Recommend_Pct]]-TX_Median_Recommend
)</f>
        <v/>
      </c>
      <c r="AS255" s="2" t="str">
        <f>IF(
    tblMergedCleaned[[#This Row],[Readmission_Rate_Pct]]="",
    "",
    tblMergedCleaned[[#This Row],[Readmission_Rate_Pct]]-TX_Median_Readmission
)</f>
        <v/>
      </c>
    </row>
    <row r="256" spans="1:45">
      <c r="A256" t="s">
        <v>1484</v>
      </c>
      <c r="B256" t="s">
        <v>1485</v>
      </c>
      <c r="C256" t="s">
        <v>1486</v>
      </c>
      <c r="D256" t="s">
        <v>1164</v>
      </c>
      <c r="E256" t="s">
        <v>18</v>
      </c>
      <c r="F256" t="s">
        <v>1487</v>
      </c>
      <c r="G256" t="s">
        <v>462</v>
      </c>
      <c r="H256" t="s">
        <v>1488</v>
      </c>
      <c r="I256" t="s">
        <v>21</v>
      </c>
      <c r="J256" t="s">
        <v>33</v>
      </c>
      <c r="K256" t="s">
        <v>23</v>
      </c>
      <c r="L256">
        <v>5</v>
      </c>
      <c r="M256" t="s">
        <v>168</v>
      </c>
      <c r="N256" t="s">
        <v>25</v>
      </c>
      <c r="O256" s="2">
        <v>80</v>
      </c>
      <c r="P256" s="2">
        <v>77</v>
      </c>
      <c r="Q256" s="2">
        <v>62</v>
      </c>
      <c r="R256" s="2">
        <v>89</v>
      </c>
      <c r="S256" s="2">
        <v>83</v>
      </c>
      <c r="T256" s="2">
        <v>84</v>
      </c>
      <c r="U256" t="s">
        <v>1867</v>
      </c>
      <c r="V256" s="2">
        <v>20</v>
      </c>
      <c r="W256" s="1">
        <v>45474</v>
      </c>
      <c r="X256" s="1">
        <v>45838</v>
      </c>
      <c r="Y256" s="2">
        <v>13.6</v>
      </c>
      <c r="Z256" t="s">
        <v>1885</v>
      </c>
      <c r="AA256">
        <v>3807</v>
      </c>
      <c r="AB256" s="2">
        <v>12.8</v>
      </c>
      <c r="AC256" s="2">
        <v>14.4</v>
      </c>
      <c r="AD256" t="s">
        <v>25</v>
      </c>
      <c r="AE256" s="1">
        <v>45108</v>
      </c>
      <c r="AF256" s="1">
        <v>45473</v>
      </c>
      <c r="AG256" t="b">
        <v>1</v>
      </c>
      <c r="AH256" t="b">
        <v>1</v>
      </c>
      <c r="AI256" t="b">
        <v>1</v>
      </c>
      <c r="AJ256" t="str">
        <f>IF(tblMergedCleaned[[#This Row],[Overall_Rating]]=
    "",
    "Unavailable",
    IF(tblMergedCleaned[[#This Row],[Overall_Rating]]&lt;=
        2,
        "Low (1-2)",
        IF(tblMergedCleaned[[#This Row],[Overall_Rating]]=
            3,
            "Middle (3)",
            "High (4-5)"
        )
    )
)</f>
        <v>High (4-5)</v>
      </c>
      <c r="AK256" cm="1">
        <f t="array" ref="AK256">IF(
    tblMergedCleaned[[#This Row],[Overall_Rating]]="",
    "",
    --(tblMergedCleaned[[#This Row],[Overall_Rating]]&lt;=2)
)</f>
        <v>0</v>
      </c>
      <c r="AL256">
        <f>IF(
    tblMergedCleaned[[#This Row],[Definitely_Recommend_Pct]]="",
    "",
    --(tblMergedCleaned[[#This Row],[Definitely_Recommend_Pct]]&lt;TX_Median_Recommend)
)</f>
        <v>0</v>
      </c>
      <c r="AM256">
        <f>IF(
    tblMergedCleaned[[#This Row],[Readmission_Comparison]]="",
    "",
    --(tblMergedCleaned[[#This Row],[Readmission_Comparison]]="Worse")
)</f>
        <v>0</v>
      </c>
      <c r="AN256">
        <f>COUNT(
    tblMergedCleaned[[#This Row],[Low_Rating_Flag]:[Worse_Readmission_Flag]]
)</f>
        <v>3</v>
      </c>
      <c r="AO256">
        <f>SUM(
    tblMergedCleaned[[#This Row],[Low_Rating_Flag]:[Worse_Readmission_Flag]]
)</f>
        <v>0</v>
      </c>
      <c r="AP25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5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56" s="2">
        <f>IF(
    tblMergedCleaned[[#This Row],[Definitely_Recommend_Pct]]="",
    "",
    tblMergedCleaned[[#This Row],[Definitely_Recommend_Pct]]-TX_Median_Recommend
)</f>
        <v>13</v>
      </c>
      <c r="AS256" s="2">
        <f>IF(
    tblMergedCleaned[[#This Row],[Readmission_Rate_Pct]]="",
    "",
    tblMergedCleaned[[#This Row],[Readmission_Rate_Pct]]-TX_Median_Readmission
)</f>
        <v>-1.3000000000000007</v>
      </c>
    </row>
    <row r="257" spans="1:45">
      <c r="A257" t="s">
        <v>1489</v>
      </c>
      <c r="B257" t="s">
        <v>1490</v>
      </c>
      <c r="C257" t="s">
        <v>1491</v>
      </c>
      <c r="D257" t="s">
        <v>1492</v>
      </c>
      <c r="E257" t="s">
        <v>18</v>
      </c>
      <c r="F257" t="s">
        <v>1493</v>
      </c>
      <c r="G257" t="s">
        <v>17</v>
      </c>
      <c r="H257" t="s">
        <v>1494</v>
      </c>
      <c r="I257" t="s">
        <v>21</v>
      </c>
      <c r="J257" t="s">
        <v>22</v>
      </c>
      <c r="K257" t="s">
        <v>23</v>
      </c>
      <c r="M257" t="s">
        <v>176</v>
      </c>
      <c r="N257" t="s">
        <v>177</v>
      </c>
      <c r="O257" s="2">
        <v>88</v>
      </c>
      <c r="P257" s="2">
        <v>84</v>
      </c>
      <c r="Q257" s="2">
        <v>75</v>
      </c>
      <c r="R257" s="2">
        <v>89</v>
      </c>
      <c r="S257" s="2">
        <v>77</v>
      </c>
      <c r="T257" s="2">
        <v>85</v>
      </c>
      <c r="U257" t="s">
        <v>1868</v>
      </c>
      <c r="V257" s="2">
        <v>18</v>
      </c>
      <c r="W257" s="1">
        <v>45474</v>
      </c>
      <c r="X257" s="1">
        <v>45838</v>
      </c>
      <c r="Y257" s="2">
        <v>14.8</v>
      </c>
      <c r="Z257" t="s">
        <v>1884</v>
      </c>
      <c r="AA257">
        <v>40</v>
      </c>
      <c r="AB257" s="2">
        <v>12.8</v>
      </c>
      <c r="AC257" s="2">
        <v>17.3</v>
      </c>
      <c r="AD257" t="s">
        <v>25</v>
      </c>
      <c r="AE257" s="1">
        <v>45108</v>
      </c>
      <c r="AF257" s="1">
        <v>45473</v>
      </c>
      <c r="AG257" t="b">
        <v>0</v>
      </c>
      <c r="AH257" t="b">
        <v>1</v>
      </c>
      <c r="AI257" t="b">
        <v>1</v>
      </c>
      <c r="AJ257" t="str">
        <f>IF(tblMergedCleaned[[#This Row],[Overall_Rating]]=
    "",
    "Unavailable",
    IF(tblMergedCleaned[[#This Row],[Overall_Rating]]&lt;=
        2,
        "Low (1-2)",
        IF(tblMergedCleaned[[#This Row],[Overall_Rating]]=
            3,
            "Middle (3)",
            "High (4-5)"
        )
    )
)</f>
        <v>Unavailable</v>
      </c>
      <c r="AK257" t="str" cm="1">
        <f t="array" ref="AK257">IF(
    tblMergedCleaned[[#This Row],[Overall_Rating]]="",
    "",
    --(tblMergedCleaned[[#This Row],[Overall_Rating]]&lt;=2)
)</f>
        <v/>
      </c>
      <c r="AL257">
        <f>IF(
    tblMergedCleaned[[#This Row],[Definitely_Recommend_Pct]]="",
    "",
    --(tblMergedCleaned[[#This Row],[Definitely_Recommend_Pct]]&lt;TX_Median_Recommend)
)</f>
        <v>0</v>
      </c>
      <c r="AM257">
        <f>IF(
    tblMergedCleaned[[#This Row],[Readmission_Comparison]]="",
    "",
    --(tblMergedCleaned[[#This Row],[Readmission_Comparison]]="Worse")
)</f>
        <v>0</v>
      </c>
      <c r="AN257">
        <f>COUNT(
    tblMergedCleaned[[#This Row],[Low_Rating_Flag]:[Worse_Readmission_Flag]]
)</f>
        <v>2</v>
      </c>
      <c r="AO257">
        <f>SUM(
    tblMergedCleaned[[#This Row],[Low_Rating_Flag]:[Worse_Readmission_Flag]]
)</f>
        <v>0</v>
      </c>
      <c r="AP25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5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57" s="2">
        <f>IF(
    tblMergedCleaned[[#This Row],[Definitely_Recommend_Pct]]="",
    "",
    tblMergedCleaned[[#This Row],[Definitely_Recommend_Pct]]-TX_Median_Recommend
)</f>
        <v>14</v>
      </c>
      <c r="AS257" s="2">
        <f>IF(
    tblMergedCleaned[[#This Row],[Readmission_Rate_Pct]]="",
    "",
    tblMergedCleaned[[#This Row],[Readmission_Rate_Pct]]-TX_Median_Readmission
)</f>
        <v>-9.9999999999999645E-2</v>
      </c>
    </row>
    <row r="258" spans="1:45">
      <c r="A258" t="s">
        <v>1495</v>
      </c>
      <c r="B258" t="s">
        <v>1496</v>
      </c>
      <c r="C258" t="s">
        <v>1497</v>
      </c>
      <c r="D258" t="s">
        <v>188</v>
      </c>
      <c r="E258" t="s">
        <v>18</v>
      </c>
      <c r="F258" t="s">
        <v>1498</v>
      </c>
      <c r="G258" t="s">
        <v>190</v>
      </c>
      <c r="H258" t="s">
        <v>1499</v>
      </c>
      <c r="I258" t="s">
        <v>21</v>
      </c>
      <c r="J258" t="s">
        <v>63</v>
      </c>
      <c r="K258" t="s">
        <v>302</v>
      </c>
      <c r="M258" t="s">
        <v>176</v>
      </c>
      <c r="N258" t="s">
        <v>1500</v>
      </c>
      <c r="U258" t="s">
        <v>176</v>
      </c>
      <c r="W258" s="1">
        <v>45474</v>
      </c>
      <c r="X258" s="1">
        <v>45838</v>
      </c>
      <c r="AD258" t="s">
        <v>1500</v>
      </c>
      <c r="AE258" s="1">
        <v>45108</v>
      </c>
      <c r="AF258" s="1">
        <v>45473</v>
      </c>
      <c r="AG258" t="b">
        <v>0</v>
      </c>
      <c r="AH258" t="b">
        <v>0</v>
      </c>
      <c r="AI258" t="b">
        <v>0</v>
      </c>
      <c r="AJ258" t="str">
        <f>IF(tblMergedCleaned[[#This Row],[Overall_Rating]]=
    "",
    "Unavailable",
    IF(tblMergedCleaned[[#This Row],[Overall_Rating]]&lt;=
        2,
        "Low (1-2)",
        IF(tblMergedCleaned[[#This Row],[Overall_Rating]]=
            3,
            "Middle (3)",
            "High (4-5)"
        )
    )
)</f>
        <v>Unavailable</v>
      </c>
      <c r="AK258" t="str" cm="1">
        <f t="array" ref="AK258">IF(
    tblMergedCleaned[[#This Row],[Overall_Rating]]="",
    "",
    --(tblMergedCleaned[[#This Row],[Overall_Rating]]&lt;=2)
)</f>
        <v/>
      </c>
      <c r="AL258" t="str">
        <f>IF(
    tblMergedCleaned[[#This Row],[Definitely_Recommend_Pct]]="",
    "",
    --(tblMergedCleaned[[#This Row],[Definitely_Recommend_Pct]]&lt;TX_Median_Recommend)
)</f>
        <v/>
      </c>
      <c r="AM258" t="str">
        <f>IF(
    tblMergedCleaned[[#This Row],[Readmission_Comparison]]="",
    "",
    --(tblMergedCleaned[[#This Row],[Readmission_Comparison]]="Worse")
)</f>
        <v/>
      </c>
      <c r="AN258">
        <f>COUNT(
    tblMergedCleaned[[#This Row],[Low_Rating_Flag]:[Worse_Readmission_Flag]]
)</f>
        <v>0</v>
      </c>
      <c r="AO258">
        <f>SUM(
    tblMergedCleaned[[#This Row],[Low_Rating_Flag]:[Worse_Readmission_Flag]]
)</f>
        <v>0</v>
      </c>
      <c r="AP25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5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58" s="2" t="str">
        <f>IF(
    tblMergedCleaned[[#This Row],[Definitely_Recommend_Pct]]="",
    "",
    tblMergedCleaned[[#This Row],[Definitely_Recommend_Pct]]-TX_Median_Recommend
)</f>
        <v/>
      </c>
      <c r="AS258" s="2" t="str">
        <f>IF(
    tblMergedCleaned[[#This Row],[Readmission_Rate_Pct]]="",
    "",
    tblMergedCleaned[[#This Row],[Readmission_Rate_Pct]]-TX_Median_Readmission
)</f>
        <v/>
      </c>
    </row>
    <row r="259" spans="1:45">
      <c r="A259" t="s">
        <v>1501</v>
      </c>
      <c r="B259" t="s">
        <v>1502</v>
      </c>
      <c r="C259" t="s">
        <v>1503</v>
      </c>
      <c r="D259" t="s">
        <v>1504</v>
      </c>
      <c r="E259" t="s">
        <v>18</v>
      </c>
      <c r="F259" t="s">
        <v>1505</v>
      </c>
      <c r="G259" t="s">
        <v>183</v>
      </c>
      <c r="H259" t="s">
        <v>1506</v>
      </c>
      <c r="I259" t="s">
        <v>21</v>
      </c>
      <c r="J259" t="s">
        <v>33</v>
      </c>
      <c r="K259" t="s">
        <v>23</v>
      </c>
      <c r="L259">
        <v>4</v>
      </c>
      <c r="M259" t="s">
        <v>34</v>
      </c>
      <c r="N259" t="s">
        <v>25</v>
      </c>
      <c r="O259" s="2">
        <v>85</v>
      </c>
      <c r="P259" s="2">
        <v>81</v>
      </c>
      <c r="Q259" s="2">
        <v>64</v>
      </c>
      <c r="R259" s="2">
        <v>91</v>
      </c>
      <c r="S259" s="2">
        <v>79</v>
      </c>
      <c r="T259" s="2">
        <v>77</v>
      </c>
      <c r="U259" t="s">
        <v>1683</v>
      </c>
      <c r="V259" s="2">
        <v>14</v>
      </c>
      <c r="W259" s="1">
        <v>45474</v>
      </c>
      <c r="X259" s="1">
        <v>45838</v>
      </c>
      <c r="Y259" s="2">
        <v>14.8</v>
      </c>
      <c r="Z259" t="s">
        <v>1884</v>
      </c>
      <c r="AA259">
        <v>206</v>
      </c>
      <c r="AB259" s="2">
        <v>13.3</v>
      </c>
      <c r="AC259" s="2">
        <v>16.8</v>
      </c>
      <c r="AD259" t="s">
        <v>25</v>
      </c>
      <c r="AE259" s="1">
        <v>45108</v>
      </c>
      <c r="AF259" s="1">
        <v>45473</v>
      </c>
      <c r="AG259" t="b">
        <v>1</v>
      </c>
      <c r="AH259" t="b">
        <v>1</v>
      </c>
      <c r="AI259" t="b">
        <v>1</v>
      </c>
      <c r="AJ259" t="str">
        <f>IF(tblMergedCleaned[[#This Row],[Overall_Rating]]=
    "",
    "Unavailable",
    IF(tblMergedCleaned[[#This Row],[Overall_Rating]]&lt;=
        2,
        "Low (1-2)",
        IF(tblMergedCleaned[[#This Row],[Overall_Rating]]=
            3,
            "Middle (3)",
            "High (4-5)"
        )
    )
)</f>
        <v>High (4-5)</v>
      </c>
      <c r="AK259" cm="1">
        <f t="array" ref="AK259">IF(
    tblMergedCleaned[[#This Row],[Overall_Rating]]="",
    "",
    --(tblMergedCleaned[[#This Row],[Overall_Rating]]&lt;=2)
)</f>
        <v>0</v>
      </c>
      <c r="AL259">
        <f>IF(
    tblMergedCleaned[[#This Row],[Definitely_Recommend_Pct]]="",
    "",
    --(tblMergedCleaned[[#This Row],[Definitely_Recommend_Pct]]&lt;TX_Median_Recommend)
)</f>
        <v>0</v>
      </c>
      <c r="AM259">
        <f>IF(
    tblMergedCleaned[[#This Row],[Readmission_Comparison]]="",
    "",
    --(tblMergedCleaned[[#This Row],[Readmission_Comparison]]="Worse")
)</f>
        <v>0</v>
      </c>
      <c r="AN259">
        <f>COUNT(
    tblMergedCleaned[[#This Row],[Low_Rating_Flag]:[Worse_Readmission_Flag]]
)</f>
        <v>3</v>
      </c>
      <c r="AO259">
        <f>SUM(
    tblMergedCleaned[[#This Row],[Low_Rating_Flag]:[Worse_Readmission_Flag]]
)</f>
        <v>0</v>
      </c>
      <c r="AP25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5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59" s="2">
        <f>IF(
    tblMergedCleaned[[#This Row],[Definitely_Recommend_Pct]]="",
    "",
    tblMergedCleaned[[#This Row],[Definitely_Recommend_Pct]]-TX_Median_Recommend
)</f>
        <v>6</v>
      </c>
      <c r="AS259" s="2">
        <f>IF(
    tblMergedCleaned[[#This Row],[Readmission_Rate_Pct]]="",
    "",
    tblMergedCleaned[[#This Row],[Readmission_Rate_Pct]]-TX_Median_Readmission
)</f>
        <v>-9.9999999999999645E-2</v>
      </c>
    </row>
    <row r="260" spans="1:45">
      <c r="A260" t="s">
        <v>1507</v>
      </c>
      <c r="B260" t="s">
        <v>1508</v>
      </c>
      <c r="C260" t="s">
        <v>1509</v>
      </c>
      <c r="D260" t="s">
        <v>1510</v>
      </c>
      <c r="E260" t="s">
        <v>18</v>
      </c>
      <c r="F260" t="s">
        <v>1511</v>
      </c>
      <c r="G260" t="s">
        <v>511</v>
      </c>
      <c r="H260" t="s">
        <v>1512</v>
      </c>
      <c r="I260" t="s">
        <v>21</v>
      </c>
      <c r="J260" t="s">
        <v>33</v>
      </c>
      <c r="K260" t="s">
        <v>23</v>
      </c>
      <c r="M260" t="s">
        <v>176</v>
      </c>
      <c r="N260" t="s">
        <v>177</v>
      </c>
      <c r="O260" s="2">
        <v>83</v>
      </c>
      <c r="P260" s="2">
        <v>80</v>
      </c>
      <c r="Q260" s="2">
        <v>63</v>
      </c>
      <c r="R260" s="2">
        <v>86</v>
      </c>
      <c r="S260" s="2">
        <v>88</v>
      </c>
      <c r="T260" s="2">
        <v>87</v>
      </c>
      <c r="U260" t="s">
        <v>1790</v>
      </c>
      <c r="V260" s="2">
        <v>14</v>
      </c>
      <c r="W260" s="1">
        <v>45474</v>
      </c>
      <c r="X260" s="1">
        <v>45838</v>
      </c>
      <c r="Y260" s="2">
        <v>14.8</v>
      </c>
      <c r="Z260" t="s">
        <v>1884</v>
      </c>
      <c r="AA260">
        <v>56</v>
      </c>
      <c r="AB260" s="2">
        <v>13.3</v>
      </c>
      <c r="AC260" s="2">
        <v>16.899999999999999</v>
      </c>
      <c r="AD260" t="s">
        <v>25</v>
      </c>
      <c r="AE260" s="1">
        <v>45108</v>
      </c>
      <c r="AF260" s="1">
        <v>45473</v>
      </c>
      <c r="AG260" t="b">
        <v>0</v>
      </c>
      <c r="AH260" t="b">
        <v>1</v>
      </c>
      <c r="AI260" t="b">
        <v>1</v>
      </c>
      <c r="AJ260" t="str">
        <f>IF(tblMergedCleaned[[#This Row],[Overall_Rating]]=
    "",
    "Unavailable",
    IF(tblMergedCleaned[[#This Row],[Overall_Rating]]&lt;=
        2,
        "Low (1-2)",
        IF(tblMergedCleaned[[#This Row],[Overall_Rating]]=
            3,
            "Middle (3)",
            "High (4-5)"
        )
    )
)</f>
        <v>Unavailable</v>
      </c>
      <c r="AK260" t="str" cm="1">
        <f t="array" ref="AK260">IF(
    tblMergedCleaned[[#This Row],[Overall_Rating]]="",
    "",
    --(tblMergedCleaned[[#This Row],[Overall_Rating]]&lt;=2)
)</f>
        <v/>
      </c>
      <c r="AL260">
        <f>IF(
    tblMergedCleaned[[#This Row],[Definitely_Recommend_Pct]]="",
    "",
    --(tblMergedCleaned[[#This Row],[Definitely_Recommend_Pct]]&lt;TX_Median_Recommend)
)</f>
        <v>0</v>
      </c>
      <c r="AM260">
        <f>IF(
    tblMergedCleaned[[#This Row],[Readmission_Comparison]]="",
    "",
    --(tblMergedCleaned[[#This Row],[Readmission_Comparison]]="Worse")
)</f>
        <v>0</v>
      </c>
      <c r="AN260">
        <f>COUNT(
    tblMergedCleaned[[#This Row],[Low_Rating_Flag]:[Worse_Readmission_Flag]]
)</f>
        <v>2</v>
      </c>
      <c r="AO260">
        <f>SUM(
    tblMergedCleaned[[#This Row],[Low_Rating_Flag]:[Worse_Readmission_Flag]]
)</f>
        <v>0</v>
      </c>
      <c r="AP26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6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60" s="2">
        <f>IF(
    tblMergedCleaned[[#This Row],[Definitely_Recommend_Pct]]="",
    "",
    tblMergedCleaned[[#This Row],[Definitely_Recommend_Pct]]-TX_Median_Recommend
)</f>
        <v>16</v>
      </c>
      <c r="AS260" s="2">
        <f>IF(
    tblMergedCleaned[[#This Row],[Readmission_Rate_Pct]]="",
    "",
    tblMergedCleaned[[#This Row],[Readmission_Rate_Pct]]-TX_Median_Readmission
)</f>
        <v>-9.9999999999999645E-2</v>
      </c>
    </row>
    <row r="261" spans="1:45">
      <c r="A261" t="s">
        <v>1513</v>
      </c>
      <c r="B261" t="s">
        <v>1514</v>
      </c>
      <c r="C261" t="s">
        <v>1515</v>
      </c>
      <c r="D261" t="s">
        <v>1224</v>
      </c>
      <c r="E261" t="s">
        <v>18</v>
      </c>
      <c r="F261" t="s">
        <v>1225</v>
      </c>
      <c r="G261" t="s">
        <v>128</v>
      </c>
      <c r="H261" t="s">
        <v>1516</v>
      </c>
      <c r="I261" t="s">
        <v>21</v>
      </c>
      <c r="J261" t="s">
        <v>22</v>
      </c>
      <c r="K261" t="s">
        <v>23</v>
      </c>
      <c r="M261" t="s">
        <v>176</v>
      </c>
      <c r="N261" t="s">
        <v>177</v>
      </c>
      <c r="O261" s="2">
        <v>88</v>
      </c>
      <c r="P261" s="2">
        <v>86</v>
      </c>
      <c r="Q261" s="2">
        <v>69</v>
      </c>
      <c r="R261" s="2">
        <v>92</v>
      </c>
      <c r="S261" s="2">
        <v>91</v>
      </c>
      <c r="T261" s="2">
        <v>90</v>
      </c>
      <c r="U261" t="s">
        <v>1869</v>
      </c>
      <c r="V261" s="2">
        <v>24</v>
      </c>
      <c r="W261" s="1">
        <v>45474</v>
      </c>
      <c r="X261" s="1">
        <v>45838</v>
      </c>
      <c r="Y261" s="2">
        <v>15.1</v>
      </c>
      <c r="Z261" t="s">
        <v>1884</v>
      </c>
      <c r="AA261">
        <v>73</v>
      </c>
      <c r="AB261" s="2">
        <v>13.5</v>
      </c>
      <c r="AC261" s="2">
        <v>17</v>
      </c>
      <c r="AD261" t="s">
        <v>25</v>
      </c>
      <c r="AE261" s="1">
        <v>45108</v>
      </c>
      <c r="AF261" s="1">
        <v>45473</v>
      </c>
      <c r="AG261" t="b">
        <v>0</v>
      </c>
      <c r="AH261" t="b">
        <v>1</v>
      </c>
      <c r="AI261" t="b">
        <v>1</v>
      </c>
      <c r="AJ261" t="str">
        <f>IF(tblMergedCleaned[[#This Row],[Overall_Rating]]=
    "",
    "Unavailable",
    IF(tblMergedCleaned[[#This Row],[Overall_Rating]]&lt;=
        2,
        "Low (1-2)",
        IF(tblMergedCleaned[[#This Row],[Overall_Rating]]=
            3,
            "Middle (3)",
            "High (4-5)"
        )
    )
)</f>
        <v>Unavailable</v>
      </c>
      <c r="AK261" t="str" cm="1">
        <f t="array" ref="AK261">IF(
    tblMergedCleaned[[#This Row],[Overall_Rating]]="",
    "",
    --(tblMergedCleaned[[#This Row],[Overall_Rating]]&lt;=2)
)</f>
        <v/>
      </c>
      <c r="AL261">
        <f>IF(
    tblMergedCleaned[[#This Row],[Definitely_Recommend_Pct]]="",
    "",
    --(tblMergedCleaned[[#This Row],[Definitely_Recommend_Pct]]&lt;TX_Median_Recommend)
)</f>
        <v>0</v>
      </c>
      <c r="AM261">
        <f>IF(
    tblMergedCleaned[[#This Row],[Readmission_Comparison]]="",
    "",
    --(tblMergedCleaned[[#This Row],[Readmission_Comparison]]="Worse")
)</f>
        <v>0</v>
      </c>
      <c r="AN261">
        <f>COUNT(
    tblMergedCleaned[[#This Row],[Low_Rating_Flag]:[Worse_Readmission_Flag]]
)</f>
        <v>2</v>
      </c>
      <c r="AO261">
        <f>SUM(
    tblMergedCleaned[[#This Row],[Low_Rating_Flag]:[Worse_Readmission_Flag]]
)</f>
        <v>0</v>
      </c>
      <c r="AP26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6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61" s="2">
        <f>IF(
    tblMergedCleaned[[#This Row],[Definitely_Recommend_Pct]]="",
    "",
    tblMergedCleaned[[#This Row],[Definitely_Recommend_Pct]]-TX_Median_Recommend
)</f>
        <v>19</v>
      </c>
      <c r="AS261" s="2">
        <f>IF(
    tblMergedCleaned[[#This Row],[Readmission_Rate_Pct]]="",
    "",
    tblMergedCleaned[[#This Row],[Readmission_Rate_Pct]]-TX_Median_Readmission
)</f>
        <v>0.19999999999999929</v>
      </c>
    </row>
    <row r="262" spans="1:45">
      <c r="A262" t="s">
        <v>1517</v>
      </c>
      <c r="B262" t="s">
        <v>1518</v>
      </c>
      <c r="C262" t="s">
        <v>1519</v>
      </c>
      <c r="D262" t="s">
        <v>1520</v>
      </c>
      <c r="E262" t="s">
        <v>18</v>
      </c>
      <c r="F262" t="s">
        <v>1521</v>
      </c>
      <c r="G262" t="s">
        <v>1522</v>
      </c>
      <c r="H262" t="s">
        <v>1523</v>
      </c>
      <c r="I262" t="s">
        <v>21</v>
      </c>
      <c r="J262" t="s">
        <v>22</v>
      </c>
      <c r="K262" t="s">
        <v>23</v>
      </c>
      <c r="M262" t="s">
        <v>176</v>
      </c>
      <c r="N262" t="s">
        <v>177</v>
      </c>
      <c r="O262" s="2">
        <v>93</v>
      </c>
      <c r="P262" s="2">
        <v>93</v>
      </c>
      <c r="Q262" s="2">
        <v>76</v>
      </c>
      <c r="R262" s="2">
        <v>85</v>
      </c>
      <c r="S262" s="2">
        <v>93</v>
      </c>
      <c r="T262" s="2">
        <v>93</v>
      </c>
      <c r="U262" t="s">
        <v>1870</v>
      </c>
      <c r="V262" s="2">
        <v>25</v>
      </c>
      <c r="W262" s="1">
        <v>45474</v>
      </c>
      <c r="X262" s="1">
        <v>45838</v>
      </c>
      <c r="Y262" s="2">
        <v>14.8</v>
      </c>
      <c r="Z262" t="s">
        <v>1884</v>
      </c>
      <c r="AA262">
        <v>37</v>
      </c>
      <c r="AB262" s="2">
        <v>12.8</v>
      </c>
      <c r="AC262" s="2">
        <v>17.100000000000001</v>
      </c>
      <c r="AD262" t="s">
        <v>25</v>
      </c>
      <c r="AE262" s="1">
        <v>45108</v>
      </c>
      <c r="AF262" s="1">
        <v>45473</v>
      </c>
      <c r="AG262" t="b">
        <v>0</v>
      </c>
      <c r="AH262" t="b">
        <v>1</v>
      </c>
      <c r="AI262" t="b">
        <v>1</v>
      </c>
      <c r="AJ262" t="str">
        <f>IF(tblMergedCleaned[[#This Row],[Overall_Rating]]=
    "",
    "Unavailable",
    IF(tblMergedCleaned[[#This Row],[Overall_Rating]]&lt;=
        2,
        "Low (1-2)",
        IF(tblMergedCleaned[[#This Row],[Overall_Rating]]=
            3,
            "Middle (3)",
            "High (4-5)"
        )
    )
)</f>
        <v>Unavailable</v>
      </c>
      <c r="AK262" t="str" cm="1">
        <f t="array" ref="AK262">IF(
    tblMergedCleaned[[#This Row],[Overall_Rating]]="",
    "",
    --(tblMergedCleaned[[#This Row],[Overall_Rating]]&lt;=2)
)</f>
        <v/>
      </c>
      <c r="AL262">
        <f>IF(
    tblMergedCleaned[[#This Row],[Definitely_Recommend_Pct]]="",
    "",
    --(tblMergedCleaned[[#This Row],[Definitely_Recommend_Pct]]&lt;TX_Median_Recommend)
)</f>
        <v>0</v>
      </c>
      <c r="AM262">
        <f>IF(
    tblMergedCleaned[[#This Row],[Readmission_Comparison]]="",
    "",
    --(tblMergedCleaned[[#This Row],[Readmission_Comparison]]="Worse")
)</f>
        <v>0</v>
      </c>
      <c r="AN262">
        <f>COUNT(
    tblMergedCleaned[[#This Row],[Low_Rating_Flag]:[Worse_Readmission_Flag]]
)</f>
        <v>2</v>
      </c>
      <c r="AO262">
        <f>SUM(
    tblMergedCleaned[[#This Row],[Low_Rating_Flag]:[Worse_Readmission_Flag]]
)</f>
        <v>0</v>
      </c>
      <c r="AP26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6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62" s="2">
        <f>IF(
    tblMergedCleaned[[#This Row],[Definitely_Recommend_Pct]]="",
    "",
    tblMergedCleaned[[#This Row],[Definitely_Recommend_Pct]]-TX_Median_Recommend
)</f>
        <v>22</v>
      </c>
      <c r="AS262" s="2">
        <f>IF(
    tblMergedCleaned[[#This Row],[Readmission_Rate_Pct]]="",
    "",
    tblMergedCleaned[[#This Row],[Readmission_Rate_Pct]]-TX_Median_Readmission
)</f>
        <v>-9.9999999999999645E-2</v>
      </c>
    </row>
    <row r="263" spans="1:45">
      <c r="A263" t="s">
        <v>1524</v>
      </c>
      <c r="B263" t="s">
        <v>1525</v>
      </c>
      <c r="C263" t="s">
        <v>1526</v>
      </c>
      <c r="D263" t="s">
        <v>119</v>
      </c>
      <c r="E263" t="s">
        <v>18</v>
      </c>
      <c r="F263" t="s">
        <v>1527</v>
      </c>
      <c r="G263" t="s">
        <v>121</v>
      </c>
      <c r="H263" t="s">
        <v>1528</v>
      </c>
      <c r="I263" t="s">
        <v>21</v>
      </c>
      <c r="J263" t="s">
        <v>22</v>
      </c>
      <c r="K263" t="s">
        <v>23</v>
      </c>
      <c r="M263" t="s">
        <v>176</v>
      </c>
      <c r="N263" t="s">
        <v>177</v>
      </c>
      <c r="U263" t="s">
        <v>176</v>
      </c>
      <c r="W263" s="1">
        <v>45474</v>
      </c>
      <c r="X263" s="1">
        <v>45838</v>
      </c>
      <c r="AD263" t="s">
        <v>322</v>
      </c>
      <c r="AE263" s="1">
        <v>45108</v>
      </c>
      <c r="AF263" s="1">
        <v>45473</v>
      </c>
      <c r="AG263" t="b">
        <v>0</v>
      </c>
      <c r="AH263" t="b">
        <v>0</v>
      </c>
      <c r="AI263" t="b">
        <v>0</v>
      </c>
      <c r="AJ263" t="str">
        <f>IF(tblMergedCleaned[[#This Row],[Overall_Rating]]=
    "",
    "Unavailable",
    IF(tblMergedCleaned[[#This Row],[Overall_Rating]]&lt;=
        2,
        "Low (1-2)",
        IF(tblMergedCleaned[[#This Row],[Overall_Rating]]=
            3,
            "Middle (3)",
            "High (4-5)"
        )
    )
)</f>
        <v>Unavailable</v>
      </c>
      <c r="AK263" t="str" cm="1">
        <f t="array" ref="AK263">IF(
    tblMergedCleaned[[#This Row],[Overall_Rating]]="",
    "",
    --(tblMergedCleaned[[#This Row],[Overall_Rating]]&lt;=2)
)</f>
        <v/>
      </c>
      <c r="AL263" t="str">
        <f>IF(
    tblMergedCleaned[[#This Row],[Definitely_Recommend_Pct]]="",
    "",
    --(tblMergedCleaned[[#This Row],[Definitely_Recommend_Pct]]&lt;TX_Median_Recommend)
)</f>
        <v/>
      </c>
      <c r="AM263" t="str">
        <f>IF(
    tblMergedCleaned[[#This Row],[Readmission_Comparison]]="",
    "",
    --(tblMergedCleaned[[#This Row],[Readmission_Comparison]]="Worse")
)</f>
        <v/>
      </c>
      <c r="AN263">
        <f>COUNT(
    tblMergedCleaned[[#This Row],[Low_Rating_Flag]:[Worse_Readmission_Flag]]
)</f>
        <v>0</v>
      </c>
      <c r="AO263">
        <f>SUM(
    tblMergedCleaned[[#This Row],[Low_Rating_Flag]:[Worse_Readmission_Flag]]
)</f>
        <v>0</v>
      </c>
      <c r="AP26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6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63" s="2" t="str">
        <f>IF(
    tblMergedCleaned[[#This Row],[Definitely_Recommend_Pct]]="",
    "",
    tblMergedCleaned[[#This Row],[Definitely_Recommend_Pct]]-TX_Median_Recommend
)</f>
        <v/>
      </c>
      <c r="AS263" s="2" t="str">
        <f>IF(
    tblMergedCleaned[[#This Row],[Readmission_Rate_Pct]]="",
    "",
    tblMergedCleaned[[#This Row],[Readmission_Rate_Pct]]-TX_Median_Readmission
)</f>
        <v/>
      </c>
    </row>
    <row r="264" spans="1:45">
      <c r="A264" t="s">
        <v>1529</v>
      </c>
      <c r="B264" t="s">
        <v>1530</v>
      </c>
      <c r="C264" t="s">
        <v>1531</v>
      </c>
      <c r="D264" t="s">
        <v>181</v>
      </c>
      <c r="E264" t="s">
        <v>18</v>
      </c>
      <c r="F264" t="s">
        <v>1532</v>
      </c>
      <c r="G264" t="s">
        <v>183</v>
      </c>
      <c r="H264" t="s">
        <v>1533</v>
      </c>
      <c r="I264" t="s">
        <v>21</v>
      </c>
      <c r="J264" t="s">
        <v>33</v>
      </c>
      <c r="K264" t="s">
        <v>302</v>
      </c>
      <c r="M264" t="s">
        <v>176</v>
      </c>
      <c r="N264" t="s">
        <v>177</v>
      </c>
      <c r="O264" s="2">
        <v>85</v>
      </c>
      <c r="P264" s="2">
        <v>85</v>
      </c>
      <c r="Q264" s="2">
        <v>67</v>
      </c>
      <c r="R264" s="2">
        <v>88</v>
      </c>
      <c r="S264" s="2">
        <v>83</v>
      </c>
      <c r="T264" s="2">
        <v>85</v>
      </c>
      <c r="U264" t="s">
        <v>1861</v>
      </c>
      <c r="V264" s="2">
        <v>15</v>
      </c>
      <c r="W264" s="1">
        <v>45474</v>
      </c>
      <c r="X264" s="1">
        <v>45838</v>
      </c>
      <c r="Y264" s="2">
        <v>15.3</v>
      </c>
      <c r="Z264" t="s">
        <v>1884</v>
      </c>
      <c r="AA264">
        <v>140</v>
      </c>
      <c r="AB264" s="2">
        <v>13.5</v>
      </c>
      <c r="AC264" s="2">
        <v>17.3</v>
      </c>
      <c r="AD264" t="s">
        <v>25</v>
      </c>
      <c r="AE264" s="1">
        <v>45108</v>
      </c>
      <c r="AF264" s="1">
        <v>45473</v>
      </c>
      <c r="AG264" t="b">
        <v>0</v>
      </c>
      <c r="AH264" t="b">
        <v>1</v>
      </c>
      <c r="AI264" t="b">
        <v>1</v>
      </c>
      <c r="AJ264" t="str">
        <f>IF(tblMergedCleaned[[#This Row],[Overall_Rating]]=
    "",
    "Unavailable",
    IF(tblMergedCleaned[[#This Row],[Overall_Rating]]&lt;=
        2,
        "Low (1-2)",
        IF(tblMergedCleaned[[#This Row],[Overall_Rating]]=
            3,
            "Middle (3)",
            "High (4-5)"
        )
    )
)</f>
        <v>Unavailable</v>
      </c>
      <c r="AK264" t="str" cm="1">
        <f t="array" ref="AK264">IF(
    tblMergedCleaned[[#This Row],[Overall_Rating]]="",
    "",
    --(tblMergedCleaned[[#This Row],[Overall_Rating]]&lt;=2)
)</f>
        <v/>
      </c>
      <c r="AL264">
        <f>IF(
    tblMergedCleaned[[#This Row],[Definitely_Recommend_Pct]]="",
    "",
    --(tblMergedCleaned[[#This Row],[Definitely_Recommend_Pct]]&lt;TX_Median_Recommend)
)</f>
        <v>0</v>
      </c>
      <c r="AM264">
        <f>IF(
    tblMergedCleaned[[#This Row],[Readmission_Comparison]]="",
    "",
    --(tblMergedCleaned[[#This Row],[Readmission_Comparison]]="Worse")
)</f>
        <v>0</v>
      </c>
      <c r="AN264">
        <f>COUNT(
    tblMergedCleaned[[#This Row],[Low_Rating_Flag]:[Worse_Readmission_Flag]]
)</f>
        <v>2</v>
      </c>
      <c r="AO264">
        <f>SUM(
    tblMergedCleaned[[#This Row],[Low_Rating_Flag]:[Worse_Readmission_Flag]]
)</f>
        <v>0</v>
      </c>
      <c r="AP26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6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64" s="2">
        <f>IF(
    tblMergedCleaned[[#This Row],[Definitely_Recommend_Pct]]="",
    "",
    tblMergedCleaned[[#This Row],[Definitely_Recommend_Pct]]-TX_Median_Recommend
)</f>
        <v>14</v>
      </c>
      <c r="AS264" s="2">
        <f>IF(
    tblMergedCleaned[[#This Row],[Readmission_Rate_Pct]]="",
    "",
    tblMergedCleaned[[#This Row],[Readmission_Rate_Pct]]-TX_Median_Readmission
)</f>
        <v>0.40000000000000036</v>
      </c>
    </row>
    <row r="265" spans="1:45">
      <c r="A265" t="s">
        <v>1534</v>
      </c>
      <c r="B265" t="s">
        <v>1535</v>
      </c>
      <c r="C265" t="s">
        <v>1536</v>
      </c>
      <c r="D265" t="s">
        <v>1145</v>
      </c>
      <c r="E265" t="s">
        <v>18</v>
      </c>
      <c r="F265" t="s">
        <v>1537</v>
      </c>
      <c r="G265" t="s">
        <v>808</v>
      </c>
      <c r="H265" t="s">
        <v>1538</v>
      </c>
      <c r="I265" t="s">
        <v>21</v>
      </c>
      <c r="J265" t="s">
        <v>33</v>
      </c>
      <c r="K265" t="s">
        <v>23</v>
      </c>
      <c r="L265">
        <v>4</v>
      </c>
      <c r="M265" t="s">
        <v>34</v>
      </c>
      <c r="N265" t="s">
        <v>25</v>
      </c>
      <c r="O265" s="2">
        <v>77</v>
      </c>
      <c r="P265" s="2">
        <v>78</v>
      </c>
      <c r="Q265" s="2">
        <v>57</v>
      </c>
      <c r="R265" s="2">
        <v>87</v>
      </c>
      <c r="S265" s="2">
        <v>78</v>
      </c>
      <c r="T265" s="2">
        <v>80</v>
      </c>
      <c r="U265" t="s">
        <v>1871</v>
      </c>
      <c r="V265" s="2">
        <v>15</v>
      </c>
      <c r="W265" s="1">
        <v>45474</v>
      </c>
      <c r="X265" s="1">
        <v>45838</v>
      </c>
      <c r="Y265" s="2">
        <v>15.2</v>
      </c>
      <c r="Z265" t="s">
        <v>1884</v>
      </c>
      <c r="AA265">
        <v>720</v>
      </c>
      <c r="AB265" s="2">
        <v>13.8</v>
      </c>
      <c r="AC265" s="2">
        <v>16.8</v>
      </c>
      <c r="AD265" t="s">
        <v>25</v>
      </c>
      <c r="AE265" s="1">
        <v>45108</v>
      </c>
      <c r="AF265" s="1">
        <v>45473</v>
      </c>
      <c r="AG265" t="b">
        <v>1</v>
      </c>
      <c r="AH265" t="b">
        <v>1</v>
      </c>
      <c r="AI265" t="b">
        <v>1</v>
      </c>
      <c r="AJ265" t="str">
        <f>IF(tblMergedCleaned[[#This Row],[Overall_Rating]]=
    "",
    "Unavailable",
    IF(tblMergedCleaned[[#This Row],[Overall_Rating]]&lt;=
        2,
        "Low (1-2)",
        IF(tblMergedCleaned[[#This Row],[Overall_Rating]]=
            3,
            "Middle (3)",
            "High (4-5)"
        )
    )
)</f>
        <v>High (4-5)</v>
      </c>
      <c r="AK265" cm="1">
        <f t="array" ref="AK265">IF(
    tblMergedCleaned[[#This Row],[Overall_Rating]]="",
    "",
    --(tblMergedCleaned[[#This Row],[Overall_Rating]]&lt;=2)
)</f>
        <v>0</v>
      </c>
      <c r="AL265">
        <f>IF(
    tblMergedCleaned[[#This Row],[Definitely_Recommend_Pct]]="",
    "",
    --(tblMergedCleaned[[#This Row],[Definitely_Recommend_Pct]]&lt;TX_Median_Recommend)
)</f>
        <v>0</v>
      </c>
      <c r="AM265">
        <f>IF(
    tblMergedCleaned[[#This Row],[Readmission_Comparison]]="",
    "",
    --(tblMergedCleaned[[#This Row],[Readmission_Comparison]]="Worse")
)</f>
        <v>0</v>
      </c>
      <c r="AN265">
        <f>COUNT(
    tblMergedCleaned[[#This Row],[Low_Rating_Flag]:[Worse_Readmission_Flag]]
)</f>
        <v>3</v>
      </c>
      <c r="AO265">
        <f>SUM(
    tblMergedCleaned[[#This Row],[Low_Rating_Flag]:[Worse_Readmission_Flag]]
)</f>
        <v>0</v>
      </c>
      <c r="AP26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6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65" s="2">
        <f>IF(
    tblMergedCleaned[[#This Row],[Definitely_Recommend_Pct]]="",
    "",
    tblMergedCleaned[[#This Row],[Definitely_Recommend_Pct]]-TX_Median_Recommend
)</f>
        <v>9</v>
      </c>
      <c r="AS265" s="2">
        <f>IF(
    tblMergedCleaned[[#This Row],[Readmission_Rate_Pct]]="",
    "",
    tblMergedCleaned[[#This Row],[Readmission_Rate_Pct]]-TX_Median_Readmission
)</f>
        <v>0.29999999999999893</v>
      </c>
    </row>
    <row r="266" spans="1:45">
      <c r="A266" t="s">
        <v>1539</v>
      </c>
      <c r="B266" t="s">
        <v>1540</v>
      </c>
      <c r="C266" t="s">
        <v>1541</v>
      </c>
      <c r="D266" t="s">
        <v>736</v>
      </c>
      <c r="E266" t="s">
        <v>18</v>
      </c>
      <c r="F266" t="s">
        <v>737</v>
      </c>
      <c r="G266" t="s">
        <v>128</v>
      </c>
      <c r="H266" t="s">
        <v>1542</v>
      </c>
      <c r="I266" t="s">
        <v>21</v>
      </c>
      <c r="J266" t="s">
        <v>22</v>
      </c>
      <c r="K266" t="s">
        <v>302</v>
      </c>
      <c r="M266" t="s">
        <v>176</v>
      </c>
      <c r="N266" t="s">
        <v>177</v>
      </c>
      <c r="O266" s="2">
        <v>80</v>
      </c>
      <c r="P266" s="2">
        <v>75</v>
      </c>
      <c r="Q266" s="2">
        <v>61</v>
      </c>
      <c r="R266" s="2">
        <v>85</v>
      </c>
      <c r="S266" s="2">
        <v>69</v>
      </c>
      <c r="T266" s="2">
        <v>75</v>
      </c>
      <c r="U266" t="s">
        <v>1872</v>
      </c>
      <c r="V266" s="2">
        <v>22</v>
      </c>
      <c r="W266" s="1">
        <v>45474</v>
      </c>
      <c r="X266" s="1">
        <v>45838</v>
      </c>
      <c r="Y266" s="2">
        <v>15.3</v>
      </c>
      <c r="Z266" t="s">
        <v>1884</v>
      </c>
      <c r="AA266">
        <v>86</v>
      </c>
      <c r="AB266" s="2">
        <v>12.5</v>
      </c>
      <c r="AC266" s="2">
        <v>18.899999999999999</v>
      </c>
      <c r="AD266" t="s">
        <v>25</v>
      </c>
      <c r="AE266" s="1">
        <v>45108</v>
      </c>
      <c r="AF266" s="1">
        <v>45473</v>
      </c>
      <c r="AG266" t="b">
        <v>0</v>
      </c>
      <c r="AH266" t="b">
        <v>1</v>
      </c>
      <c r="AI266" t="b">
        <v>1</v>
      </c>
      <c r="AJ266" t="str">
        <f>IF(tblMergedCleaned[[#This Row],[Overall_Rating]]=
    "",
    "Unavailable",
    IF(tblMergedCleaned[[#This Row],[Overall_Rating]]&lt;=
        2,
        "Low (1-2)",
        IF(tblMergedCleaned[[#This Row],[Overall_Rating]]=
            3,
            "Middle (3)",
            "High (4-5)"
        )
    )
)</f>
        <v>Unavailable</v>
      </c>
      <c r="AK266" t="str" cm="1">
        <f t="array" ref="AK266">IF(
    tblMergedCleaned[[#This Row],[Overall_Rating]]="",
    "",
    --(tblMergedCleaned[[#This Row],[Overall_Rating]]&lt;=2)
)</f>
        <v/>
      </c>
      <c r="AL266">
        <f>IF(
    tblMergedCleaned[[#This Row],[Definitely_Recommend_Pct]]="",
    "",
    --(tblMergedCleaned[[#This Row],[Definitely_Recommend_Pct]]&lt;TX_Median_Recommend)
)</f>
        <v>0</v>
      </c>
      <c r="AM266">
        <f>IF(
    tblMergedCleaned[[#This Row],[Readmission_Comparison]]="",
    "",
    --(tblMergedCleaned[[#This Row],[Readmission_Comparison]]="Worse")
)</f>
        <v>0</v>
      </c>
      <c r="AN266">
        <f>COUNT(
    tblMergedCleaned[[#This Row],[Low_Rating_Flag]:[Worse_Readmission_Flag]]
)</f>
        <v>2</v>
      </c>
      <c r="AO266">
        <f>SUM(
    tblMergedCleaned[[#This Row],[Low_Rating_Flag]:[Worse_Readmission_Flag]]
)</f>
        <v>0</v>
      </c>
      <c r="AP26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6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66" s="2">
        <f>IF(
    tblMergedCleaned[[#This Row],[Definitely_Recommend_Pct]]="",
    "",
    tblMergedCleaned[[#This Row],[Definitely_Recommend_Pct]]-TX_Median_Recommend
)</f>
        <v>4</v>
      </c>
      <c r="AS266" s="2">
        <f>IF(
    tblMergedCleaned[[#This Row],[Readmission_Rate_Pct]]="",
    "",
    tblMergedCleaned[[#This Row],[Readmission_Rate_Pct]]-TX_Median_Readmission
)</f>
        <v>0.40000000000000036</v>
      </c>
    </row>
    <row r="267" spans="1:45">
      <c r="A267" t="s">
        <v>1543</v>
      </c>
      <c r="B267" t="s">
        <v>1544</v>
      </c>
      <c r="C267" t="s">
        <v>1545</v>
      </c>
      <c r="D267" t="s">
        <v>933</v>
      </c>
      <c r="E267" t="s">
        <v>18</v>
      </c>
      <c r="F267" t="s">
        <v>934</v>
      </c>
      <c r="G267" t="s">
        <v>121</v>
      </c>
      <c r="H267" t="s">
        <v>1546</v>
      </c>
      <c r="I267" t="s">
        <v>21</v>
      </c>
      <c r="J267" t="s">
        <v>22</v>
      </c>
      <c r="K267" t="s">
        <v>23</v>
      </c>
      <c r="M267" t="s">
        <v>176</v>
      </c>
      <c r="N267" t="s">
        <v>177</v>
      </c>
      <c r="O267" s="2">
        <v>75</v>
      </c>
      <c r="P267" s="2">
        <v>77</v>
      </c>
      <c r="Q267" s="2">
        <v>55</v>
      </c>
      <c r="R267" s="2">
        <v>83</v>
      </c>
      <c r="S267" s="2">
        <v>69</v>
      </c>
      <c r="T267" s="2">
        <v>67</v>
      </c>
      <c r="U267" t="s">
        <v>1790</v>
      </c>
      <c r="V267" s="2">
        <v>10</v>
      </c>
      <c r="W267" s="1">
        <v>45474</v>
      </c>
      <c r="X267" s="1">
        <v>45838</v>
      </c>
      <c r="AD267" t="s">
        <v>322</v>
      </c>
      <c r="AE267" s="1">
        <v>45108</v>
      </c>
      <c r="AF267" s="1">
        <v>45473</v>
      </c>
      <c r="AG267" t="b">
        <v>0</v>
      </c>
      <c r="AH267" t="b">
        <v>1</v>
      </c>
      <c r="AI267" t="b">
        <v>0</v>
      </c>
      <c r="AJ267" t="str">
        <f>IF(tblMergedCleaned[[#This Row],[Overall_Rating]]=
    "",
    "Unavailable",
    IF(tblMergedCleaned[[#This Row],[Overall_Rating]]&lt;=
        2,
        "Low (1-2)",
        IF(tblMergedCleaned[[#This Row],[Overall_Rating]]=
            3,
            "Middle (3)",
            "High (4-5)"
        )
    )
)</f>
        <v>Unavailable</v>
      </c>
      <c r="AK267" t="str" cm="1">
        <f t="array" ref="AK267">IF(
    tblMergedCleaned[[#This Row],[Overall_Rating]]="",
    "",
    --(tblMergedCleaned[[#This Row],[Overall_Rating]]&lt;=2)
)</f>
        <v/>
      </c>
      <c r="AL267">
        <f>IF(
    tblMergedCleaned[[#This Row],[Definitely_Recommend_Pct]]="",
    "",
    --(tblMergedCleaned[[#This Row],[Definitely_Recommend_Pct]]&lt;TX_Median_Recommend)
)</f>
        <v>1</v>
      </c>
      <c r="AM267" t="str">
        <f>IF(
    tblMergedCleaned[[#This Row],[Readmission_Comparison]]="",
    "",
    --(tblMergedCleaned[[#This Row],[Readmission_Comparison]]="Worse")
)</f>
        <v/>
      </c>
      <c r="AN267">
        <f>COUNT(
    tblMergedCleaned[[#This Row],[Low_Rating_Flag]:[Worse_Readmission_Flag]]
)</f>
        <v>1</v>
      </c>
      <c r="AO267">
        <f>SUM(
    tblMergedCleaned[[#This Row],[Low_Rating_Flag]:[Worse_Readmission_Flag]]
)</f>
        <v>1</v>
      </c>
      <c r="AP26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6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Q2</v>
      </c>
      <c r="AR267" s="2">
        <f>IF(
    tblMergedCleaned[[#This Row],[Definitely_Recommend_Pct]]="",
    "",
    tblMergedCleaned[[#This Row],[Definitely_Recommend_Pct]]-TX_Median_Recommend
)</f>
        <v>-4</v>
      </c>
      <c r="AS267" s="2" t="str">
        <f>IF(
    tblMergedCleaned[[#This Row],[Readmission_Rate_Pct]]="",
    "",
    tblMergedCleaned[[#This Row],[Readmission_Rate_Pct]]-TX_Median_Readmission
)</f>
        <v/>
      </c>
    </row>
    <row r="268" spans="1:45">
      <c r="A268" t="s">
        <v>1547</v>
      </c>
      <c r="B268" t="s">
        <v>1548</v>
      </c>
      <c r="C268" t="s">
        <v>1549</v>
      </c>
      <c r="D268" t="s">
        <v>1550</v>
      </c>
      <c r="E268" t="s">
        <v>18</v>
      </c>
      <c r="F268" t="s">
        <v>1551</v>
      </c>
      <c r="G268" t="s">
        <v>462</v>
      </c>
      <c r="H268" t="s">
        <v>1552</v>
      </c>
      <c r="I268" t="s">
        <v>21</v>
      </c>
      <c r="J268" t="s">
        <v>22</v>
      </c>
      <c r="K268" t="s">
        <v>23</v>
      </c>
      <c r="M268" t="s">
        <v>176</v>
      </c>
      <c r="N268" t="s">
        <v>177</v>
      </c>
      <c r="O268" s="2">
        <v>82</v>
      </c>
      <c r="P268" s="2">
        <v>86</v>
      </c>
      <c r="Q268" s="2">
        <v>55</v>
      </c>
      <c r="R268" s="2">
        <v>88</v>
      </c>
      <c r="S268" s="2">
        <v>67</v>
      </c>
      <c r="T268" s="2">
        <v>59</v>
      </c>
      <c r="U268" t="s">
        <v>1873</v>
      </c>
      <c r="V268" s="2">
        <v>18</v>
      </c>
      <c r="W268" s="1">
        <v>45474</v>
      </c>
      <c r="X268" s="1">
        <v>45838</v>
      </c>
      <c r="Y268" s="2">
        <v>15</v>
      </c>
      <c r="Z268" t="s">
        <v>1884</v>
      </c>
      <c r="AA268">
        <v>33</v>
      </c>
      <c r="AB268" s="2">
        <v>12.6</v>
      </c>
      <c r="AC268" s="2">
        <v>18</v>
      </c>
      <c r="AD268" t="s">
        <v>25</v>
      </c>
      <c r="AE268" s="1">
        <v>45108</v>
      </c>
      <c r="AF268" s="1">
        <v>45473</v>
      </c>
      <c r="AG268" t="b">
        <v>0</v>
      </c>
      <c r="AH268" t="b">
        <v>1</v>
      </c>
      <c r="AI268" t="b">
        <v>1</v>
      </c>
      <c r="AJ268" t="str">
        <f>IF(tblMergedCleaned[[#This Row],[Overall_Rating]]=
    "",
    "Unavailable",
    IF(tblMergedCleaned[[#This Row],[Overall_Rating]]&lt;=
        2,
        "Low (1-2)",
        IF(tblMergedCleaned[[#This Row],[Overall_Rating]]=
            3,
            "Middle (3)",
            "High (4-5)"
        )
    )
)</f>
        <v>Unavailable</v>
      </c>
      <c r="AK268" t="str" cm="1">
        <f t="array" ref="AK268">IF(
    tblMergedCleaned[[#This Row],[Overall_Rating]]="",
    "",
    --(tblMergedCleaned[[#This Row],[Overall_Rating]]&lt;=2)
)</f>
        <v/>
      </c>
      <c r="AL268">
        <f>IF(
    tblMergedCleaned[[#This Row],[Definitely_Recommend_Pct]]="",
    "",
    --(tblMergedCleaned[[#This Row],[Definitely_Recommend_Pct]]&lt;TX_Median_Recommend)
)</f>
        <v>1</v>
      </c>
      <c r="AM268">
        <f>IF(
    tblMergedCleaned[[#This Row],[Readmission_Comparison]]="",
    "",
    --(tblMergedCleaned[[#This Row],[Readmission_Comparison]]="Worse")
)</f>
        <v>0</v>
      </c>
      <c r="AN268">
        <f>COUNT(
    tblMergedCleaned[[#This Row],[Low_Rating_Flag]:[Worse_Readmission_Flag]]
)</f>
        <v>2</v>
      </c>
      <c r="AO268">
        <f>SUM(
    tblMergedCleaned[[#This Row],[Low_Rating_Flag]:[Worse_Readmission_Flag]]
)</f>
        <v>1</v>
      </c>
      <c r="AP26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6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Q1 - Lowest</v>
      </c>
      <c r="AR268" s="2">
        <f>IF(
    tblMergedCleaned[[#This Row],[Definitely_Recommend_Pct]]="",
    "",
    tblMergedCleaned[[#This Row],[Definitely_Recommend_Pct]]-TX_Median_Recommend
)</f>
        <v>-12</v>
      </c>
      <c r="AS268" s="2">
        <f>IF(
    tblMergedCleaned[[#This Row],[Readmission_Rate_Pct]]="",
    "",
    tblMergedCleaned[[#This Row],[Readmission_Rate_Pct]]-TX_Median_Readmission
)</f>
        <v>9.9999999999999645E-2</v>
      </c>
    </row>
    <row r="269" spans="1:45">
      <c r="A269" t="s">
        <v>1553</v>
      </c>
      <c r="B269" t="s">
        <v>1554</v>
      </c>
      <c r="C269" t="s">
        <v>1555</v>
      </c>
      <c r="D269" t="s">
        <v>1043</v>
      </c>
      <c r="E269" t="s">
        <v>18</v>
      </c>
      <c r="F269" t="s">
        <v>1251</v>
      </c>
      <c r="G269" t="s">
        <v>121</v>
      </c>
      <c r="H269" t="s">
        <v>1556</v>
      </c>
      <c r="I269" t="s">
        <v>21</v>
      </c>
      <c r="J269" t="s">
        <v>22</v>
      </c>
      <c r="K269" t="s">
        <v>302</v>
      </c>
      <c r="M269" t="s">
        <v>176</v>
      </c>
      <c r="N269" t="s">
        <v>177</v>
      </c>
      <c r="U269" t="s">
        <v>176</v>
      </c>
      <c r="W269" s="1">
        <v>45474</v>
      </c>
      <c r="X269" s="1">
        <v>45838</v>
      </c>
      <c r="AD269" t="s">
        <v>322</v>
      </c>
      <c r="AE269" s="1">
        <v>45108</v>
      </c>
      <c r="AF269" s="1">
        <v>45473</v>
      </c>
      <c r="AG269" t="b">
        <v>0</v>
      </c>
      <c r="AH269" t="b">
        <v>0</v>
      </c>
      <c r="AI269" t="b">
        <v>0</v>
      </c>
      <c r="AJ269" t="str">
        <f>IF(tblMergedCleaned[[#This Row],[Overall_Rating]]=
    "",
    "Unavailable",
    IF(tblMergedCleaned[[#This Row],[Overall_Rating]]&lt;=
        2,
        "Low (1-2)",
        IF(tblMergedCleaned[[#This Row],[Overall_Rating]]=
            3,
            "Middle (3)",
            "High (4-5)"
        )
    )
)</f>
        <v>Unavailable</v>
      </c>
      <c r="AK269" t="str" cm="1">
        <f t="array" ref="AK269">IF(
    tblMergedCleaned[[#This Row],[Overall_Rating]]="",
    "",
    --(tblMergedCleaned[[#This Row],[Overall_Rating]]&lt;=2)
)</f>
        <v/>
      </c>
      <c r="AL269" t="str">
        <f>IF(
    tblMergedCleaned[[#This Row],[Definitely_Recommend_Pct]]="",
    "",
    --(tblMergedCleaned[[#This Row],[Definitely_Recommend_Pct]]&lt;TX_Median_Recommend)
)</f>
        <v/>
      </c>
      <c r="AM269" t="str">
        <f>IF(
    tblMergedCleaned[[#This Row],[Readmission_Comparison]]="",
    "",
    --(tblMergedCleaned[[#This Row],[Readmission_Comparison]]="Worse")
)</f>
        <v/>
      </c>
      <c r="AN269">
        <f>COUNT(
    tblMergedCleaned[[#This Row],[Low_Rating_Flag]:[Worse_Readmission_Flag]]
)</f>
        <v>0</v>
      </c>
      <c r="AO269">
        <f>SUM(
    tblMergedCleaned[[#This Row],[Low_Rating_Flag]:[Worse_Readmission_Flag]]
)</f>
        <v>0</v>
      </c>
      <c r="AP26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6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69" s="2" t="str">
        <f>IF(
    tblMergedCleaned[[#This Row],[Definitely_Recommend_Pct]]="",
    "",
    tblMergedCleaned[[#This Row],[Definitely_Recommend_Pct]]-TX_Median_Recommend
)</f>
        <v/>
      </c>
      <c r="AS269" s="2" t="str">
        <f>IF(
    tblMergedCleaned[[#This Row],[Readmission_Rate_Pct]]="",
    "",
    tblMergedCleaned[[#This Row],[Readmission_Rate_Pct]]-TX_Median_Readmission
)</f>
        <v/>
      </c>
    </row>
    <row r="270" spans="1:45">
      <c r="A270" t="s">
        <v>1557</v>
      </c>
      <c r="B270" t="s">
        <v>1558</v>
      </c>
      <c r="C270" t="s">
        <v>1559</v>
      </c>
      <c r="D270" t="s">
        <v>1560</v>
      </c>
      <c r="E270" t="s">
        <v>18</v>
      </c>
      <c r="F270" t="s">
        <v>1561</v>
      </c>
      <c r="G270" t="s">
        <v>585</v>
      </c>
      <c r="H270" t="s">
        <v>1562</v>
      </c>
      <c r="I270" t="s">
        <v>21</v>
      </c>
      <c r="J270" t="s">
        <v>33</v>
      </c>
      <c r="K270" t="s">
        <v>23</v>
      </c>
      <c r="L270">
        <v>4</v>
      </c>
      <c r="M270" t="s">
        <v>34</v>
      </c>
      <c r="N270" t="s">
        <v>25</v>
      </c>
      <c r="O270" s="2">
        <v>80</v>
      </c>
      <c r="P270" s="2">
        <v>79</v>
      </c>
      <c r="Q270" s="2">
        <v>67</v>
      </c>
      <c r="R270" s="2">
        <v>86</v>
      </c>
      <c r="S270" s="2">
        <v>83</v>
      </c>
      <c r="T270" s="2">
        <v>82</v>
      </c>
      <c r="U270" t="s">
        <v>1874</v>
      </c>
      <c r="V270" s="2">
        <v>20</v>
      </c>
      <c r="W270" s="1">
        <v>45474</v>
      </c>
      <c r="X270" s="1">
        <v>45838</v>
      </c>
      <c r="Y270" s="2">
        <v>14.4</v>
      </c>
      <c r="Z270" t="s">
        <v>1884</v>
      </c>
      <c r="AA270">
        <v>273</v>
      </c>
      <c r="AB270" s="2">
        <v>12.9</v>
      </c>
      <c r="AC270" s="2">
        <v>16.2</v>
      </c>
      <c r="AD270" t="s">
        <v>25</v>
      </c>
      <c r="AE270" s="1">
        <v>45108</v>
      </c>
      <c r="AF270" s="1">
        <v>45473</v>
      </c>
      <c r="AG270" t="b">
        <v>1</v>
      </c>
      <c r="AH270" t="b">
        <v>1</v>
      </c>
      <c r="AI270" t="b">
        <v>1</v>
      </c>
      <c r="AJ270" t="str">
        <f>IF(tblMergedCleaned[[#This Row],[Overall_Rating]]=
    "",
    "Unavailable",
    IF(tblMergedCleaned[[#This Row],[Overall_Rating]]&lt;=
        2,
        "Low (1-2)",
        IF(tblMergedCleaned[[#This Row],[Overall_Rating]]=
            3,
            "Middle (3)",
            "High (4-5)"
        )
    )
)</f>
        <v>High (4-5)</v>
      </c>
      <c r="AK270" cm="1">
        <f t="array" ref="AK270">IF(
    tblMergedCleaned[[#This Row],[Overall_Rating]]="",
    "",
    --(tblMergedCleaned[[#This Row],[Overall_Rating]]&lt;=2)
)</f>
        <v>0</v>
      </c>
      <c r="AL270">
        <f>IF(
    tblMergedCleaned[[#This Row],[Definitely_Recommend_Pct]]="",
    "",
    --(tblMergedCleaned[[#This Row],[Definitely_Recommend_Pct]]&lt;TX_Median_Recommend)
)</f>
        <v>0</v>
      </c>
      <c r="AM270">
        <f>IF(
    tblMergedCleaned[[#This Row],[Readmission_Comparison]]="",
    "",
    --(tblMergedCleaned[[#This Row],[Readmission_Comparison]]="Worse")
)</f>
        <v>0</v>
      </c>
      <c r="AN270">
        <f>COUNT(
    tblMergedCleaned[[#This Row],[Low_Rating_Flag]:[Worse_Readmission_Flag]]
)</f>
        <v>3</v>
      </c>
      <c r="AO270">
        <f>SUM(
    tblMergedCleaned[[#This Row],[Low_Rating_Flag]:[Worse_Readmission_Flag]]
)</f>
        <v>0</v>
      </c>
      <c r="AP27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7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70" s="2">
        <f>IF(
    tblMergedCleaned[[#This Row],[Definitely_Recommend_Pct]]="",
    "",
    tblMergedCleaned[[#This Row],[Definitely_Recommend_Pct]]-TX_Median_Recommend
)</f>
        <v>11</v>
      </c>
      <c r="AS270" s="2">
        <f>IF(
    tblMergedCleaned[[#This Row],[Readmission_Rate_Pct]]="",
    "",
    tblMergedCleaned[[#This Row],[Readmission_Rate_Pct]]-TX_Median_Readmission
)</f>
        <v>-0.5</v>
      </c>
    </row>
    <row r="271" spans="1:45">
      <c r="A271" t="s">
        <v>1563</v>
      </c>
      <c r="B271" t="s">
        <v>1564</v>
      </c>
      <c r="C271" t="s">
        <v>1565</v>
      </c>
      <c r="D271" t="s">
        <v>1269</v>
      </c>
      <c r="E271" t="s">
        <v>18</v>
      </c>
      <c r="F271" t="s">
        <v>1270</v>
      </c>
      <c r="G271" t="s">
        <v>128</v>
      </c>
      <c r="H271" t="s">
        <v>1566</v>
      </c>
      <c r="I271" t="s">
        <v>21</v>
      </c>
      <c r="J271" t="s">
        <v>22</v>
      </c>
      <c r="K271" t="s">
        <v>23</v>
      </c>
      <c r="L271">
        <v>5</v>
      </c>
      <c r="M271" t="s">
        <v>168</v>
      </c>
      <c r="N271" t="s">
        <v>25</v>
      </c>
      <c r="O271" s="2">
        <v>78</v>
      </c>
      <c r="P271" s="2">
        <v>75</v>
      </c>
      <c r="Q271" s="2">
        <v>57</v>
      </c>
      <c r="R271" s="2">
        <v>87</v>
      </c>
      <c r="S271" s="2">
        <v>79</v>
      </c>
      <c r="T271" s="2">
        <v>80</v>
      </c>
      <c r="U271" t="s">
        <v>1875</v>
      </c>
      <c r="V271" s="2">
        <v>11</v>
      </c>
      <c r="W271" s="1">
        <v>45474</v>
      </c>
      <c r="X271" s="1">
        <v>45838</v>
      </c>
      <c r="Y271" s="2">
        <v>15.3</v>
      </c>
      <c r="Z271" t="s">
        <v>1884</v>
      </c>
      <c r="AA271">
        <v>176</v>
      </c>
      <c r="AB271" s="2">
        <v>13.8</v>
      </c>
      <c r="AC271" s="2">
        <v>17</v>
      </c>
      <c r="AD271" t="s">
        <v>25</v>
      </c>
      <c r="AE271" s="1">
        <v>45108</v>
      </c>
      <c r="AF271" s="1">
        <v>45473</v>
      </c>
      <c r="AG271" t="b">
        <v>1</v>
      </c>
      <c r="AH271" t="b">
        <v>1</v>
      </c>
      <c r="AI271" t="b">
        <v>1</v>
      </c>
      <c r="AJ271" t="str">
        <f>IF(tblMergedCleaned[[#This Row],[Overall_Rating]]=
    "",
    "Unavailable",
    IF(tblMergedCleaned[[#This Row],[Overall_Rating]]&lt;=
        2,
        "Low (1-2)",
        IF(tblMergedCleaned[[#This Row],[Overall_Rating]]=
            3,
            "Middle (3)",
            "High (4-5)"
        )
    )
)</f>
        <v>High (4-5)</v>
      </c>
      <c r="AK271" cm="1">
        <f t="array" ref="AK271">IF(
    tblMergedCleaned[[#This Row],[Overall_Rating]]="",
    "",
    --(tblMergedCleaned[[#This Row],[Overall_Rating]]&lt;=2)
)</f>
        <v>0</v>
      </c>
      <c r="AL271">
        <f>IF(
    tblMergedCleaned[[#This Row],[Definitely_Recommend_Pct]]="",
    "",
    --(tblMergedCleaned[[#This Row],[Definitely_Recommend_Pct]]&lt;TX_Median_Recommend)
)</f>
        <v>0</v>
      </c>
      <c r="AM271">
        <f>IF(
    tblMergedCleaned[[#This Row],[Readmission_Comparison]]="",
    "",
    --(tblMergedCleaned[[#This Row],[Readmission_Comparison]]="Worse")
)</f>
        <v>0</v>
      </c>
      <c r="AN271">
        <f>COUNT(
    tblMergedCleaned[[#This Row],[Low_Rating_Flag]:[Worse_Readmission_Flag]]
)</f>
        <v>3</v>
      </c>
      <c r="AO271">
        <f>SUM(
    tblMergedCleaned[[#This Row],[Low_Rating_Flag]:[Worse_Readmission_Flag]]
)</f>
        <v>0</v>
      </c>
      <c r="AP27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No flagged signals</v>
      </c>
      <c r="AQ27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Q4 - Highest</v>
      </c>
      <c r="AR271" s="2">
        <f>IF(
    tblMergedCleaned[[#This Row],[Definitely_Recommend_Pct]]="",
    "",
    tblMergedCleaned[[#This Row],[Definitely_Recommend_Pct]]-TX_Median_Recommend
)</f>
        <v>9</v>
      </c>
      <c r="AS271" s="2">
        <f>IF(
    tblMergedCleaned[[#This Row],[Readmission_Rate_Pct]]="",
    "",
    tblMergedCleaned[[#This Row],[Readmission_Rate_Pct]]-TX_Median_Readmission
)</f>
        <v>0.40000000000000036</v>
      </c>
    </row>
    <row r="272" spans="1:45">
      <c r="A272" t="s">
        <v>1567</v>
      </c>
      <c r="B272" t="s">
        <v>1568</v>
      </c>
      <c r="C272" t="s">
        <v>1569</v>
      </c>
      <c r="D272" t="s">
        <v>1078</v>
      </c>
      <c r="E272" t="s">
        <v>18</v>
      </c>
      <c r="F272" t="s">
        <v>1079</v>
      </c>
      <c r="G272" t="s">
        <v>535</v>
      </c>
      <c r="H272" t="s">
        <v>1570</v>
      </c>
      <c r="I272" t="s">
        <v>21</v>
      </c>
      <c r="J272" t="s">
        <v>22</v>
      </c>
      <c r="K272" t="s">
        <v>23</v>
      </c>
      <c r="M272" t="s">
        <v>176</v>
      </c>
      <c r="N272" t="s">
        <v>177</v>
      </c>
      <c r="U272" t="s">
        <v>176</v>
      </c>
      <c r="W272" s="1">
        <v>45474</v>
      </c>
      <c r="X272" s="1">
        <v>45838</v>
      </c>
      <c r="AD272" t="s">
        <v>322</v>
      </c>
      <c r="AE272" s="1">
        <v>45108</v>
      </c>
      <c r="AF272" s="1">
        <v>45473</v>
      </c>
      <c r="AG272" t="b">
        <v>0</v>
      </c>
      <c r="AH272" t="b">
        <v>0</v>
      </c>
      <c r="AI272" t="b">
        <v>0</v>
      </c>
      <c r="AJ272" t="str">
        <f>IF(tblMergedCleaned[[#This Row],[Overall_Rating]]=
    "",
    "Unavailable",
    IF(tblMergedCleaned[[#This Row],[Overall_Rating]]&lt;=
        2,
        "Low (1-2)",
        IF(tblMergedCleaned[[#This Row],[Overall_Rating]]=
            3,
            "Middle (3)",
            "High (4-5)"
        )
    )
)</f>
        <v>Unavailable</v>
      </c>
      <c r="AK272" t="str" cm="1">
        <f t="array" ref="AK272">IF(
    tblMergedCleaned[[#This Row],[Overall_Rating]]="",
    "",
    --(tblMergedCleaned[[#This Row],[Overall_Rating]]&lt;=2)
)</f>
        <v/>
      </c>
      <c r="AL272" t="str">
        <f>IF(
    tblMergedCleaned[[#This Row],[Definitely_Recommend_Pct]]="",
    "",
    --(tblMergedCleaned[[#This Row],[Definitely_Recommend_Pct]]&lt;TX_Median_Recommend)
)</f>
        <v/>
      </c>
      <c r="AM272" t="str">
        <f>IF(
    tblMergedCleaned[[#This Row],[Readmission_Comparison]]="",
    "",
    --(tblMergedCleaned[[#This Row],[Readmission_Comparison]]="Worse")
)</f>
        <v/>
      </c>
      <c r="AN272">
        <f>COUNT(
    tblMergedCleaned[[#This Row],[Low_Rating_Flag]:[Worse_Readmission_Flag]]
)</f>
        <v>0</v>
      </c>
      <c r="AO272">
        <f>SUM(
    tblMergedCleaned[[#This Row],[Low_Rating_Flag]:[Worse_Readmission_Flag]]
)</f>
        <v>0</v>
      </c>
      <c r="AP27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7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72" s="2" t="str">
        <f>IF(
    tblMergedCleaned[[#This Row],[Definitely_Recommend_Pct]]="",
    "",
    tblMergedCleaned[[#This Row],[Definitely_Recommend_Pct]]-TX_Median_Recommend
)</f>
        <v/>
      </c>
      <c r="AS272" s="2" t="str">
        <f>IF(
    tblMergedCleaned[[#This Row],[Readmission_Rate_Pct]]="",
    "",
    tblMergedCleaned[[#This Row],[Readmission_Rate_Pct]]-TX_Median_Readmission
)</f>
        <v/>
      </c>
    </row>
    <row r="273" spans="1:45">
      <c r="A273" t="s">
        <v>1571</v>
      </c>
      <c r="B273" t="s">
        <v>1572</v>
      </c>
      <c r="C273" t="s">
        <v>1573</v>
      </c>
      <c r="D273" t="s">
        <v>119</v>
      </c>
      <c r="E273" t="s">
        <v>18</v>
      </c>
      <c r="F273" t="s">
        <v>1574</v>
      </c>
      <c r="G273" t="s">
        <v>121</v>
      </c>
      <c r="H273" t="s">
        <v>1575</v>
      </c>
      <c r="I273" t="s">
        <v>21</v>
      </c>
      <c r="J273" t="s">
        <v>22</v>
      </c>
      <c r="K273" t="s">
        <v>23</v>
      </c>
      <c r="M273" t="s">
        <v>176</v>
      </c>
      <c r="N273" t="s">
        <v>168</v>
      </c>
      <c r="U273" t="s">
        <v>176</v>
      </c>
      <c r="W273" s="1">
        <v>45474</v>
      </c>
      <c r="X273" s="1">
        <v>45838</v>
      </c>
      <c r="AD273" t="s">
        <v>322</v>
      </c>
      <c r="AE273" s="1">
        <v>45108</v>
      </c>
      <c r="AF273" s="1">
        <v>45473</v>
      </c>
      <c r="AG273" t="b">
        <v>0</v>
      </c>
      <c r="AH273" t="b">
        <v>0</v>
      </c>
      <c r="AI273" t="b">
        <v>0</v>
      </c>
      <c r="AJ273" t="str">
        <f>IF(tblMergedCleaned[[#This Row],[Overall_Rating]]=
    "",
    "Unavailable",
    IF(tblMergedCleaned[[#This Row],[Overall_Rating]]&lt;=
        2,
        "Low (1-2)",
        IF(tblMergedCleaned[[#This Row],[Overall_Rating]]=
            3,
            "Middle (3)",
            "High (4-5)"
        )
    )
)</f>
        <v>Unavailable</v>
      </c>
      <c r="AK273" t="str" cm="1">
        <f t="array" ref="AK273">IF(
    tblMergedCleaned[[#This Row],[Overall_Rating]]="",
    "",
    --(tblMergedCleaned[[#This Row],[Overall_Rating]]&lt;=2)
)</f>
        <v/>
      </c>
      <c r="AL273" t="str">
        <f>IF(
    tblMergedCleaned[[#This Row],[Definitely_Recommend_Pct]]="",
    "",
    --(tblMergedCleaned[[#This Row],[Definitely_Recommend_Pct]]&lt;TX_Median_Recommend)
)</f>
        <v/>
      </c>
      <c r="AM273" t="str">
        <f>IF(
    tblMergedCleaned[[#This Row],[Readmission_Comparison]]="",
    "",
    --(tblMergedCleaned[[#This Row],[Readmission_Comparison]]="Worse")
)</f>
        <v/>
      </c>
      <c r="AN273">
        <f>COUNT(
    tblMergedCleaned[[#This Row],[Low_Rating_Flag]:[Worse_Readmission_Flag]]
)</f>
        <v>0</v>
      </c>
      <c r="AO273">
        <f>SUM(
    tblMergedCleaned[[#This Row],[Low_Rating_Flag]:[Worse_Readmission_Flag]]
)</f>
        <v>0</v>
      </c>
      <c r="AP27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7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73" s="2" t="str">
        <f>IF(
    tblMergedCleaned[[#This Row],[Definitely_Recommend_Pct]]="",
    "",
    tblMergedCleaned[[#This Row],[Definitely_Recommend_Pct]]-TX_Median_Recommend
)</f>
        <v/>
      </c>
      <c r="AS273" s="2" t="str">
        <f>IF(
    tblMergedCleaned[[#This Row],[Readmission_Rate_Pct]]="",
    "",
    tblMergedCleaned[[#This Row],[Readmission_Rate_Pct]]-TX_Median_Readmission
)</f>
        <v/>
      </c>
    </row>
    <row r="274" spans="1:45">
      <c r="A274" t="s">
        <v>1576</v>
      </c>
      <c r="B274" t="s">
        <v>1577</v>
      </c>
      <c r="C274" t="s">
        <v>1578</v>
      </c>
      <c r="D274" t="s">
        <v>53</v>
      </c>
      <c r="E274" t="s">
        <v>18</v>
      </c>
      <c r="F274" t="s">
        <v>675</v>
      </c>
      <c r="G274" t="s">
        <v>53</v>
      </c>
      <c r="H274" t="s">
        <v>1579</v>
      </c>
      <c r="I274" t="s">
        <v>21</v>
      </c>
      <c r="J274" t="s">
        <v>22</v>
      </c>
      <c r="K274" t="s">
        <v>23</v>
      </c>
      <c r="M274" t="s">
        <v>176</v>
      </c>
      <c r="N274" t="s">
        <v>177</v>
      </c>
      <c r="U274" t="s">
        <v>176</v>
      </c>
      <c r="W274" s="1">
        <v>45474</v>
      </c>
      <c r="X274" s="1">
        <v>45838</v>
      </c>
      <c r="AD274" t="s">
        <v>322</v>
      </c>
      <c r="AE274" s="1">
        <v>45108</v>
      </c>
      <c r="AF274" s="1">
        <v>45473</v>
      </c>
      <c r="AG274" t="b">
        <v>0</v>
      </c>
      <c r="AH274" t="b">
        <v>0</v>
      </c>
      <c r="AI274" t="b">
        <v>0</v>
      </c>
      <c r="AJ274" t="str">
        <f>IF(tblMergedCleaned[[#This Row],[Overall_Rating]]=
    "",
    "Unavailable",
    IF(tblMergedCleaned[[#This Row],[Overall_Rating]]&lt;=
        2,
        "Low (1-2)",
        IF(tblMergedCleaned[[#This Row],[Overall_Rating]]=
            3,
            "Middle (3)",
            "High (4-5)"
        )
    )
)</f>
        <v>Unavailable</v>
      </c>
      <c r="AK274" t="str" cm="1">
        <f t="array" ref="AK274">IF(
    tblMergedCleaned[[#This Row],[Overall_Rating]]="",
    "",
    --(tblMergedCleaned[[#This Row],[Overall_Rating]]&lt;=2)
)</f>
        <v/>
      </c>
      <c r="AL274" t="str">
        <f>IF(
    tblMergedCleaned[[#This Row],[Definitely_Recommend_Pct]]="",
    "",
    --(tblMergedCleaned[[#This Row],[Definitely_Recommend_Pct]]&lt;TX_Median_Recommend)
)</f>
        <v/>
      </c>
      <c r="AM274" t="str">
        <f>IF(
    tblMergedCleaned[[#This Row],[Readmission_Comparison]]="",
    "",
    --(tblMergedCleaned[[#This Row],[Readmission_Comparison]]="Worse")
)</f>
        <v/>
      </c>
      <c r="AN274">
        <f>COUNT(
    tblMergedCleaned[[#This Row],[Low_Rating_Flag]:[Worse_Readmission_Flag]]
)</f>
        <v>0</v>
      </c>
      <c r="AO274">
        <f>SUM(
    tblMergedCleaned[[#This Row],[Low_Rating_Flag]:[Worse_Readmission_Flag]]
)</f>
        <v>0</v>
      </c>
      <c r="AP27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7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74" s="2" t="str">
        <f>IF(
    tblMergedCleaned[[#This Row],[Definitely_Recommend_Pct]]="",
    "",
    tblMergedCleaned[[#This Row],[Definitely_Recommend_Pct]]-TX_Median_Recommend
)</f>
        <v/>
      </c>
      <c r="AS274" s="2" t="str">
        <f>IF(
    tblMergedCleaned[[#This Row],[Readmission_Rate_Pct]]="",
    "",
    tblMergedCleaned[[#This Row],[Readmission_Rate_Pct]]-TX_Median_Readmission
)</f>
        <v/>
      </c>
    </row>
    <row r="275" spans="1:45">
      <c r="A275" t="s">
        <v>1580</v>
      </c>
      <c r="B275" t="s">
        <v>1581</v>
      </c>
      <c r="C275" t="s">
        <v>1582</v>
      </c>
      <c r="D275" t="s">
        <v>847</v>
      </c>
      <c r="E275" t="s">
        <v>18</v>
      </c>
      <c r="F275" t="s">
        <v>848</v>
      </c>
      <c r="G275" t="s">
        <v>629</v>
      </c>
      <c r="H275" t="s">
        <v>1583</v>
      </c>
      <c r="I275" t="s">
        <v>21</v>
      </c>
      <c r="J275" t="s">
        <v>22</v>
      </c>
      <c r="K275" t="s">
        <v>23</v>
      </c>
      <c r="M275" t="s">
        <v>176</v>
      </c>
      <c r="N275" t="s">
        <v>177</v>
      </c>
      <c r="O275" s="2">
        <v>88</v>
      </c>
      <c r="P275" s="2">
        <v>78</v>
      </c>
      <c r="Q275" s="2">
        <v>68</v>
      </c>
      <c r="R275" s="2">
        <v>90</v>
      </c>
      <c r="S275" s="2">
        <v>77</v>
      </c>
      <c r="T275" s="2">
        <v>77</v>
      </c>
      <c r="U275" t="s">
        <v>1820</v>
      </c>
      <c r="V275" s="2">
        <v>26</v>
      </c>
      <c r="W275" s="1">
        <v>45474</v>
      </c>
      <c r="X275" s="1">
        <v>45838</v>
      </c>
      <c r="AD275" t="s">
        <v>322</v>
      </c>
      <c r="AE275" s="1">
        <v>45108</v>
      </c>
      <c r="AF275" s="1">
        <v>45473</v>
      </c>
      <c r="AG275" t="b">
        <v>0</v>
      </c>
      <c r="AH275" t="b">
        <v>1</v>
      </c>
      <c r="AI275" t="b">
        <v>0</v>
      </c>
      <c r="AJ275" t="str">
        <f>IF(tblMergedCleaned[[#This Row],[Overall_Rating]]=
    "",
    "Unavailable",
    IF(tblMergedCleaned[[#This Row],[Overall_Rating]]&lt;=
        2,
        "Low (1-2)",
        IF(tblMergedCleaned[[#This Row],[Overall_Rating]]=
            3,
            "Middle (3)",
            "High (4-5)"
        )
    )
)</f>
        <v>Unavailable</v>
      </c>
      <c r="AK275" t="str" cm="1">
        <f t="array" ref="AK275">IF(
    tblMergedCleaned[[#This Row],[Overall_Rating]]="",
    "",
    --(tblMergedCleaned[[#This Row],[Overall_Rating]]&lt;=2)
)</f>
        <v/>
      </c>
      <c r="AL275">
        <f>IF(
    tblMergedCleaned[[#This Row],[Definitely_Recommend_Pct]]="",
    "",
    --(tblMergedCleaned[[#This Row],[Definitely_Recommend_Pct]]&lt;TX_Median_Recommend)
)</f>
        <v>0</v>
      </c>
      <c r="AM275" t="str">
        <f>IF(
    tblMergedCleaned[[#This Row],[Readmission_Comparison]]="",
    "",
    --(tblMergedCleaned[[#This Row],[Readmission_Comparison]]="Worse")
)</f>
        <v/>
      </c>
      <c r="AN275">
        <f>COUNT(
    tblMergedCleaned[[#This Row],[Low_Rating_Flag]:[Worse_Readmission_Flag]]
)</f>
        <v>1</v>
      </c>
      <c r="AO275">
        <f>SUM(
    tblMergedCleaned[[#This Row],[Low_Rating_Flag]:[Worse_Readmission_Flag]]
)</f>
        <v>0</v>
      </c>
      <c r="AP27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7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Q3</v>
      </c>
      <c r="AR275" s="2">
        <f>IF(
    tblMergedCleaned[[#This Row],[Definitely_Recommend_Pct]]="",
    "",
    tblMergedCleaned[[#This Row],[Definitely_Recommend_Pct]]-TX_Median_Recommend
)</f>
        <v>6</v>
      </c>
      <c r="AS275" s="2" t="str">
        <f>IF(
    tblMergedCleaned[[#This Row],[Readmission_Rate_Pct]]="",
    "",
    tblMergedCleaned[[#This Row],[Readmission_Rate_Pct]]-TX_Median_Readmission
)</f>
        <v/>
      </c>
    </row>
    <row r="276" spans="1:45">
      <c r="A276" t="s">
        <v>1584</v>
      </c>
      <c r="B276" t="s">
        <v>1585</v>
      </c>
      <c r="C276" t="s">
        <v>1586</v>
      </c>
      <c r="D276" t="s">
        <v>991</v>
      </c>
      <c r="E276" t="s">
        <v>18</v>
      </c>
      <c r="F276" t="s">
        <v>992</v>
      </c>
      <c r="G276" t="s">
        <v>993</v>
      </c>
      <c r="H276" t="s">
        <v>1587</v>
      </c>
      <c r="I276" t="s">
        <v>21</v>
      </c>
      <c r="J276" t="s">
        <v>22</v>
      </c>
      <c r="K276" t="s">
        <v>302</v>
      </c>
      <c r="M276" t="s">
        <v>176</v>
      </c>
      <c r="N276" t="s">
        <v>168</v>
      </c>
      <c r="U276" t="s">
        <v>176</v>
      </c>
      <c r="W276" s="1">
        <v>45474</v>
      </c>
      <c r="X276" s="1">
        <v>45838</v>
      </c>
      <c r="AD276" t="s">
        <v>168</v>
      </c>
      <c r="AE276" s="1">
        <v>45108</v>
      </c>
      <c r="AF276" s="1">
        <v>45473</v>
      </c>
      <c r="AG276" t="b">
        <v>0</v>
      </c>
      <c r="AH276" t="b">
        <v>0</v>
      </c>
      <c r="AI276" t="b">
        <v>0</v>
      </c>
      <c r="AJ276" t="str">
        <f>IF(tblMergedCleaned[[#This Row],[Overall_Rating]]=
    "",
    "Unavailable",
    IF(tblMergedCleaned[[#This Row],[Overall_Rating]]&lt;=
        2,
        "Low (1-2)",
        IF(tblMergedCleaned[[#This Row],[Overall_Rating]]=
            3,
            "Middle (3)",
            "High (4-5)"
        )
    )
)</f>
        <v>Unavailable</v>
      </c>
      <c r="AK276" t="str" cm="1">
        <f t="array" ref="AK276">IF(
    tblMergedCleaned[[#This Row],[Overall_Rating]]="",
    "",
    --(tblMergedCleaned[[#This Row],[Overall_Rating]]&lt;=2)
)</f>
        <v/>
      </c>
      <c r="AL276" t="str">
        <f>IF(
    tblMergedCleaned[[#This Row],[Definitely_Recommend_Pct]]="",
    "",
    --(tblMergedCleaned[[#This Row],[Definitely_Recommend_Pct]]&lt;TX_Median_Recommend)
)</f>
        <v/>
      </c>
      <c r="AM276" t="str">
        <f>IF(
    tblMergedCleaned[[#This Row],[Readmission_Comparison]]="",
    "",
    --(tblMergedCleaned[[#This Row],[Readmission_Comparison]]="Worse")
)</f>
        <v/>
      </c>
      <c r="AN276">
        <f>COUNT(
    tblMergedCleaned[[#This Row],[Low_Rating_Flag]:[Worse_Readmission_Flag]]
)</f>
        <v>0</v>
      </c>
      <c r="AO276">
        <f>SUM(
    tblMergedCleaned[[#This Row],[Low_Rating_Flag]:[Worse_Readmission_Flag]]
)</f>
        <v>0</v>
      </c>
      <c r="AP27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7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76" s="2" t="str">
        <f>IF(
    tblMergedCleaned[[#This Row],[Definitely_Recommend_Pct]]="",
    "",
    tblMergedCleaned[[#This Row],[Definitely_Recommend_Pct]]-TX_Median_Recommend
)</f>
        <v/>
      </c>
      <c r="AS276" s="2" t="str">
        <f>IF(
    tblMergedCleaned[[#This Row],[Readmission_Rate_Pct]]="",
    "",
    tblMergedCleaned[[#This Row],[Readmission_Rate_Pct]]-TX_Median_Readmission
)</f>
        <v/>
      </c>
    </row>
    <row r="277" spans="1:45">
      <c r="A277" t="s">
        <v>1588</v>
      </c>
      <c r="B277" t="s">
        <v>1589</v>
      </c>
      <c r="C277" t="s">
        <v>1590</v>
      </c>
      <c r="D277" t="s">
        <v>133</v>
      </c>
      <c r="E277" t="s">
        <v>18</v>
      </c>
      <c r="F277" t="s">
        <v>1591</v>
      </c>
      <c r="G277" t="s">
        <v>133</v>
      </c>
      <c r="H277" t="s">
        <v>1592</v>
      </c>
      <c r="I277" t="s">
        <v>21</v>
      </c>
      <c r="J277" t="s">
        <v>22</v>
      </c>
      <c r="K277" t="s">
        <v>23</v>
      </c>
      <c r="M277" t="s">
        <v>176</v>
      </c>
      <c r="N277" t="s">
        <v>1500</v>
      </c>
      <c r="U277" t="s">
        <v>176</v>
      </c>
      <c r="W277" s="1">
        <v>45474</v>
      </c>
      <c r="X277" s="1">
        <v>45838</v>
      </c>
      <c r="AD277" t="s">
        <v>1500</v>
      </c>
      <c r="AE277" s="1">
        <v>45108</v>
      </c>
      <c r="AF277" s="1">
        <v>45473</v>
      </c>
      <c r="AG277" t="b">
        <v>0</v>
      </c>
      <c r="AH277" t="b">
        <v>0</v>
      </c>
      <c r="AI277" t="b">
        <v>0</v>
      </c>
      <c r="AJ277" t="str">
        <f>IF(tblMergedCleaned[[#This Row],[Overall_Rating]]=
    "",
    "Unavailable",
    IF(tblMergedCleaned[[#This Row],[Overall_Rating]]&lt;=
        2,
        "Low (1-2)",
        IF(tblMergedCleaned[[#This Row],[Overall_Rating]]=
            3,
            "Middle (3)",
            "High (4-5)"
        )
    )
)</f>
        <v>Unavailable</v>
      </c>
      <c r="AK277" t="str" cm="1">
        <f t="array" ref="AK277">IF(
    tblMergedCleaned[[#This Row],[Overall_Rating]]="",
    "",
    --(tblMergedCleaned[[#This Row],[Overall_Rating]]&lt;=2)
)</f>
        <v/>
      </c>
      <c r="AL277" t="str">
        <f>IF(
    tblMergedCleaned[[#This Row],[Definitely_Recommend_Pct]]="",
    "",
    --(tblMergedCleaned[[#This Row],[Definitely_Recommend_Pct]]&lt;TX_Median_Recommend)
)</f>
        <v/>
      </c>
      <c r="AM277" t="str">
        <f>IF(
    tblMergedCleaned[[#This Row],[Readmission_Comparison]]="",
    "",
    --(tblMergedCleaned[[#This Row],[Readmission_Comparison]]="Worse")
)</f>
        <v/>
      </c>
      <c r="AN277">
        <f>COUNT(
    tblMergedCleaned[[#This Row],[Low_Rating_Flag]:[Worse_Readmission_Flag]]
)</f>
        <v>0</v>
      </c>
      <c r="AO277">
        <f>SUM(
    tblMergedCleaned[[#This Row],[Low_Rating_Flag]:[Worse_Readmission_Flag]]
)</f>
        <v>0</v>
      </c>
      <c r="AP277"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77"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77" s="2" t="str">
        <f>IF(
    tblMergedCleaned[[#This Row],[Definitely_Recommend_Pct]]="",
    "",
    tblMergedCleaned[[#This Row],[Definitely_Recommend_Pct]]-TX_Median_Recommend
)</f>
        <v/>
      </c>
      <c r="AS277" s="2" t="str">
        <f>IF(
    tblMergedCleaned[[#This Row],[Readmission_Rate_Pct]]="",
    "",
    tblMergedCleaned[[#This Row],[Readmission_Rate_Pct]]-TX_Median_Readmission
)</f>
        <v/>
      </c>
    </row>
    <row r="278" spans="1:45">
      <c r="A278" t="s">
        <v>1593</v>
      </c>
      <c r="B278" t="s">
        <v>1594</v>
      </c>
      <c r="C278" t="s">
        <v>1595</v>
      </c>
      <c r="D278" t="s">
        <v>1596</v>
      </c>
      <c r="E278" t="s">
        <v>18</v>
      </c>
      <c r="F278" t="s">
        <v>1597</v>
      </c>
      <c r="G278" t="s">
        <v>1596</v>
      </c>
      <c r="H278" t="s">
        <v>1598</v>
      </c>
      <c r="I278" t="s">
        <v>21</v>
      </c>
      <c r="J278" t="s">
        <v>75</v>
      </c>
      <c r="K278" t="s">
        <v>23</v>
      </c>
      <c r="M278" t="s">
        <v>176</v>
      </c>
      <c r="N278" t="s">
        <v>168</v>
      </c>
      <c r="U278" t="s">
        <v>176</v>
      </c>
      <c r="W278" s="1">
        <v>45474</v>
      </c>
      <c r="X278" s="1">
        <v>45838</v>
      </c>
      <c r="AD278" t="s">
        <v>168</v>
      </c>
      <c r="AE278" s="1">
        <v>45108</v>
      </c>
      <c r="AF278" s="1">
        <v>45473</v>
      </c>
      <c r="AG278" t="b">
        <v>0</v>
      </c>
      <c r="AH278" t="b">
        <v>0</v>
      </c>
      <c r="AI278" t="b">
        <v>0</v>
      </c>
      <c r="AJ278" t="str">
        <f>IF(tblMergedCleaned[[#This Row],[Overall_Rating]]=
    "",
    "Unavailable",
    IF(tblMergedCleaned[[#This Row],[Overall_Rating]]&lt;=
        2,
        "Low (1-2)",
        IF(tblMergedCleaned[[#This Row],[Overall_Rating]]=
            3,
            "Middle (3)",
            "High (4-5)"
        )
    )
)</f>
        <v>Unavailable</v>
      </c>
      <c r="AK278" t="str" cm="1">
        <f t="array" ref="AK278">IF(
    tblMergedCleaned[[#This Row],[Overall_Rating]]="",
    "",
    --(tblMergedCleaned[[#This Row],[Overall_Rating]]&lt;=2)
)</f>
        <v/>
      </c>
      <c r="AL278" t="str">
        <f>IF(
    tblMergedCleaned[[#This Row],[Definitely_Recommend_Pct]]="",
    "",
    --(tblMergedCleaned[[#This Row],[Definitely_Recommend_Pct]]&lt;TX_Median_Recommend)
)</f>
        <v/>
      </c>
      <c r="AM278" t="str">
        <f>IF(
    tblMergedCleaned[[#This Row],[Readmission_Comparison]]="",
    "",
    --(tblMergedCleaned[[#This Row],[Readmission_Comparison]]="Worse")
)</f>
        <v/>
      </c>
      <c r="AN278">
        <f>COUNT(
    tblMergedCleaned[[#This Row],[Low_Rating_Flag]:[Worse_Readmission_Flag]]
)</f>
        <v>0</v>
      </c>
      <c r="AO278">
        <f>SUM(
    tblMergedCleaned[[#This Row],[Low_Rating_Flag]:[Worse_Readmission_Flag]]
)</f>
        <v>0</v>
      </c>
      <c r="AP278"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78"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78" s="2" t="str">
        <f>IF(
    tblMergedCleaned[[#This Row],[Definitely_Recommend_Pct]]="",
    "",
    tblMergedCleaned[[#This Row],[Definitely_Recommend_Pct]]-TX_Median_Recommend
)</f>
        <v/>
      </c>
      <c r="AS278" s="2" t="str">
        <f>IF(
    tblMergedCleaned[[#This Row],[Readmission_Rate_Pct]]="",
    "",
    tblMergedCleaned[[#This Row],[Readmission_Rate_Pct]]-TX_Median_Readmission
)</f>
        <v/>
      </c>
    </row>
    <row r="279" spans="1:45">
      <c r="A279" t="s">
        <v>1599</v>
      </c>
      <c r="B279" t="s">
        <v>1600</v>
      </c>
      <c r="C279" t="s">
        <v>1601</v>
      </c>
      <c r="D279" t="s">
        <v>188</v>
      </c>
      <c r="E279" t="s">
        <v>18</v>
      </c>
      <c r="F279" t="s">
        <v>491</v>
      </c>
      <c r="G279" t="s">
        <v>190</v>
      </c>
      <c r="H279" t="s">
        <v>1602</v>
      </c>
      <c r="I279" t="s">
        <v>21</v>
      </c>
      <c r="J279" t="s">
        <v>22</v>
      </c>
      <c r="K279" t="s">
        <v>23</v>
      </c>
      <c r="M279" t="s">
        <v>176</v>
      </c>
      <c r="N279" t="s">
        <v>168</v>
      </c>
      <c r="U279" t="s">
        <v>176</v>
      </c>
      <c r="W279" s="1">
        <v>45474</v>
      </c>
      <c r="X279" s="1">
        <v>45838</v>
      </c>
      <c r="AD279" t="s">
        <v>168</v>
      </c>
      <c r="AE279" s="1">
        <v>45108</v>
      </c>
      <c r="AF279" s="1">
        <v>45473</v>
      </c>
      <c r="AG279" t="b">
        <v>0</v>
      </c>
      <c r="AH279" t="b">
        <v>0</v>
      </c>
      <c r="AI279" t="b">
        <v>0</v>
      </c>
      <c r="AJ279" t="str">
        <f>IF(tblMergedCleaned[[#This Row],[Overall_Rating]]=
    "",
    "Unavailable",
    IF(tblMergedCleaned[[#This Row],[Overall_Rating]]&lt;=
        2,
        "Low (1-2)",
        IF(tblMergedCleaned[[#This Row],[Overall_Rating]]=
            3,
            "Middle (3)",
            "High (4-5)"
        )
    )
)</f>
        <v>Unavailable</v>
      </c>
      <c r="AK279" t="str" cm="1">
        <f t="array" ref="AK279">IF(
    tblMergedCleaned[[#This Row],[Overall_Rating]]="",
    "",
    --(tblMergedCleaned[[#This Row],[Overall_Rating]]&lt;=2)
)</f>
        <v/>
      </c>
      <c r="AL279" t="str">
        <f>IF(
    tblMergedCleaned[[#This Row],[Definitely_Recommend_Pct]]="",
    "",
    --(tblMergedCleaned[[#This Row],[Definitely_Recommend_Pct]]&lt;TX_Median_Recommend)
)</f>
        <v/>
      </c>
      <c r="AM279" t="str">
        <f>IF(
    tblMergedCleaned[[#This Row],[Readmission_Comparison]]="",
    "",
    --(tblMergedCleaned[[#This Row],[Readmission_Comparison]]="Worse")
)</f>
        <v/>
      </c>
      <c r="AN279">
        <f>COUNT(
    tblMergedCleaned[[#This Row],[Low_Rating_Flag]:[Worse_Readmission_Flag]]
)</f>
        <v>0</v>
      </c>
      <c r="AO279">
        <f>SUM(
    tblMergedCleaned[[#This Row],[Low_Rating_Flag]:[Worse_Readmission_Flag]]
)</f>
        <v>0</v>
      </c>
      <c r="AP279"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79"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79" s="2" t="str">
        <f>IF(
    tblMergedCleaned[[#This Row],[Definitely_Recommend_Pct]]="",
    "",
    tblMergedCleaned[[#This Row],[Definitely_Recommend_Pct]]-TX_Median_Recommend
)</f>
        <v/>
      </c>
      <c r="AS279" s="2" t="str">
        <f>IF(
    tblMergedCleaned[[#This Row],[Readmission_Rate_Pct]]="",
    "",
    tblMergedCleaned[[#This Row],[Readmission_Rate_Pct]]-TX_Median_Readmission
)</f>
        <v/>
      </c>
    </row>
    <row r="280" spans="1:45">
      <c r="A280" t="s">
        <v>1603</v>
      </c>
      <c r="B280" t="s">
        <v>1604</v>
      </c>
      <c r="C280" t="s">
        <v>1605</v>
      </c>
      <c r="D280" t="s">
        <v>188</v>
      </c>
      <c r="E280" t="s">
        <v>18</v>
      </c>
      <c r="F280" t="s">
        <v>455</v>
      </c>
      <c r="G280" t="s">
        <v>190</v>
      </c>
      <c r="H280" t="s">
        <v>1606</v>
      </c>
      <c r="I280" t="s">
        <v>21</v>
      </c>
      <c r="J280" t="s">
        <v>63</v>
      </c>
      <c r="K280" t="s">
        <v>302</v>
      </c>
      <c r="M280" t="s">
        <v>176</v>
      </c>
      <c r="N280" t="s">
        <v>168</v>
      </c>
      <c r="U280" t="s">
        <v>176</v>
      </c>
      <c r="W280" s="1">
        <v>45474</v>
      </c>
      <c r="X280" s="1">
        <v>45838</v>
      </c>
      <c r="AD280" t="s">
        <v>168</v>
      </c>
      <c r="AE280" s="1">
        <v>45108</v>
      </c>
      <c r="AF280" s="1">
        <v>45473</v>
      </c>
      <c r="AG280" t="b">
        <v>0</v>
      </c>
      <c r="AH280" t="b">
        <v>0</v>
      </c>
      <c r="AI280" t="b">
        <v>0</v>
      </c>
      <c r="AJ280" t="str">
        <f>IF(tblMergedCleaned[[#This Row],[Overall_Rating]]=
    "",
    "Unavailable",
    IF(tblMergedCleaned[[#This Row],[Overall_Rating]]&lt;=
        2,
        "Low (1-2)",
        IF(tblMergedCleaned[[#This Row],[Overall_Rating]]=
            3,
            "Middle (3)",
            "High (4-5)"
        )
    )
)</f>
        <v>Unavailable</v>
      </c>
      <c r="AK280" t="str" cm="1">
        <f t="array" ref="AK280">IF(
    tblMergedCleaned[[#This Row],[Overall_Rating]]="",
    "",
    --(tblMergedCleaned[[#This Row],[Overall_Rating]]&lt;=2)
)</f>
        <v/>
      </c>
      <c r="AL280" t="str">
        <f>IF(
    tblMergedCleaned[[#This Row],[Definitely_Recommend_Pct]]="",
    "",
    --(tblMergedCleaned[[#This Row],[Definitely_Recommend_Pct]]&lt;TX_Median_Recommend)
)</f>
        <v/>
      </c>
      <c r="AM280" t="str">
        <f>IF(
    tblMergedCleaned[[#This Row],[Readmission_Comparison]]="",
    "",
    --(tblMergedCleaned[[#This Row],[Readmission_Comparison]]="Worse")
)</f>
        <v/>
      </c>
      <c r="AN280">
        <f>COUNT(
    tblMergedCleaned[[#This Row],[Low_Rating_Flag]:[Worse_Readmission_Flag]]
)</f>
        <v>0</v>
      </c>
      <c r="AO280">
        <f>SUM(
    tblMergedCleaned[[#This Row],[Low_Rating_Flag]:[Worse_Readmission_Flag]]
)</f>
        <v>0</v>
      </c>
      <c r="AP280"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80"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80" s="2" t="str">
        <f>IF(
    tblMergedCleaned[[#This Row],[Definitely_Recommend_Pct]]="",
    "",
    tblMergedCleaned[[#This Row],[Definitely_Recommend_Pct]]-TX_Median_Recommend
)</f>
        <v/>
      </c>
      <c r="AS280" s="2" t="str">
        <f>IF(
    tblMergedCleaned[[#This Row],[Readmission_Rate_Pct]]="",
    "",
    tblMergedCleaned[[#This Row],[Readmission_Rate_Pct]]-TX_Median_Readmission
)</f>
        <v/>
      </c>
    </row>
    <row r="281" spans="1:45">
      <c r="A281" t="s">
        <v>1607</v>
      </c>
      <c r="B281" t="s">
        <v>1608</v>
      </c>
      <c r="C281" t="s">
        <v>1609</v>
      </c>
      <c r="D281" t="s">
        <v>188</v>
      </c>
      <c r="E281" t="s">
        <v>18</v>
      </c>
      <c r="F281" t="s">
        <v>1610</v>
      </c>
      <c r="G281" t="s">
        <v>190</v>
      </c>
      <c r="H281" t="s">
        <v>1611</v>
      </c>
      <c r="I281" t="s">
        <v>21</v>
      </c>
      <c r="J281" t="s">
        <v>22</v>
      </c>
      <c r="K281" t="s">
        <v>23</v>
      </c>
      <c r="M281" t="s">
        <v>176</v>
      </c>
      <c r="N281" t="s">
        <v>1500</v>
      </c>
      <c r="U281" t="s">
        <v>176</v>
      </c>
      <c r="W281" s="1">
        <v>45474</v>
      </c>
      <c r="X281" s="1">
        <v>45838</v>
      </c>
      <c r="AD281" t="s">
        <v>1500</v>
      </c>
      <c r="AE281" s="1">
        <v>45108</v>
      </c>
      <c r="AF281" s="1">
        <v>45473</v>
      </c>
      <c r="AG281" t="b">
        <v>0</v>
      </c>
      <c r="AH281" t="b">
        <v>0</v>
      </c>
      <c r="AI281" t="b">
        <v>0</v>
      </c>
      <c r="AJ281" t="str">
        <f>IF(tblMergedCleaned[[#This Row],[Overall_Rating]]=
    "",
    "Unavailable",
    IF(tblMergedCleaned[[#This Row],[Overall_Rating]]&lt;=
        2,
        "Low (1-2)",
        IF(tblMergedCleaned[[#This Row],[Overall_Rating]]=
            3,
            "Middle (3)",
            "High (4-5)"
        )
    )
)</f>
        <v>Unavailable</v>
      </c>
      <c r="AK281" t="str" cm="1">
        <f t="array" ref="AK281">IF(
    tblMergedCleaned[[#This Row],[Overall_Rating]]="",
    "",
    --(tblMergedCleaned[[#This Row],[Overall_Rating]]&lt;=2)
)</f>
        <v/>
      </c>
      <c r="AL281" t="str">
        <f>IF(
    tblMergedCleaned[[#This Row],[Definitely_Recommend_Pct]]="",
    "",
    --(tblMergedCleaned[[#This Row],[Definitely_Recommend_Pct]]&lt;TX_Median_Recommend)
)</f>
        <v/>
      </c>
      <c r="AM281" t="str">
        <f>IF(
    tblMergedCleaned[[#This Row],[Readmission_Comparison]]="",
    "",
    --(tblMergedCleaned[[#This Row],[Readmission_Comparison]]="Worse")
)</f>
        <v/>
      </c>
      <c r="AN281">
        <f>COUNT(
    tblMergedCleaned[[#This Row],[Low_Rating_Flag]:[Worse_Readmission_Flag]]
)</f>
        <v>0</v>
      </c>
      <c r="AO281">
        <f>SUM(
    tblMergedCleaned[[#This Row],[Low_Rating_Flag]:[Worse_Readmission_Flag]]
)</f>
        <v>0</v>
      </c>
      <c r="AP281"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81"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81" s="2" t="str">
        <f>IF(
    tblMergedCleaned[[#This Row],[Definitely_Recommend_Pct]]="",
    "",
    tblMergedCleaned[[#This Row],[Definitely_Recommend_Pct]]-TX_Median_Recommend
)</f>
        <v/>
      </c>
      <c r="AS281" s="2" t="str">
        <f>IF(
    tblMergedCleaned[[#This Row],[Readmission_Rate_Pct]]="",
    "",
    tblMergedCleaned[[#This Row],[Readmission_Rate_Pct]]-TX_Median_Readmission
)</f>
        <v/>
      </c>
    </row>
    <row r="282" spans="1:45">
      <c r="A282" t="s">
        <v>1612</v>
      </c>
      <c r="B282" t="s">
        <v>1613</v>
      </c>
      <c r="C282" t="s">
        <v>1614</v>
      </c>
      <c r="D282" t="s">
        <v>1615</v>
      </c>
      <c r="E282" t="s">
        <v>18</v>
      </c>
      <c r="F282" t="s">
        <v>1616</v>
      </c>
      <c r="G282" t="s">
        <v>629</v>
      </c>
      <c r="H282" t="s">
        <v>1617</v>
      </c>
      <c r="I282" t="s">
        <v>21</v>
      </c>
      <c r="J282" t="s">
        <v>33</v>
      </c>
      <c r="K282" t="s">
        <v>23</v>
      </c>
      <c r="M282" t="s">
        <v>176</v>
      </c>
      <c r="N282" t="s">
        <v>168</v>
      </c>
      <c r="U282" t="s">
        <v>176</v>
      </c>
      <c r="W282" s="1">
        <v>45474</v>
      </c>
      <c r="X282" s="1">
        <v>45838</v>
      </c>
      <c r="AD282" t="s">
        <v>168</v>
      </c>
      <c r="AE282" s="1">
        <v>45108</v>
      </c>
      <c r="AF282" s="1">
        <v>45473</v>
      </c>
      <c r="AG282" t="b">
        <v>0</v>
      </c>
      <c r="AH282" t="b">
        <v>0</v>
      </c>
      <c r="AI282" t="b">
        <v>0</v>
      </c>
      <c r="AJ282" t="str">
        <f>IF(tblMergedCleaned[[#This Row],[Overall_Rating]]=
    "",
    "Unavailable",
    IF(tblMergedCleaned[[#This Row],[Overall_Rating]]&lt;=
        2,
        "Low (1-2)",
        IF(tblMergedCleaned[[#This Row],[Overall_Rating]]=
            3,
            "Middle (3)",
            "High (4-5)"
        )
    )
)</f>
        <v>Unavailable</v>
      </c>
      <c r="AK282" t="str" cm="1">
        <f t="array" ref="AK282">IF(
    tblMergedCleaned[[#This Row],[Overall_Rating]]="",
    "",
    --(tblMergedCleaned[[#This Row],[Overall_Rating]]&lt;=2)
)</f>
        <v/>
      </c>
      <c r="AL282" t="str">
        <f>IF(
    tblMergedCleaned[[#This Row],[Definitely_Recommend_Pct]]="",
    "",
    --(tblMergedCleaned[[#This Row],[Definitely_Recommend_Pct]]&lt;TX_Median_Recommend)
)</f>
        <v/>
      </c>
      <c r="AM282" t="str">
        <f>IF(
    tblMergedCleaned[[#This Row],[Readmission_Comparison]]="",
    "",
    --(tblMergedCleaned[[#This Row],[Readmission_Comparison]]="Worse")
)</f>
        <v/>
      </c>
      <c r="AN282">
        <f>COUNT(
    tblMergedCleaned[[#This Row],[Low_Rating_Flag]:[Worse_Readmission_Flag]]
)</f>
        <v>0</v>
      </c>
      <c r="AO282">
        <f>SUM(
    tblMergedCleaned[[#This Row],[Low_Rating_Flag]:[Worse_Readmission_Flag]]
)</f>
        <v>0</v>
      </c>
      <c r="AP282"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82"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82" s="2" t="str">
        <f>IF(
    tblMergedCleaned[[#This Row],[Definitely_Recommend_Pct]]="",
    "",
    tblMergedCleaned[[#This Row],[Definitely_Recommend_Pct]]-TX_Median_Recommend
)</f>
        <v/>
      </c>
      <c r="AS282" s="2" t="str">
        <f>IF(
    tblMergedCleaned[[#This Row],[Readmission_Rate_Pct]]="",
    "",
    tblMergedCleaned[[#This Row],[Readmission_Rate_Pct]]-TX_Median_Readmission
)</f>
        <v/>
      </c>
    </row>
    <row r="283" spans="1:45">
      <c r="A283" t="s">
        <v>1618</v>
      </c>
      <c r="B283" t="s">
        <v>1619</v>
      </c>
      <c r="C283" t="s">
        <v>1620</v>
      </c>
      <c r="D283" t="s">
        <v>1621</v>
      </c>
      <c r="E283" t="s">
        <v>18</v>
      </c>
      <c r="F283" t="s">
        <v>1622</v>
      </c>
      <c r="G283" t="s">
        <v>121</v>
      </c>
      <c r="H283" t="s">
        <v>1623</v>
      </c>
      <c r="I283" t="s">
        <v>21</v>
      </c>
      <c r="J283" t="s">
        <v>33</v>
      </c>
      <c r="K283" t="s">
        <v>23</v>
      </c>
      <c r="M283" t="s">
        <v>176</v>
      </c>
      <c r="N283" t="s">
        <v>168</v>
      </c>
      <c r="U283" t="s">
        <v>176</v>
      </c>
      <c r="W283" s="1">
        <v>45474</v>
      </c>
      <c r="X283" s="1">
        <v>45838</v>
      </c>
      <c r="AD283" t="s">
        <v>168</v>
      </c>
      <c r="AE283" s="1">
        <v>45108</v>
      </c>
      <c r="AF283" s="1">
        <v>45473</v>
      </c>
      <c r="AG283" t="b">
        <v>0</v>
      </c>
      <c r="AH283" t="b">
        <v>0</v>
      </c>
      <c r="AI283" t="b">
        <v>0</v>
      </c>
      <c r="AJ283" t="str">
        <f>IF(tblMergedCleaned[[#This Row],[Overall_Rating]]=
    "",
    "Unavailable",
    IF(tblMergedCleaned[[#This Row],[Overall_Rating]]&lt;=
        2,
        "Low (1-2)",
        IF(tblMergedCleaned[[#This Row],[Overall_Rating]]=
            3,
            "Middle (3)",
            "High (4-5)"
        )
    )
)</f>
        <v>Unavailable</v>
      </c>
      <c r="AK283" t="str" cm="1">
        <f t="array" ref="AK283">IF(
    tblMergedCleaned[[#This Row],[Overall_Rating]]="",
    "",
    --(tblMergedCleaned[[#This Row],[Overall_Rating]]&lt;=2)
)</f>
        <v/>
      </c>
      <c r="AL283" t="str">
        <f>IF(
    tblMergedCleaned[[#This Row],[Definitely_Recommend_Pct]]="",
    "",
    --(tblMergedCleaned[[#This Row],[Definitely_Recommend_Pct]]&lt;TX_Median_Recommend)
)</f>
        <v/>
      </c>
      <c r="AM283" t="str">
        <f>IF(
    tblMergedCleaned[[#This Row],[Readmission_Comparison]]="",
    "",
    --(tblMergedCleaned[[#This Row],[Readmission_Comparison]]="Worse")
)</f>
        <v/>
      </c>
      <c r="AN283">
        <f>COUNT(
    tblMergedCleaned[[#This Row],[Low_Rating_Flag]:[Worse_Readmission_Flag]]
)</f>
        <v>0</v>
      </c>
      <c r="AO283">
        <f>SUM(
    tblMergedCleaned[[#This Row],[Low_Rating_Flag]:[Worse_Readmission_Flag]]
)</f>
        <v>0</v>
      </c>
      <c r="AP283"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83"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83" s="2" t="str">
        <f>IF(
    tblMergedCleaned[[#This Row],[Definitely_Recommend_Pct]]="",
    "",
    tblMergedCleaned[[#This Row],[Definitely_Recommend_Pct]]-TX_Median_Recommend
)</f>
        <v/>
      </c>
      <c r="AS283" s="2" t="str">
        <f>IF(
    tblMergedCleaned[[#This Row],[Readmission_Rate_Pct]]="",
    "",
    tblMergedCleaned[[#This Row],[Readmission_Rate_Pct]]-TX_Median_Readmission
)</f>
        <v/>
      </c>
    </row>
    <row r="284" spans="1:45">
      <c r="A284" t="s">
        <v>1624</v>
      </c>
      <c r="B284" t="s">
        <v>1625</v>
      </c>
      <c r="C284" t="s">
        <v>1626</v>
      </c>
      <c r="D284" t="s">
        <v>1627</v>
      </c>
      <c r="E284" t="s">
        <v>18</v>
      </c>
      <c r="F284" t="s">
        <v>1628</v>
      </c>
      <c r="G284" t="s">
        <v>1629</v>
      </c>
      <c r="H284" t="s">
        <v>1630</v>
      </c>
      <c r="I284" t="s">
        <v>21</v>
      </c>
      <c r="J284" t="s">
        <v>33</v>
      </c>
      <c r="K284" t="s">
        <v>23</v>
      </c>
      <c r="M284" t="s">
        <v>176</v>
      </c>
      <c r="N284" t="s">
        <v>168</v>
      </c>
      <c r="U284" t="s">
        <v>176</v>
      </c>
      <c r="W284" s="1">
        <v>45474</v>
      </c>
      <c r="X284" s="1">
        <v>45838</v>
      </c>
      <c r="AD284" t="s">
        <v>168</v>
      </c>
      <c r="AE284" s="1">
        <v>45108</v>
      </c>
      <c r="AF284" s="1">
        <v>45473</v>
      </c>
      <c r="AG284" t="b">
        <v>0</v>
      </c>
      <c r="AH284" t="b">
        <v>0</v>
      </c>
      <c r="AI284" t="b">
        <v>0</v>
      </c>
      <c r="AJ284" t="str">
        <f>IF(tblMergedCleaned[[#This Row],[Overall_Rating]]=
    "",
    "Unavailable",
    IF(tblMergedCleaned[[#This Row],[Overall_Rating]]&lt;=
        2,
        "Low (1-2)",
        IF(tblMergedCleaned[[#This Row],[Overall_Rating]]=
            3,
            "Middle (3)",
            "High (4-5)"
        )
    )
)</f>
        <v>Unavailable</v>
      </c>
      <c r="AK284" t="str" cm="1">
        <f t="array" ref="AK284">IF(
    tblMergedCleaned[[#This Row],[Overall_Rating]]="",
    "",
    --(tblMergedCleaned[[#This Row],[Overall_Rating]]&lt;=2)
)</f>
        <v/>
      </c>
      <c r="AL284" t="str">
        <f>IF(
    tblMergedCleaned[[#This Row],[Definitely_Recommend_Pct]]="",
    "",
    --(tblMergedCleaned[[#This Row],[Definitely_Recommend_Pct]]&lt;TX_Median_Recommend)
)</f>
        <v/>
      </c>
      <c r="AM284" t="str">
        <f>IF(
    tblMergedCleaned[[#This Row],[Readmission_Comparison]]="",
    "",
    --(tblMergedCleaned[[#This Row],[Readmission_Comparison]]="Worse")
)</f>
        <v/>
      </c>
      <c r="AN284">
        <f>COUNT(
    tblMergedCleaned[[#This Row],[Low_Rating_Flag]:[Worse_Readmission_Flag]]
)</f>
        <v>0</v>
      </c>
      <c r="AO284">
        <f>SUM(
    tblMergedCleaned[[#This Row],[Low_Rating_Flag]:[Worse_Readmission_Flag]]
)</f>
        <v>0</v>
      </c>
      <c r="AP284"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84"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84" s="2" t="str">
        <f>IF(
    tblMergedCleaned[[#This Row],[Definitely_Recommend_Pct]]="",
    "",
    tblMergedCleaned[[#This Row],[Definitely_Recommend_Pct]]-TX_Median_Recommend
)</f>
        <v/>
      </c>
      <c r="AS284" s="2" t="str">
        <f>IF(
    tblMergedCleaned[[#This Row],[Readmission_Rate_Pct]]="",
    "",
    tblMergedCleaned[[#This Row],[Readmission_Rate_Pct]]-TX_Median_Readmission
)</f>
        <v/>
      </c>
    </row>
    <row r="285" spans="1:45">
      <c r="A285" t="s">
        <v>1631</v>
      </c>
      <c r="B285" t="s">
        <v>1632</v>
      </c>
      <c r="C285" t="s">
        <v>1633</v>
      </c>
      <c r="D285" t="s">
        <v>903</v>
      </c>
      <c r="E285" t="s">
        <v>18</v>
      </c>
      <c r="F285" t="s">
        <v>904</v>
      </c>
      <c r="G285" t="s">
        <v>121</v>
      </c>
      <c r="H285" t="s">
        <v>1634</v>
      </c>
      <c r="I285" t="s">
        <v>21</v>
      </c>
      <c r="J285" t="s">
        <v>81</v>
      </c>
      <c r="K285" t="s">
        <v>302</v>
      </c>
      <c r="M285" t="s">
        <v>176</v>
      </c>
      <c r="N285" t="s">
        <v>168</v>
      </c>
      <c r="U285" t="s">
        <v>176</v>
      </c>
      <c r="W285" s="1">
        <v>45474</v>
      </c>
      <c r="X285" s="1">
        <v>45838</v>
      </c>
      <c r="AD285" t="s">
        <v>168</v>
      </c>
      <c r="AE285" s="1">
        <v>45108</v>
      </c>
      <c r="AF285" s="1">
        <v>45473</v>
      </c>
      <c r="AG285" t="b">
        <v>0</v>
      </c>
      <c r="AH285" t="b">
        <v>0</v>
      </c>
      <c r="AI285" t="b">
        <v>0</v>
      </c>
      <c r="AJ285" t="str">
        <f>IF(tblMergedCleaned[[#This Row],[Overall_Rating]]=
    "",
    "Unavailable",
    IF(tblMergedCleaned[[#This Row],[Overall_Rating]]&lt;=
        2,
        "Low (1-2)",
        IF(tblMergedCleaned[[#This Row],[Overall_Rating]]=
            3,
            "Middle (3)",
            "High (4-5)"
        )
    )
)</f>
        <v>Unavailable</v>
      </c>
      <c r="AK285" t="str" cm="1">
        <f t="array" ref="AK285">IF(
    tblMergedCleaned[[#This Row],[Overall_Rating]]="",
    "",
    --(tblMergedCleaned[[#This Row],[Overall_Rating]]&lt;=2)
)</f>
        <v/>
      </c>
      <c r="AL285" t="str">
        <f>IF(
    tblMergedCleaned[[#This Row],[Definitely_Recommend_Pct]]="",
    "",
    --(tblMergedCleaned[[#This Row],[Definitely_Recommend_Pct]]&lt;TX_Median_Recommend)
)</f>
        <v/>
      </c>
      <c r="AM285" t="str">
        <f>IF(
    tblMergedCleaned[[#This Row],[Readmission_Comparison]]="",
    "",
    --(tblMergedCleaned[[#This Row],[Readmission_Comparison]]="Worse")
)</f>
        <v/>
      </c>
      <c r="AN285">
        <f>COUNT(
    tblMergedCleaned[[#This Row],[Low_Rating_Flag]:[Worse_Readmission_Flag]]
)</f>
        <v>0</v>
      </c>
      <c r="AO285">
        <f>SUM(
    tblMergedCleaned[[#This Row],[Low_Rating_Flag]:[Worse_Readmission_Flag]]
)</f>
        <v>0</v>
      </c>
      <c r="AP285"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85"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85" s="2" t="str">
        <f>IF(
    tblMergedCleaned[[#This Row],[Definitely_Recommend_Pct]]="",
    "",
    tblMergedCleaned[[#This Row],[Definitely_Recommend_Pct]]-TX_Median_Recommend
)</f>
        <v/>
      </c>
      <c r="AS285" s="2" t="str">
        <f>IF(
    tblMergedCleaned[[#This Row],[Readmission_Rate_Pct]]="",
    "",
    tblMergedCleaned[[#This Row],[Readmission_Rate_Pct]]-TX_Median_Readmission
)</f>
        <v/>
      </c>
    </row>
    <row r="286" spans="1:45">
      <c r="A286" t="s">
        <v>1635</v>
      </c>
      <c r="B286" t="s">
        <v>1636</v>
      </c>
      <c r="C286" t="s">
        <v>1637</v>
      </c>
      <c r="D286" t="s">
        <v>1145</v>
      </c>
      <c r="E286" t="s">
        <v>18</v>
      </c>
      <c r="F286" t="s">
        <v>1537</v>
      </c>
      <c r="G286" t="s">
        <v>808</v>
      </c>
      <c r="H286" t="s">
        <v>1638</v>
      </c>
      <c r="I286" t="s">
        <v>21</v>
      </c>
      <c r="J286" t="s">
        <v>33</v>
      </c>
      <c r="K286" t="s">
        <v>23</v>
      </c>
      <c r="M286" t="s">
        <v>176</v>
      </c>
      <c r="N286" t="s">
        <v>168</v>
      </c>
      <c r="U286" t="s">
        <v>176</v>
      </c>
      <c r="W286" s="1">
        <v>45474</v>
      </c>
      <c r="X286" s="1">
        <v>45838</v>
      </c>
      <c r="AD286" t="s">
        <v>168</v>
      </c>
      <c r="AE286" s="1">
        <v>45108</v>
      </c>
      <c r="AF286" s="1">
        <v>45473</v>
      </c>
      <c r="AG286" t="b">
        <v>0</v>
      </c>
      <c r="AH286" t="b">
        <v>0</v>
      </c>
      <c r="AI286" t="b">
        <v>0</v>
      </c>
      <c r="AJ286" t="str">
        <f>IF(tblMergedCleaned[[#This Row],[Overall_Rating]]=
    "",
    "Unavailable",
    IF(tblMergedCleaned[[#This Row],[Overall_Rating]]&lt;=
        2,
        "Low (1-2)",
        IF(tblMergedCleaned[[#This Row],[Overall_Rating]]=
            3,
            "Middle (3)",
            "High (4-5)"
        )
    )
)</f>
        <v>Unavailable</v>
      </c>
      <c r="AK286" t="str" cm="1">
        <f t="array" ref="AK286">IF(
    tblMergedCleaned[[#This Row],[Overall_Rating]]="",
    "",
    --(tblMergedCleaned[[#This Row],[Overall_Rating]]&lt;=2)
)</f>
        <v/>
      </c>
      <c r="AL286" t="str">
        <f>IF(
    tblMergedCleaned[[#This Row],[Definitely_Recommend_Pct]]="",
    "",
    --(tblMergedCleaned[[#This Row],[Definitely_Recommend_Pct]]&lt;TX_Median_Recommend)
)</f>
        <v/>
      </c>
      <c r="AM286" t="str">
        <f>IF(
    tblMergedCleaned[[#This Row],[Readmission_Comparison]]="",
    "",
    --(tblMergedCleaned[[#This Row],[Readmission_Comparison]]="Worse")
)</f>
        <v/>
      </c>
      <c r="AN286">
        <f>COUNT(
    tblMergedCleaned[[#This Row],[Low_Rating_Flag]:[Worse_Readmission_Flag]]
)</f>
        <v>0</v>
      </c>
      <c r="AO286">
        <f>SUM(
    tblMergedCleaned[[#This Row],[Low_Rating_Flag]:[Worse_Readmission_Flag]]
)</f>
        <v>0</v>
      </c>
      <c r="AP286" t="str">
        <f>IF(
    tblMergedCleaned[[#This Row],[Signals_Available_Count]]&lt;3,
    "Limited data",
    IF(
        tblMergedCleaned[[#This Row],[Screening_Signal_Count]]=3,
        "Priority 1",
        IF(
            tblMergedCleaned[[#This Row],[Screening_Signal_Count]]=2,
            "Priority 2",
            IF(
                tblMergedCleaned[[#This Row],[Screening_Signal_Count]]=1,
                "Monitor",
                "No flagged signals"
            )
        )
    )
)</f>
        <v>Limited data</v>
      </c>
      <c r="AQ286" t="str">
        <f>IF(
    tblMergedCleaned[[#This Row],[Definitely_Recommend_Pct]]="",
    "Unavailable",
    IF(
        tblMergedCleaned[[#This Row],[Definitely_Recommend_Pct]]&lt;=TX_Recommend_Q1,
        "Q1 - Lowest",
        IF(
            tblMergedCleaned[[#This Row],[Definitely_Recommend_Pct]]&lt;=TX_Median_Recommend,
            "Q2",
            IF(
                tblMergedCleaned[[#This Row],[Definitely_Recommend_Pct]]&lt;=TX_Recommend_Q3,
                "Q3",
                "Q4 - Highest"
            )
        )
    )
)</f>
        <v>Unavailable</v>
      </c>
      <c r="AR286" s="2" t="str">
        <f>IF(
    tblMergedCleaned[[#This Row],[Definitely_Recommend_Pct]]="",
    "",
    tblMergedCleaned[[#This Row],[Definitely_Recommend_Pct]]-TX_Median_Recommend
)</f>
        <v/>
      </c>
      <c r="AS286" s="2" t="str">
        <f>IF(
    tblMergedCleaned[[#This Row],[Readmission_Rate_Pct]]="",
    "",
    tblMergedCleaned[[#This Row],[Readmission_Rate_Pct]]-TX_Median_Readmission
)</f>
        <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9594A-50F4-4BAD-AC02-4ED69425110D}">
  <dimension ref="A1:S259"/>
  <sheetViews>
    <sheetView topLeftCell="A64" zoomScale="48" zoomScaleNormal="80" workbookViewId="0">
      <selection activeCell="E248" sqref="E248"/>
    </sheetView>
  </sheetViews>
  <sheetFormatPr defaultColWidth="26.6328125" defaultRowHeight="14.5"/>
  <cols>
    <col min="1" max="1" width="38.54296875" customWidth="1"/>
    <col min="2" max="2" width="29.6328125" customWidth="1"/>
    <col min="3" max="3" width="30.453125" customWidth="1"/>
    <col min="4" max="4" width="26.26953125" customWidth="1"/>
    <col min="5" max="5" width="25.26953125" customWidth="1"/>
    <col min="6" max="6" width="19.36328125" customWidth="1"/>
    <col min="7" max="7" width="20.90625" customWidth="1"/>
    <col min="8" max="8" width="21.90625" customWidth="1"/>
    <col min="9" max="9" width="23.6328125" customWidth="1"/>
    <col min="10" max="10" width="25.453125" customWidth="1"/>
    <col min="11" max="11" width="19.6328125" customWidth="1"/>
    <col min="12" max="12" width="21.453125" customWidth="1"/>
    <col min="14" max="15" width="25.90625" customWidth="1"/>
  </cols>
  <sheetData>
    <row r="1" spans="1:5">
      <c r="A1" s="7" t="s">
        <v>2043</v>
      </c>
    </row>
    <row r="2" spans="1:5">
      <c r="A2" t="s">
        <v>2044</v>
      </c>
    </row>
    <row r="3" spans="1:5">
      <c r="A3" s="7" t="s">
        <v>2042</v>
      </c>
      <c r="D3" s="7" t="s">
        <v>2045</v>
      </c>
    </row>
    <row r="4" spans="1:5">
      <c r="A4" s="4" t="s">
        <v>2046</v>
      </c>
      <c r="B4" s="4">
        <f>ROWS(tblMergedCleaned[Facility_ID])</f>
        <v>285</v>
      </c>
      <c r="D4" s="4" t="s">
        <v>1890</v>
      </c>
      <c r="E4" s="23">
        <f>MEDIAN(tblMergedCleaned[Definitely_Recommend_Pct])</f>
        <v>71</v>
      </c>
    </row>
    <row r="5" spans="1:5">
      <c r="A5" s="4" t="s">
        <v>1906</v>
      </c>
      <c r="B5" s="4">
        <f>COUNT(tblMergedCleaned[Overall_Rating])</f>
        <v>200</v>
      </c>
      <c r="D5" s="4" t="s">
        <v>1891</v>
      </c>
      <c r="E5" s="6">
        <f>_xlfn.QUARTILE.INC(tblMergedCleaned[Definitely_Recommend_Pct],1)</f>
        <v>66</v>
      </c>
    </row>
    <row r="6" spans="1:5">
      <c r="A6" s="4" t="s">
        <v>2047</v>
      </c>
      <c r="B6" s="8">
        <f>B5/B4</f>
        <v>0.70175438596491224</v>
      </c>
      <c r="D6" s="4" t="s">
        <v>1892</v>
      </c>
      <c r="E6" s="6">
        <f>_xlfn.QUARTILE.INC(tblMergedCleaned[Definitely_Recommend_Pct],3)</f>
        <v>79</v>
      </c>
    </row>
    <row r="7" spans="1:5">
      <c r="A7" s="4" t="s">
        <v>1907</v>
      </c>
      <c r="B7" s="4">
        <f>AVERAGE(tblMergedCleaned[Overall_Rating])</f>
        <v>3.355</v>
      </c>
      <c r="D7" s="4" t="s">
        <v>2068</v>
      </c>
      <c r="E7" s="6">
        <f>MEDIAN(tblMergedCleaned[Hospital_Rating_9_10_Pct])</f>
        <v>72</v>
      </c>
    </row>
    <row r="8" spans="1:5">
      <c r="A8" s="4" t="s">
        <v>1908</v>
      </c>
      <c r="B8" s="4">
        <f>MEDIAN(tblMergedCleaned[Overall_Rating])</f>
        <v>3</v>
      </c>
      <c r="D8" s="4" t="s">
        <v>1893</v>
      </c>
      <c r="E8" s="6">
        <f>MEDIAN(tblMergedCleaned[Readmission_Rate_Pct])</f>
        <v>14.9</v>
      </c>
    </row>
    <row r="9" spans="1:5">
      <c r="A9" s="4" t="s">
        <v>2048</v>
      </c>
      <c r="B9" s="4">
        <f>COUNTIF(
    tblMergedCleaned[Overall_Rating],
    "&lt;=2"
)</f>
        <v>42</v>
      </c>
      <c r="D9" s="4" t="s">
        <v>1894</v>
      </c>
      <c r="E9" s="4">
        <f>AVERAGE(tblMergedCleaned[Overall_Rating])</f>
        <v>3.355</v>
      </c>
    </row>
    <row r="10" spans="1:5">
      <c r="A10" s="4" t="s">
        <v>2067</v>
      </c>
      <c r="B10" s="8">
        <f>IFERROR(
    B9/B5,
    0
)</f>
        <v>0.21</v>
      </c>
      <c r="D10" s="4" t="s">
        <v>1895</v>
      </c>
      <c r="E10" s="4">
        <f>MEDIAN(tblMergedCleaned[Overall_Rating])</f>
        <v>3</v>
      </c>
    </row>
    <row r="11" spans="1:5">
      <c r="A11" s="4" t="s">
        <v>2049</v>
      </c>
      <c r="B11" s="4">
        <f>COUNTIF(
    tblMergedCleaned[Overall_Rating],
    "&gt;=4"
)</f>
        <v>94</v>
      </c>
    </row>
    <row r="12" spans="1:5">
      <c r="A12" s="4" t="s">
        <v>2066</v>
      </c>
      <c r="B12" s="8">
        <f>IFERROR(
    B11/B5,
    0
)</f>
        <v>0.47</v>
      </c>
    </row>
    <row r="13" spans="1:5">
      <c r="A13" s="4" t="s">
        <v>1909</v>
      </c>
      <c r="B13" s="8">
        <f>COUNTIF(
    tblMergedCleaned[HCAHPS_Available],
    TRUE
)/B4</f>
        <v>0.89824561403508774</v>
      </c>
    </row>
    <row r="14" spans="1:5">
      <c r="A14" s="4" t="s">
        <v>2050</v>
      </c>
      <c r="B14" s="6">
        <f>TX_Median_Recommend</f>
        <v>71</v>
      </c>
    </row>
    <row r="15" spans="1:5">
      <c r="A15" s="4" t="s">
        <v>1910</v>
      </c>
      <c r="B15" s="8">
        <f>COUNTIF(
    tblMergedCleaned[Readmission_Available],
    TRUE
)/B4</f>
        <v>0.89122807017543859</v>
      </c>
    </row>
    <row r="16" spans="1:5">
      <c r="A16" s="4" t="s">
        <v>1911</v>
      </c>
      <c r="B16" s="6">
        <f>TX_Median_Readmission</f>
        <v>14.9</v>
      </c>
    </row>
    <row r="17" spans="1:16">
      <c r="A17" s="4" t="s">
        <v>1912</v>
      </c>
      <c r="B17" s="8">
        <f>IFERROR(
    COUNTIF(
        tblMergedCleaned[Readmission_Comparison],
        "Worse"
    )
    /
    COUNTIF(
        tblMergedCleaned[Readmission_Comparison],
        "&lt;&gt;"
    ),
    0
)</f>
        <v>3.937007874015748E-2</v>
      </c>
    </row>
    <row r="18" spans="1:16">
      <c r="A18" s="4" t="s">
        <v>1913</v>
      </c>
      <c r="B18" s="4">
        <f>COUNTIF(
    tblMergedCleaned[Signals_Available_Count],
    3
)</f>
        <v>199</v>
      </c>
    </row>
    <row r="19" spans="1:16">
      <c r="A19" s="4" t="s">
        <v>1914</v>
      </c>
      <c r="B19" s="4">
        <f>COUNTIF(
    tblMergedCleaned[Priority_Tier],
    "Priority 1"
)</f>
        <v>3</v>
      </c>
    </row>
    <row r="20" spans="1:16">
      <c r="A20" s="4" t="s">
        <v>1915</v>
      </c>
      <c r="B20" s="4">
        <f>COUNTIF(
    tblMergedCleaned[Priority_Tier],
    "Priority 2"
)</f>
        <v>34</v>
      </c>
    </row>
    <row r="21" spans="1:16">
      <c r="A21" s="4" t="s">
        <v>1916</v>
      </c>
      <c r="B21" s="4">
        <f>COUNTIF(
    tblMergedCleaned[Priority_Tier],
    "Monitor"
)</f>
        <v>81</v>
      </c>
    </row>
    <row r="22" spans="1:16">
      <c r="A22" s="4" t="s">
        <v>1917</v>
      </c>
      <c r="B22" s="4">
        <f>COUNTIF(
    tblMergedCleaned[Priority_Tier],
    "No flagged signals"
)</f>
        <v>81</v>
      </c>
    </row>
    <row r="23" spans="1:16">
      <c r="A23" s="4" t="s">
        <v>2051</v>
      </c>
      <c r="B23" s="4">
        <f>COUNTIF(
    tblMergedCleaned[Priority_Tier],
    "Limited data"
)</f>
        <v>86</v>
      </c>
    </row>
    <row r="26" spans="1:16">
      <c r="A26" s="7" t="s">
        <v>2052</v>
      </c>
    </row>
    <row r="27" spans="1:16">
      <c r="A27" s="4" t="s">
        <v>1918</v>
      </c>
      <c r="B27" s="4" t="s">
        <v>1919</v>
      </c>
      <c r="C27" s="4" t="s">
        <v>1920</v>
      </c>
      <c r="D27" s="4" t="s">
        <v>1921</v>
      </c>
      <c r="E27" s="4" t="s">
        <v>1922</v>
      </c>
      <c r="F27" s="4" t="s">
        <v>1923</v>
      </c>
      <c r="G27" s="4" t="s">
        <v>1924</v>
      </c>
      <c r="H27" s="4" t="s">
        <v>1925</v>
      </c>
      <c r="I27" s="4" t="s">
        <v>1926</v>
      </c>
      <c r="J27" s="4" t="s">
        <v>1927</v>
      </c>
      <c r="L27" t="s">
        <v>2022</v>
      </c>
    </row>
    <row r="28" spans="1:16">
      <c r="A28" s="4" t="s">
        <v>1928</v>
      </c>
      <c r="B28" s="4">
        <f>COUNT(tblMergedCleaned[Overall_Rating])</f>
        <v>200</v>
      </c>
      <c r="C28" s="4">
        <f>ROWS(tblMergedCleaned[Facility_ID])-B28</f>
        <v>85</v>
      </c>
      <c r="D28" s="4">
        <f>AVERAGE(tblMergedCleaned[Overall_Rating])</f>
        <v>3.355</v>
      </c>
      <c r="E28" s="4">
        <f>MEDIAN(tblMergedCleaned[Overall_Rating])</f>
        <v>3</v>
      </c>
      <c r="F28" s="4">
        <f>MIN(tblMergedCleaned[Overall_Rating])</f>
        <v>1</v>
      </c>
      <c r="G28" s="4">
        <f>_xlfn.QUARTILE.INC(tblMergedCleaned[Overall_Rating],1)</f>
        <v>3</v>
      </c>
      <c r="H28" s="4">
        <f>_xlfn.QUARTILE.INC(tblMergedCleaned[Overall_Rating],3)</f>
        <v>4</v>
      </c>
      <c r="I28" s="4">
        <f>MAX(tblMergedCleaned[Overall_Rating])</f>
        <v>5</v>
      </c>
      <c r="J28" s="24">
        <f>_xlfn.STDEV.P(tblMergedCleaned[Overall_Rating])</f>
        <v>1.0094429156718074</v>
      </c>
      <c r="L28" s="30" t="s">
        <v>2070</v>
      </c>
      <c r="M28" s="30"/>
      <c r="N28" s="30"/>
      <c r="O28" s="30"/>
      <c r="P28" s="30"/>
    </row>
    <row r="29" spans="1:16">
      <c r="A29" s="6" t="s">
        <v>1929</v>
      </c>
      <c r="B29" s="4">
        <f>COUNT(tblMergedCleaned[Nurse_Communication_Pct])</f>
        <v>256</v>
      </c>
      <c r="C29" s="4">
        <f>ROWS(tblMergedCleaned[Facility_ID])-B29</f>
        <v>29</v>
      </c>
      <c r="D29" s="6">
        <f>AVERAGE(tblMergedCleaned[Nurse_Communication_Pct])</f>
        <v>79.08203125</v>
      </c>
      <c r="E29" s="6">
        <f>MEDIAN(tblMergedCleaned[Nurse_Communication_Pct])</f>
        <v>78</v>
      </c>
      <c r="F29" s="6">
        <f>MIN(tblMergedCleaned[Nurse_Communication_Pct])</f>
        <v>63</v>
      </c>
      <c r="G29" s="6">
        <f>_xlfn.QUARTILE.INC(tblMergedCleaned[Nurse_Communication_Pct],1)</f>
        <v>75</v>
      </c>
      <c r="H29" s="6">
        <f>_xlfn.QUARTILE.INC(tblMergedCleaned[Nurse_Communication_Pct],3)</f>
        <v>82</v>
      </c>
      <c r="I29" s="6">
        <f>MAX(tblMergedCleaned[Nurse_Communication_Pct])</f>
        <v>96</v>
      </c>
      <c r="J29" s="6">
        <f>_xlfn.STDEV.P(tblMergedCleaned[Nurse_Communication_Pct])</f>
        <v>5.5555705939195335</v>
      </c>
      <c r="L29" s="30"/>
      <c r="M29" s="30"/>
      <c r="N29" s="30"/>
      <c r="O29" s="30"/>
      <c r="P29" s="30"/>
    </row>
    <row r="30" spans="1:16">
      <c r="A30" s="6" t="s">
        <v>1930</v>
      </c>
      <c r="B30" s="4">
        <f>COUNT(tblMergedCleaned[Doctor_Communication_Pct])</f>
        <v>256</v>
      </c>
      <c r="C30" s="4">
        <f>ROWS(tblMergedCleaned[Facility_ID])-B30</f>
        <v>29</v>
      </c>
      <c r="D30" s="6">
        <f>AVERAGE(tblMergedCleaned[Doctor_Communication_Pct])</f>
        <v>78.84765625</v>
      </c>
      <c r="E30" s="6">
        <f>MEDIAN(tblMergedCleaned[Doctor_Communication_Pct])</f>
        <v>78</v>
      </c>
      <c r="F30" s="6">
        <f>MIN(tblMergedCleaned[Doctor_Communication_Pct])</f>
        <v>67</v>
      </c>
      <c r="G30" s="6">
        <f>_xlfn.QUARTILE.INC(tblMergedCleaned[Doctor_Communication_Pct],1)</f>
        <v>75</v>
      </c>
      <c r="H30" s="6">
        <f>_xlfn.QUARTILE.INC(tblMergedCleaned[Doctor_Communication_Pct],3)</f>
        <v>82</v>
      </c>
      <c r="I30" s="6">
        <f>MAX(tblMergedCleaned[Doctor_Communication_Pct])</f>
        <v>98</v>
      </c>
      <c r="J30" s="6">
        <f>_xlfn.STDEV.P(tblMergedCleaned[Doctor_Communication_Pct])</f>
        <v>5.3250068198863314</v>
      </c>
      <c r="L30" s="30" t="s">
        <v>2064</v>
      </c>
      <c r="M30" s="30"/>
      <c r="N30" s="30"/>
      <c r="O30" s="30"/>
      <c r="P30" s="30"/>
    </row>
    <row r="31" spans="1:16">
      <c r="A31" s="6" t="s">
        <v>1931</v>
      </c>
      <c r="B31" s="4">
        <f>COUNT(tblMergedCleaned[Medicine_Communication_Pct])</f>
        <v>256</v>
      </c>
      <c r="C31" s="4">
        <f>ROWS(tblMergedCleaned[Facility_ID])-B31</f>
        <v>29</v>
      </c>
      <c r="D31" s="6">
        <f>AVERAGE(tblMergedCleaned[Medicine_Communication_Pct])</f>
        <v>61.59765625</v>
      </c>
      <c r="E31" s="6">
        <f>MEDIAN(tblMergedCleaned[Medicine_Communication_Pct])</f>
        <v>61</v>
      </c>
      <c r="F31" s="6">
        <f>MIN(tblMergedCleaned[Medicine_Communication_Pct])</f>
        <v>41</v>
      </c>
      <c r="G31" s="6">
        <f>_xlfn.QUARTILE.INC(tblMergedCleaned[Medicine_Communication_Pct],1)</f>
        <v>57</v>
      </c>
      <c r="H31" s="6">
        <f>_xlfn.QUARTILE.INC(tblMergedCleaned[Medicine_Communication_Pct],3)</f>
        <v>65</v>
      </c>
      <c r="I31" s="6">
        <f>MAX(tblMergedCleaned[Medicine_Communication_Pct])</f>
        <v>91</v>
      </c>
      <c r="J31" s="6">
        <f>_xlfn.STDEV.P(tblMergedCleaned[Medicine_Communication_Pct])</f>
        <v>7.1040147632754778</v>
      </c>
      <c r="L31" s="30"/>
      <c r="M31" s="30"/>
      <c r="N31" s="30"/>
      <c r="O31" s="30"/>
      <c r="P31" s="30"/>
    </row>
    <row r="32" spans="1:16">
      <c r="A32" s="6" t="s">
        <v>1932</v>
      </c>
      <c r="B32" s="4">
        <f>COUNT(tblMergedCleaned[Discharge_Info_Pct])</f>
        <v>256</v>
      </c>
      <c r="C32" s="4">
        <f>ROWS(tblMergedCleaned[Facility_ID])-B32</f>
        <v>29</v>
      </c>
      <c r="D32" s="6">
        <f>AVERAGE(tblMergedCleaned[Discharge_Info_Pct])</f>
        <v>85.54296875</v>
      </c>
      <c r="E32" s="6">
        <f>MEDIAN(tblMergedCleaned[Discharge_Info_Pct])</f>
        <v>86</v>
      </c>
      <c r="F32" s="6">
        <f>MIN(tblMergedCleaned[Discharge_Info_Pct])</f>
        <v>70</v>
      </c>
      <c r="G32" s="6">
        <f>_xlfn.QUARTILE.INC(tblMergedCleaned[Discharge_Info_Pct],1)</f>
        <v>83</v>
      </c>
      <c r="H32" s="6">
        <f>_xlfn.QUARTILE.INC(tblMergedCleaned[Discharge_Info_Pct],3)</f>
        <v>88</v>
      </c>
      <c r="I32" s="6">
        <f>MAX(tblMergedCleaned[Discharge_Info_Pct])</f>
        <v>97</v>
      </c>
      <c r="J32" s="6">
        <f>_xlfn.STDEV.P(tblMergedCleaned[Discharge_Info_Pct])</f>
        <v>3.9496476028278065</v>
      </c>
      <c r="L32" t="s">
        <v>2063</v>
      </c>
    </row>
    <row r="33" spans="1:16">
      <c r="A33" s="6" t="s">
        <v>2033</v>
      </c>
      <c r="B33" s="4">
        <f>COUNT(tblMergedCleaned[Hospital_Rating_9_10_Pct])</f>
        <v>256</v>
      </c>
      <c r="C33" s="4">
        <f>ROWS(tblMergedCleaned[Facility_ID])-B33</f>
        <v>29</v>
      </c>
      <c r="D33" s="6">
        <f>AVERAGE(tblMergedCleaned[Hospital_Rating_9_10_Pct])</f>
        <v>72.65234375</v>
      </c>
      <c r="E33" s="6">
        <f>MEDIAN(tblMergedCleaned[Hospital_Rating_9_10_Pct])</f>
        <v>72</v>
      </c>
      <c r="F33" s="6">
        <f>MIN(tblMergedCleaned[Hospital_Rating_9_10_Pct])</f>
        <v>52</v>
      </c>
      <c r="G33" s="6">
        <f>_xlfn.QUARTILE.INC(tblMergedCleaned[Hospital_Rating_9_10_Pct],1)</f>
        <v>67</v>
      </c>
      <c r="H33" s="6">
        <f>_xlfn.QUARTILE.INC(tblMergedCleaned[Hospital_Rating_9_10_Pct],3)</f>
        <v>79</v>
      </c>
      <c r="I33" s="6">
        <f>MAX(tblMergedCleaned[Hospital_Rating_9_10_Pct])</f>
        <v>93</v>
      </c>
      <c r="J33" s="6">
        <f>_xlfn.STDEV.P(tblMergedCleaned[Hospital_Rating_9_10_Pct])</f>
        <v>8.4898971655630753</v>
      </c>
      <c r="L33" t="s">
        <v>2065</v>
      </c>
    </row>
    <row r="34" spans="1:16">
      <c r="A34" s="6" t="s">
        <v>1933</v>
      </c>
      <c r="B34" s="4">
        <f>COUNT(tblMergedCleaned[Definitely_Recommend_Pct])</f>
        <v>256</v>
      </c>
      <c r="C34" s="4">
        <f>ROWS(tblMergedCleaned[Facility_ID])-B34</f>
        <v>29</v>
      </c>
      <c r="D34" s="6">
        <f>AVERAGE(tblMergedCleaned[Definitely_Recommend_Pct])</f>
        <v>71.89453125</v>
      </c>
      <c r="E34" s="6">
        <f>MEDIAN(tblMergedCleaned[Definitely_Recommend_Pct])</f>
        <v>71</v>
      </c>
      <c r="F34" s="6">
        <f>MIN(tblMergedCleaned[Definitely_Recommend_Pct])</f>
        <v>49</v>
      </c>
      <c r="G34" s="6">
        <f>_xlfn.QUARTILE.INC(tblMergedCleaned[Definitely_Recommend_Pct],1)</f>
        <v>66</v>
      </c>
      <c r="H34" s="6">
        <f>_xlfn.QUARTILE.INC(tblMergedCleaned[Definitely_Recommend_Pct],3)</f>
        <v>79</v>
      </c>
      <c r="I34" s="6">
        <f>MAX(tblMergedCleaned[Definitely_Recommend_Pct])</f>
        <v>93</v>
      </c>
      <c r="J34" s="6">
        <f>_xlfn.STDEV.P(tblMergedCleaned[Definitely_Recommend_Pct])</f>
        <v>9.3190313387590571</v>
      </c>
      <c r="L34" s="30" t="s">
        <v>2071</v>
      </c>
      <c r="M34" s="30"/>
      <c r="N34" s="30"/>
      <c r="O34" s="30"/>
      <c r="P34" s="30"/>
    </row>
    <row r="35" spans="1:16">
      <c r="A35" s="4" t="s">
        <v>1934</v>
      </c>
      <c r="B35" s="4">
        <f>COUNT(tblMergedCleaned[Readmission_Rate_Pct])</f>
        <v>254</v>
      </c>
      <c r="C35" s="4">
        <f>ROWS(tblMergedCleaned[Facility_ID])-B35</f>
        <v>31</v>
      </c>
      <c r="D35" s="6">
        <f>AVERAGE(tblMergedCleaned[Readmission_Rate_Pct])</f>
        <v>14.954330708661425</v>
      </c>
      <c r="E35" s="6">
        <f>MEDIAN(tblMergedCleaned[Readmission_Rate_Pct])</f>
        <v>14.9</v>
      </c>
      <c r="F35" s="6">
        <f>MIN(tblMergedCleaned[Readmission_Rate_Pct])</f>
        <v>13.4</v>
      </c>
      <c r="G35" s="6">
        <f>_xlfn.QUARTILE.INC(tblMergedCleaned[Readmission_Rate_Pct],1)</f>
        <v>14.5</v>
      </c>
      <c r="H35" s="6">
        <f>_xlfn.QUARTILE.INC(tblMergedCleaned[Readmission_Rate_Pct],3)</f>
        <v>15.3</v>
      </c>
      <c r="I35" s="6">
        <f>MAX(tblMergedCleaned[Readmission_Rate_Pct])</f>
        <v>16.899999999999999</v>
      </c>
      <c r="J35" s="6">
        <f>_xlfn.STDEV.P(tblMergedCleaned[Readmission_Rate_Pct])</f>
        <v>0.64292098013268562</v>
      </c>
      <c r="L35" s="30"/>
      <c r="M35" s="30"/>
      <c r="N35" s="30"/>
      <c r="O35" s="30"/>
      <c r="P35" s="30"/>
    </row>
    <row r="36" spans="1:16">
      <c r="A36" s="4" t="s">
        <v>1935</v>
      </c>
      <c r="B36" s="4">
        <f>COUNT(tblMergedCleaned[Survey_Response_Rate_Pct])</f>
        <v>256</v>
      </c>
      <c r="C36" s="4">
        <f>ROWS(tblMergedCleaned[Facility_ID])-B36</f>
        <v>29</v>
      </c>
      <c r="D36" s="6">
        <f>AVERAGE(tblMergedCleaned[Survey_Response_Rate_Pct])</f>
        <v>17.8515625</v>
      </c>
      <c r="E36" s="6">
        <f>MEDIAN(tblMergedCleaned[Survey_Response_Rate_Pct])</f>
        <v>16</v>
      </c>
      <c r="F36" s="6">
        <f>MIN(tblMergedCleaned[Survey_Response_Rate_Pct])</f>
        <v>5</v>
      </c>
      <c r="G36" s="6">
        <f>_xlfn.QUARTILE.INC(tblMergedCleaned[Survey_Response_Rate_Pct],1)</f>
        <v>13</v>
      </c>
      <c r="H36" s="6">
        <f>_xlfn.QUARTILE.INC(tblMergedCleaned[Survey_Response_Rate_Pct],3)</f>
        <v>21</v>
      </c>
      <c r="I36" s="6">
        <f>MAX(tblMergedCleaned[Survey_Response_Rate_Pct])</f>
        <v>44</v>
      </c>
      <c r="J36" s="6">
        <f>_xlfn.STDEV.P(tblMergedCleaned[Survey_Response_Rate_Pct])</f>
        <v>7.8775688704443425</v>
      </c>
    </row>
    <row r="39" spans="1:16">
      <c r="A39" s="7" t="s">
        <v>2053</v>
      </c>
    </row>
    <row r="40" spans="1:16">
      <c r="A40" s="4" t="s">
        <v>1959</v>
      </c>
      <c r="B40" s="4" t="s">
        <v>1960</v>
      </c>
      <c r="C40" s="4" t="s">
        <v>1961</v>
      </c>
      <c r="D40" s="4" t="s">
        <v>1962</v>
      </c>
      <c r="F40" s="30" t="s">
        <v>2077</v>
      </c>
      <c r="G40" s="30"/>
      <c r="H40" s="30"/>
      <c r="I40" s="30"/>
      <c r="J40" s="30"/>
      <c r="K40" s="30"/>
    </row>
    <row r="41" spans="1:16" ht="14.5" customHeight="1">
      <c r="A41" s="4" t="s">
        <v>1966</v>
      </c>
      <c r="B41" s="4" cm="1">
        <f t="array" ref="B41">_xlfn.LET(
_xlpm.x,tblMergedCleaned[Nurse_Communication_Pct],
_xlpm.y,tblMergedCleaned[Readmission_Rate_Pct],
SUM(--((_xlpm.x&lt;&gt;"")*(_xlpm.y&lt;&gt;"")))
)</f>
        <v>250</v>
      </c>
      <c r="C41" s="24" cm="1">
        <f t="array" ref="C41">_xlfn.LET(
    _xlpm.x,tblMergedCleaned[Nurse_Communication_Pct],
    _xlpm.y,tblMergedCleaned[Readmission_Rate_Pct],
    _xlpm.valid,(_xlpm.x&lt;&gt;"")*(_xlpm.y&lt;&gt;""),
    IFERROR(
        CORREL(
            _xlfn._xlws.FILTER(_xlpm.x,_xlpm.valid),
            _xlfn._xlws.FILTER(_xlpm.y,_xlpm.valid)
        ),
        ""
    )
)</f>
        <v>-0.21832550510979157</v>
      </c>
      <c r="D41" s="4" t="str">
        <f>IF(
    C41="",
    "Insufficient paired data",
    IF(
        ABS(C41)&lt;0.1,
        "Negligible",
        IF(
            ABS(C41)&lt;0.3,
            "Weak",
            IF(
                ABS(C41)&lt;0.5,
                "Moderate",
                "Strong"
            )
        )
    )
    &amp;
    IF(
        C41&lt;0,
        " negative relationship",
        IF(
            C41&gt;0,
            " positive relationship",
            " relationship"
        )
    )
)</f>
        <v>Weak negative relationship</v>
      </c>
      <c r="F41" s="30"/>
      <c r="G41" s="30"/>
      <c r="H41" s="30"/>
      <c r="I41" s="30"/>
      <c r="J41" s="30"/>
      <c r="K41" s="30"/>
    </row>
    <row r="42" spans="1:16">
      <c r="A42" s="4" t="s">
        <v>1967</v>
      </c>
      <c r="B42" s="4" cm="1">
        <f t="array" ref="B42">_xlfn.LET(
_xlpm.x,tblMergedCleaned[Doctor_Communication_Pct],
_xlpm.y,tblMergedCleaned[Readmission_Rate_Pct],
SUM(--((_xlpm.x&lt;&gt;"")*(_xlpm.y&lt;&gt;"")))
)</f>
        <v>250</v>
      </c>
      <c r="C42" s="24" cm="1">
        <f t="array" ref="C42">_xlfn.LET(
    _xlpm.x,tblMergedCleaned[Doctor_Communication_Pct],
    _xlpm.y,tblMergedCleaned[Readmission_Rate_Pct],
    _xlpm.valid,(_xlpm.x&lt;&gt;"")*(_xlpm.y&lt;&gt;""),
    IFERROR(
        CORREL(
            _xlfn._xlws.FILTER(_xlpm.x,_xlpm.valid),
            _xlfn._xlws.FILTER(_xlpm.y,_xlpm.valid)
        ),
        ""
    )
)</f>
        <v>-0.25132979242612913</v>
      </c>
      <c r="D42" s="4" t="str">
        <f t="shared" ref="D42:D53" si="0">IF(
    C42="",
    "Insufficient paired data",
    IF(
        ABS(C42)&lt;0.1,
        "Negligible",
        IF(
            ABS(C42)&lt;0.3,
            "Weak",
            IF(
                ABS(C42)&lt;0.5,
                "Moderate",
                "Strong"
            )
        )
    )
    &amp;
    IF(
        C42&lt;0,
        " negative relationship",
        IF(
            C42&gt;0,
            " positive relationship",
            " relationship"
        )
    )
)</f>
        <v>Weak negative relationship</v>
      </c>
      <c r="F42" s="30" t="s">
        <v>2025</v>
      </c>
      <c r="G42" s="30"/>
      <c r="H42" s="30"/>
      <c r="I42" s="30"/>
      <c r="J42" s="30"/>
      <c r="K42" s="30"/>
    </row>
    <row r="43" spans="1:16" ht="14.5" customHeight="1">
      <c r="A43" s="4" t="s">
        <v>1968</v>
      </c>
      <c r="B43" s="4" cm="1">
        <f t="array" ref="B43">_xlfn.LET(
_xlpm.x,tblMergedCleaned[Medicine_Communication_Pct],
_xlpm.y,tblMergedCleaned[Readmission_Rate_Pct],
SUM(--((_xlpm.x&lt;&gt;"")*(_xlpm.y&lt;&gt;"")))
)</f>
        <v>250</v>
      </c>
      <c r="C43" s="24" cm="1">
        <f t="array" ref="C43">_xlfn.LET(
    _xlpm.x,tblMergedCleaned[Medicine_Communication_Pct],
    _xlpm.y,tblMergedCleaned[Readmission_Rate_Pct],
    _xlpm.valid,(_xlpm.x&lt;&gt;"")*(_xlpm.y&lt;&gt;""),
    IFERROR(
        CORREL(
            _xlfn._xlws.FILTER(_xlpm.x,_xlpm.valid),
            _xlfn._xlws.FILTER(_xlpm.y,_xlpm.valid)
        ),
        ""
    )
)</f>
        <v>-0.22240007776631882</v>
      </c>
      <c r="D43" s="4" t="str">
        <f t="shared" si="0"/>
        <v>Weak negative relationship</v>
      </c>
      <c r="F43" s="30"/>
      <c r="G43" s="30"/>
      <c r="H43" s="30"/>
      <c r="I43" s="30"/>
      <c r="J43" s="30"/>
      <c r="K43" s="30"/>
    </row>
    <row r="44" spans="1:16">
      <c r="A44" s="4" t="s">
        <v>1969</v>
      </c>
      <c r="B44" s="4" cm="1">
        <f t="array" ref="B44">_xlfn.LET(
_xlpm.x,tblMergedCleaned[Discharge_Info_Pct],
_xlpm.y,tblMergedCleaned[Readmission_Rate_Pct],
SUM(--((_xlpm.x&lt;&gt;"")*(_xlpm.y&lt;&gt;"")))
)</f>
        <v>250</v>
      </c>
      <c r="C44" s="24" cm="1">
        <f t="array" ref="C44">_xlfn.LET(
    _xlpm.x,tblMergedCleaned[Discharge_Info_Pct],
    _xlpm.y,tblMergedCleaned[Readmission_Rate_Pct],
    _xlpm.valid,(_xlpm.x&lt;&gt;"")*(_xlpm.y&lt;&gt;""),
    IFERROR(
        CORREL(
            _xlfn._xlws.FILTER(_xlpm.x,_xlpm.valid),
            _xlfn._xlws.FILTER(_xlpm.y,_xlpm.valid)
        ),
        ""
    )
)</f>
        <v>-0.25532588587788246</v>
      </c>
      <c r="D44" s="4" t="str">
        <f t="shared" si="0"/>
        <v>Weak negative relationship</v>
      </c>
      <c r="F44" t="s">
        <v>2026</v>
      </c>
      <c r="G44" s="25"/>
      <c r="H44" s="25"/>
      <c r="I44" s="25"/>
      <c r="J44" s="25"/>
      <c r="K44" s="25"/>
    </row>
    <row r="45" spans="1:16">
      <c r="A45" s="4" t="s">
        <v>2069</v>
      </c>
      <c r="B45" s="4" cm="1">
        <f t="array" ref="B45">_xlfn.LET(
_xlpm.x,tblMergedCleaned[Hospital_Rating_9_10_Pct],
_xlpm.y,tblMergedCleaned[Readmission_Rate_Pct],
SUM(--((_xlpm.x&lt;&gt;"")*(_xlpm.y&lt;&gt;"")))
)</f>
        <v>250</v>
      </c>
      <c r="C45" s="24" cm="1">
        <f t="array" ref="C45">_xlfn.LET(
    _xlpm.x,tblMergedCleaned[Hospital_Rating_9_10_Pct],
    _xlpm.y,tblMergedCleaned[Readmission_Rate_Pct],
    _xlpm.valid,(_xlpm.x&lt;&gt;"")*(_xlpm.y&lt;&gt;""),
    IFERROR(
        CORREL(
            _xlfn._xlws.FILTER(_xlpm.x,_xlpm.valid),
            _xlfn._xlws.FILTER(_xlpm.y,_xlpm.valid)
        ),
        ""
    )
)</f>
        <v>-0.27241352461930995</v>
      </c>
      <c r="D45" s="4" t="str">
        <f t="shared" si="0"/>
        <v>Weak negative relationship</v>
      </c>
      <c r="F45" t="s">
        <v>2078</v>
      </c>
    </row>
    <row r="46" spans="1:16">
      <c r="A46" s="4" t="s">
        <v>1963</v>
      </c>
      <c r="B46" s="4" cm="1">
        <f t="array" ref="B46">_xlfn.LET(
    _xlpm.x,tblMergedCleaned[Definitely_Recommend_Pct],
    _xlpm.y,tblMergedCleaned[Readmission_Rate_Pct],
    SUM(--((_xlpm.x&lt;&gt;"")*(_xlpm.y&lt;&gt;"")))
)</f>
        <v>250</v>
      </c>
      <c r="C46" s="24" cm="1">
        <f t="array" ref="C46">_xlfn.LET(
    _xlpm.x,tblMergedCleaned[Definitely_Recommend_Pct],
    _xlpm.y,tblMergedCleaned[Readmission_Rate_Pct],
    _xlpm.valid,(_xlpm.x&lt;&gt;"")*(_xlpm.y&lt;&gt;""),
    IFERROR(
        CORREL(
            _xlfn._xlws.FILTER(_xlpm.x,_xlpm.valid),
            _xlfn._xlws.FILTER(_xlpm.y,_xlpm.valid)
        ),
        ""
    )
)</f>
        <v>-0.30071710865165324</v>
      </c>
      <c r="D46" s="4" t="str">
        <f t="shared" si="0"/>
        <v>Moderate negative relationship</v>
      </c>
      <c r="F46" s="30" t="s">
        <v>2079</v>
      </c>
      <c r="G46" s="30"/>
      <c r="H46" s="30"/>
      <c r="I46" s="30"/>
      <c r="J46" s="30"/>
      <c r="K46" s="30"/>
    </row>
    <row r="47" spans="1:16" ht="14.5" customHeight="1">
      <c r="A47" s="4" t="s">
        <v>1970</v>
      </c>
      <c r="B47" s="4" cm="1">
        <f t="array" ref="B47">_xlfn.LET(
    _xlpm.x,tblMergedCleaned[Overall_Rating],
    _xlpm.y,tblMergedCleaned[Nurse_Communication_Pct],
    SUM(--((_xlpm.x&lt;&gt;"")*(_xlpm.y&lt;&gt;"")))
)</f>
        <v>199</v>
      </c>
      <c r="C47" s="24" cm="1">
        <f t="array" ref="C47">_xlfn.LET(
    _xlpm.x,tblMergedCleaned[Overall_Rating],
    _xlpm.y,tblMergedCleaned[Nurse_Communication_Pct],
    _xlpm.valid,(_xlpm.x&lt;&gt;"")*(_xlpm.y&lt;&gt;""),
    IFERROR(
        CORREL(
            _xlfn._xlws.FILTER(_xlpm.x,_xlpm.valid),
            _xlfn._xlws.FILTER(_xlpm.y,_xlpm.valid)
        ),
        ""
    )
)</f>
        <v>0.34832294237078593</v>
      </c>
      <c r="D47" s="4" t="str">
        <f t="shared" si="0"/>
        <v>Moderate positive relationship</v>
      </c>
      <c r="F47" s="30"/>
      <c r="G47" s="30"/>
      <c r="H47" s="30"/>
      <c r="I47" s="30"/>
      <c r="J47" s="30"/>
      <c r="K47" s="30"/>
    </row>
    <row r="48" spans="1:16">
      <c r="A48" s="4" t="s">
        <v>1971</v>
      </c>
      <c r="B48" s="4" cm="1">
        <f t="array" ref="B48">_xlfn.LET(
    _xlpm.x,tblMergedCleaned[Overall_Rating],
    _xlpm.y,tblMergedCleaned[Doctor_Communication_Pct],
    SUM(--((_xlpm.x&lt;&gt;"")*(_xlpm.y&lt;&gt;"")))
)</f>
        <v>199</v>
      </c>
      <c r="C48" s="24" cm="1">
        <f t="array" ref="C48">_xlfn.LET(
    _xlpm.x,tblMergedCleaned[Overall_Rating],
    _xlpm.y,tblMergedCleaned[Doctor_Communication_Pct],
    _xlpm.valid,(_xlpm.x&lt;&gt;"")*(_xlpm.y&lt;&gt;""),
    IFERROR(
        CORREL(
            _xlfn._xlws.FILTER(_xlpm.x,_xlpm.valid),
            _xlfn._xlws.FILTER(_xlpm.y,_xlpm.valid)
        ),
        ""
    )
)</f>
        <v>0.2849746793025234</v>
      </c>
      <c r="D48" s="4" t="str">
        <f t="shared" si="0"/>
        <v>Weak positive relationship</v>
      </c>
      <c r="F48" s="25"/>
      <c r="G48" s="25"/>
      <c r="H48" s="25"/>
      <c r="I48" s="25"/>
      <c r="J48" s="25"/>
      <c r="K48" s="25"/>
    </row>
    <row r="49" spans="1:16">
      <c r="A49" s="4" t="s">
        <v>1972</v>
      </c>
      <c r="B49" s="4" cm="1">
        <f t="array" ref="B49">_xlfn.LET(
    _xlpm.x,tblMergedCleaned[Overall_Rating],
    _xlpm.y,tblMergedCleaned[Medicine_Communication_Pct],
    SUM(--((_xlpm.x&lt;&gt;"")*(_xlpm.y&lt;&gt;"")))
)</f>
        <v>199</v>
      </c>
      <c r="C49" s="24" cm="1">
        <f t="array" ref="C49">_xlfn.LET(
    _xlpm.x,tblMergedCleaned[Overall_Rating],
    _xlpm.y,tblMergedCleaned[Medicine_Communication_Pct],
    _xlpm.valid,(_xlpm.x&lt;&gt;"")*(_xlpm.y&lt;&gt;""),
    IFERROR(
        CORREL(
            _xlfn._xlws.FILTER(_xlpm.x,_xlpm.valid),
            _xlfn._xlws.FILTER(_xlpm.y,_xlpm.valid)
        ),
        ""
    )
)</f>
        <v>0.26877229436508432</v>
      </c>
      <c r="D49" s="4" t="str">
        <f t="shared" si="0"/>
        <v>Weak positive relationship</v>
      </c>
    </row>
    <row r="50" spans="1:16">
      <c r="A50" s="4" t="s">
        <v>1973</v>
      </c>
      <c r="B50" s="4" cm="1">
        <f t="array" ref="B50">_xlfn.LET(
    _xlpm.x,tblMergedCleaned[Overall_Rating],
    _xlpm.y,tblMergedCleaned[Discharge_Info_Pct],
    SUM(--((_xlpm.x&lt;&gt;"")*(_xlpm.y&lt;&gt;"")))
)</f>
        <v>199</v>
      </c>
      <c r="C50" s="24" cm="1">
        <f t="array" ref="C50">_xlfn.LET(
    _xlpm.x,tblMergedCleaned[Overall_Rating],
    _xlpm.y,tblMergedCleaned[Discharge_Info_Pct],
    _xlpm.valid,(_xlpm.x&lt;&gt;"")*(_xlpm.y&lt;&gt;""),
    IFERROR(
        CORREL(
            _xlfn._xlws.FILTER(_xlpm.x,_xlpm.valid),
            _xlfn._xlws.FILTER(_xlpm.y,_xlpm.valid)
        ),
        ""
    )
)</f>
        <v>0.42982705167643087</v>
      </c>
      <c r="D50" s="4" t="str">
        <f t="shared" si="0"/>
        <v>Moderate positive relationship</v>
      </c>
    </row>
    <row r="51" spans="1:16">
      <c r="A51" s="4" t="s">
        <v>2098</v>
      </c>
      <c r="B51" s="4" cm="1">
        <f t="array" ref="B51">_xlfn.LET(
    _xlpm.x,tblMergedCleaned[Overall_Rating],
    _xlpm.y,tblMergedCleaned[Hospital_Rating_9_10_Pct],
    SUM(--((_xlpm.x&lt;&gt;"")*(_xlpm.y&lt;&gt;"")))
)</f>
        <v>199</v>
      </c>
      <c r="C51" s="24" cm="1">
        <f t="array" ref="C51">_xlfn.LET(
    _xlpm.x,tblMergedCleaned[Overall_Rating],
    _xlpm.y,tblMergedCleaned[Hospital_Rating_9_10_Pct],
    _xlpm.valid,(_xlpm.x&lt;&gt;"")*(_xlpm.y&lt;&gt;""),
    IFERROR(
        CORREL(
            _xlfn._xlws.FILTER(_xlpm.x,_xlpm.valid),
            _xlfn._xlws.FILTER(_xlpm.y,_xlpm.valid)
        ),
        ""
    )
)</f>
        <v>0.54274798712191585</v>
      </c>
      <c r="D51" s="4" t="str">
        <f t="shared" si="0"/>
        <v>Strong positive relationship</v>
      </c>
    </row>
    <row r="52" spans="1:16">
      <c r="A52" s="4" t="s">
        <v>1964</v>
      </c>
      <c r="B52" s="4" cm="1">
        <f t="array" ref="B52">_xlfn.LET(
    _xlpm.x,tblMergedCleaned[Overall_Rating],
    _xlpm.y,tblMergedCleaned[Definitely_Recommend_Pct],
    SUM(--((_xlpm.x&lt;&gt;"")*(_xlpm.y&lt;&gt;"")))
)</f>
        <v>199</v>
      </c>
      <c r="C52" s="24" cm="1">
        <f t="array" ref="C52">_xlfn.LET(
    _xlpm.x,tblMergedCleaned[Overall_Rating],
    _xlpm.y,tblMergedCleaned[Definitely_Recommend_Pct],
    _xlpm.valid,(_xlpm.x&lt;&gt;"")*(_xlpm.y&lt;&gt;""),
    IFERROR(
        CORREL(
            _xlfn._xlws.FILTER(_xlpm.x,_xlpm.valid),
            _xlfn._xlws.FILTER(_xlpm.y,_xlpm.valid)
        ),
        ""
    )
)</f>
        <v>0.52853048673872471</v>
      </c>
      <c r="D52" s="4" t="str">
        <f t="shared" si="0"/>
        <v>Strong positive relationship</v>
      </c>
    </row>
    <row r="53" spans="1:16">
      <c r="A53" s="4" t="s">
        <v>1965</v>
      </c>
      <c r="B53" s="4" cm="1">
        <f t="array" ref="B53">_xlfn.LET(
    _xlpm.x,tblMergedCleaned[Overall_Rating],
    _xlpm.y,tblMergedCleaned[Readmission_Rate_Pct],
    SUM(--((_xlpm.x&lt;&gt;"")*(_xlpm.y&lt;&gt;"")))
)</f>
        <v>200</v>
      </c>
      <c r="C53" s="24" cm="1">
        <f t="array" ref="C53">_xlfn.LET(
    _xlpm.x,tblMergedCleaned[Overall_Rating],
    _xlpm.y,tblMergedCleaned[Readmission_Rate_Pct],
    _xlpm.valid,(_xlpm.x&lt;&gt;"")*(_xlpm.y&lt;&gt;""),
    IFERROR(
        CORREL(
            _xlfn._xlws.FILTER(_xlpm.x,_xlpm.valid),
            _xlfn._xlws.FILTER(_xlpm.y,_xlpm.valid)
        ),
        ""
    )
)</f>
        <v>-0.39458737138217703</v>
      </c>
      <c r="D53" s="4" t="str">
        <f t="shared" si="0"/>
        <v>Moderate negative relationship</v>
      </c>
    </row>
    <row r="56" spans="1:16">
      <c r="A56" s="7" t="s">
        <v>2054</v>
      </c>
    </row>
    <row r="57" spans="1:16">
      <c r="A57" s="7" t="s">
        <v>1974</v>
      </c>
    </row>
    <row r="58" spans="1:16">
      <c r="A58" s="4" t="s">
        <v>1975</v>
      </c>
      <c r="B58" s="4" t="s">
        <v>1976</v>
      </c>
      <c r="C58" s="4" t="s">
        <v>3</v>
      </c>
      <c r="D58" s="4" t="s">
        <v>1977</v>
      </c>
      <c r="E58" s="4" t="s">
        <v>1928</v>
      </c>
      <c r="F58" s="4" t="s">
        <v>1933</v>
      </c>
      <c r="G58" s="4" t="s">
        <v>1934</v>
      </c>
      <c r="H58" s="4" t="s">
        <v>1978</v>
      </c>
      <c r="I58" s="4" t="s">
        <v>1979</v>
      </c>
      <c r="J58" s="4" t="s">
        <v>1980</v>
      </c>
      <c r="L58" t="s">
        <v>2027</v>
      </c>
    </row>
    <row r="59" spans="1:16">
      <c r="A59" s="4" t="str" cm="1">
        <f t="array" ref="A59:J95">_xlfn.LET(
    _xlpm.data,
        _xlfn.CHOOSECOLS(
            tblMergedCleaned[],
            _xlfn.XMATCH("Facility_ID",tblMergedCleaned[#Headers]),
            _xlfn.XMATCH("Facility_Name",tblMergedCleaned[#Headers]),
            _xlfn.XMATCH("City",tblMergedCleaned[#Headers]),
            _xlfn.XMATCH("Hospital_Ownership",tblMergedCleaned[#Headers]),
            _xlfn.XMATCH("Overall_Rating",tblMergedCleaned[#Headers]),
            _xlfn.XMATCH("Definitely_Recommend_Pct",tblMergedCleaned[#Headers]),
            _xlfn.XMATCH("Readmission_Rate_Pct",tblMergedCleaned[#Headers]),
            _xlfn.XMATCH("Readmission_Comparison",tblMergedCleaned[#Headers]),
            _xlfn.XMATCH("Screening_Signal_Count",tblMergedCleaned[#Headers]),
            _xlfn.XMATCH("Priority_Tier",tblMergedCleaned[#Headers])
        ),
    _xlpm.signals,
        tblMergedCleaned[Screening_Signal_Count],
    _xlpm.available,
        tblMergedCleaned[Signals_Available_Count],
    _xlpm.filtered,
        _xlfn._xlws.FILTER(
            _xlpm.data,
            (_xlpm.available=3)*(_xlpm.signals&gt;=2),
            "No hospitals meet two or more screening conditions"
        ),
    _xlfn.SORTBY(
        _xlpm.filtered,
        _xlfn.CHOOSECOLS(_xlpm.filtered,9),
        -1,
        _xlfn.CHOOSECOLS(_xlpm.filtered,5),
        1,
        _xlfn.CHOOSECOLS(_xlpm.filtered,6),
        1,
        _xlfn.CHOOSECOLS(_xlpm.filtered,7),
        -1
    )
)</f>
        <v>450222</v>
      </c>
      <c r="B59" s="4" t="str">
        <v>HCA HOUSTON HEALTHCARE CONROE</v>
      </c>
      <c r="C59" s="4" t="str">
        <v>CONROE</v>
      </c>
      <c r="D59" s="4" t="str">
        <v>Proprietary</v>
      </c>
      <c r="E59" s="4">
        <v>2</v>
      </c>
      <c r="F59" s="6">
        <v>57</v>
      </c>
      <c r="G59" s="6">
        <v>16.899999999999999</v>
      </c>
      <c r="H59" s="4" t="str">
        <v>Worse</v>
      </c>
      <c r="I59" s="4">
        <v>3</v>
      </c>
      <c r="J59" s="4" t="str">
        <v>Priority 1</v>
      </c>
      <c r="L59" t="s">
        <v>2080</v>
      </c>
    </row>
    <row r="60" spans="1:16">
      <c r="A60" s="4" t="str">
        <v>450675</v>
      </c>
      <c r="B60" s="4" t="str">
        <v>MEDICAL CITY ARLINGTON</v>
      </c>
      <c r="C60" s="4" t="str">
        <v>ARLINGTON</v>
      </c>
      <c r="D60" s="4" t="str">
        <v>Proprietary</v>
      </c>
      <c r="E60" s="4">
        <v>2</v>
      </c>
      <c r="F60" s="6">
        <v>58</v>
      </c>
      <c r="G60" s="6">
        <v>16.2</v>
      </c>
      <c r="H60" s="4" t="str">
        <v>Worse</v>
      </c>
      <c r="I60" s="4">
        <v>3</v>
      </c>
      <c r="J60" s="4" t="str">
        <v>Priority 1</v>
      </c>
      <c r="L60" s="30" t="s">
        <v>2081</v>
      </c>
      <c r="M60" s="30"/>
      <c r="N60" s="30"/>
      <c r="O60" s="30"/>
      <c r="P60" s="30"/>
    </row>
    <row r="61" spans="1:16">
      <c r="A61" s="4" t="str">
        <v>450672</v>
      </c>
      <c r="B61" s="4" t="str">
        <v>MEDICAL CITY FORT WORTH</v>
      </c>
      <c r="C61" s="4" t="str">
        <v>FORT WORTH</v>
      </c>
      <c r="D61" s="4" t="str">
        <v>Proprietary</v>
      </c>
      <c r="E61" s="4">
        <v>2</v>
      </c>
      <c r="F61" s="6">
        <v>66</v>
      </c>
      <c r="G61" s="6">
        <v>16.899999999999999</v>
      </c>
      <c r="H61" s="4" t="str">
        <v>Worse</v>
      </c>
      <c r="I61" s="4">
        <v>3</v>
      </c>
      <c r="J61" s="4" t="str">
        <v>Priority 1</v>
      </c>
      <c r="L61" s="30"/>
      <c r="M61" s="30"/>
      <c r="N61" s="30"/>
      <c r="O61" s="30"/>
      <c r="P61" s="30"/>
    </row>
    <row r="62" spans="1:16" ht="14.5" customHeight="1">
      <c r="A62" s="4" t="str">
        <v>450196</v>
      </c>
      <c r="B62" s="4" t="str">
        <v>PARIS REGIONAL MEDICAL CENTER</v>
      </c>
      <c r="C62" s="4" t="str">
        <v>PARIS</v>
      </c>
      <c r="D62" s="4" t="str">
        <v>Proprietary</v>
      </c>
      <c r="E62" s="4">
        <v>1</v>
      </c>
      <c r="F62" s="6">
        <v>55</v>
      </c>
      <c r="G62" s="6">
        <v>15.4</v>
      </c>
      <c r="H62" s="4" t="str">
        <v>No Different</v>
      </c>
      <c r="I62" s="4">
        <v>2</v>
      </c>
      <c r="J62" s="4" t="str">
        <v>Priority 2</v>
      </c>
      <c r="M62" s="25"/>
      <c r="N62" s="25"/>
      <c r="O62" s="25"/>
      <c r="P62" s="25"/>
    </row>
    <row r="63" spans="1:16">
      <c r="A63" s="4" t="str">
        <v>450587</v>
      </c>
      <c r="B63" s="4" t="str">
        <v>HENDRICK MEDICAL CENTER BROWNWOOD</v>
      </c>
      <c r="C63" s="4" t="str">
        <v>BROWNWOOD</v>
      </c>
      <c r="D63" s="4" t="str">
        <v>Proprietary</v>
      </c>
      <c r="E63" s="4">
        <v>1</v>
      </c>
      <c r="F63" s="6">
        <v>55</v>
      </c>
      <c r="G63" s="6">
        <v>15.4</v>
      </c>
      <c r="H63" s="4" t="str">
        <v>No Different</v>
      </c>
      <c r="I63" s="4">
        <v>2</v>
      </c>
      <c r="J63" s="4" t="str">
        <v>Priority 2</v>
      </c>
      <c r="L63" s="25"/>
      <c r="M63" s="25"/>
      <c r="N63" s="25"/>
      <c r="O63" s="25"/>
      <c r="P63" s="25"/>
    </row>
    <row r="64" spans="1:16">
      <c r="A64" s="4" t="str">
        <v>450644</v>
      </c>
      <c r="B64" s="4" t="str">
        <v>HCA HOUSTON HEALTHCARE WEST</v>
      </c>
      <c r="C64" s="4" t="str">
        <v>HOUSTON</v>
      </c>
      <c r="D64" s="4" t="str">
        <v>Proprietary</v>
      </c>
      <c r="E64" s="4">
        <v>1</v>
      </c>
      <c r="F64" s="6">
        <v>56</v>
      </c>
      <c r="G64" s="6">
        <v>15.6</v>
      </c>
      <c r="H64" s="4" t="str">
        <v>No Different</v>
      </c>
      <c r="I64" s="4">
        <v>2</v>
      </c>
      <c r="J64" s="4" t="str">
        <v>Priority 2</v>
      </c>
    </row>
    <row r="65" spans="1:10">
      <c r="A65" s="4" t="str">
        <v>450747</v>
      </c>
      <c r="B65" s="4" t="str">
        <v>PALESTINE REGIONAL MEDICAL CENTER</v>
      </c>
      <c r="C65" s="4" t="str">
        <v>PALESTINE</v>
      </c>
      <c r="D65" s="4" t="str">
        <v>Proprietary</v>
      </c>
      <c r="E65" s="4">
        <v>1</v>
      </c>
      <c r="F65" s="6">
        <v>59</v>
      </c>
      <c r="G65" s="6">
        <v>15.5</v>
      </c>
      <c r="H65" s="4" t="str">
        <v>No Different</v>
      </c>
      <c r="I65" s="4">
        <v>2</v>
      </c>
      <c r="J65" s="4" t="str">
        <v>Priority 2</v>
      </c>
    </row>
    <row r="66" spans="1:10">
      <c r="A66" s="4" t="str">
        <v>450133</v>
      </c>
      <c r="B66" s="4" t="str">
        <v>MIDLAND MEMORIAL HOSPITAL</v>
      </c>
      <c r="C66" s="4" t="str">
        <v>MIDLAND</v>
      </c>
      <c r="D66" s="4" t="str">
        <v>Government - Hospital District or Authority</v>
      </c>
      <c r="E66" s="4">
        <v>1</v>
      </c>
      <c r="F66" s="6">
        <v>66</v>
      </c>
      <c r="G66" s="6">
        <v>14.9</v>
      </c>
      <c r="H66" s="4" t="str">
        <v>No Different</v>
      </c>
      <c r="I66" s="4">
        <v>2</v>
      </c>
      <c r="J66" s="4" t="str">
        <v>Priority 2</v>
      </c>
    </row>
    <row r="67" spans="1:10">
      <c r="A67" s="4" t="str">
        <v>670090</v>
      </c>
      <c r="B67" s="4" t="str">
        <v>CRESCENT MEDICAL CENTER LANCASTER</v>
      </c>
      <c r="C67" s="4" t="str">
        <v>LANCASTER</v>
      </c>
      <c r="D67" s="4" t="str">
        <v>Physician</v>
      </c>
      <c r="E67" s="4">
        <v>2</v>
      </c>
      <c r="F67" s="6">
        <v>49</v>
      </c>
      <c r="G67" s="6">
        <v>14.9</v>
      </c>
      <c r="H67" s="4" t="str">
        <v>No Different</v>
      </c>
      <c r="I67" s="4">
        <v>2</v>
      </c>
      <c r="J67" s="4" t="str">
        <v>Priority 2</v>
      </c>
    </row>
    <row r="68" spans="1:10">
      <c r="A68" s="4" t="str">
        <v>670060</v>
      </c>
      <c r="B68" s="4" t="str">
        <v>BAYLOR SCOTT AND WHITE MEDICAL CENTER SUNNYVALE</v>
      </c>
      <c r="C68" s="4" t="str">
        <v>SUNNYVALE</v>
      </c>
      <c r="D68" s="4" t="str">
        <v>Voluntary non-profit - Private</v>
      </c>
      <c r="E68" s="4">
        <v>2</v>
      </c>
      <c r="F68" s="6">
        <v>50</v>
      </c>
      <c r="G68" s="6">
        <v>15.4</v>
      </c>
      <c r="H68" s="4" t="str">
        <v>No Different</v>
      </c>
      <c r="I68" s="4">
        <v>2</v>
      </c>
      <c r="J68" s="4" t="str">
        <v>Priority 2</v>
      </c>
    </row>
    <row r="69" spans="1:10">
      <c r="A69" s="4" t="str">
        <v>450002</v>
      </c>
      <c r="B69" s="4" t="str">
        <v>THE HOSPITALS OF PROVIDENCE - MEMORIAL CAMPUS</v>
      </c>
      <c r="C69" s="4" t="str">
        <v>EL PASO</v>
      </c>
      <c r="D69" s="4" t="str">
        <v>Proprietary</v>
      </c>
      <c r="E69" s="4">
        <v>2</v>
      </c>
      <c r="F69" s="6">
        <v>54</v>
      </c>
      <c r="G69" s="6">
        <v>15.3</v>
      </c>
      <c r="H69" s="4" t="str">
        <v>No Different</v>
      </c>
      <c r="I69" s="4">
        <v>2</v>
      </c>
      <c r="J69" s="4" t="str">
        <v>Priority 2</v>
      </c>
    </row>
    <row r="70" spans="1:10">
      <c r="A70" s="4" t="str">
        <v>450447</v>
      </c>
      <c r="B70" s="4" t="str">
        <v>NAVARRO REGIONAL HOSPITAL</v>
      </c>
      <c r="C70" s="4" t="str">
        <v>CORSICANA</v>
      </c>
      <c r="D70" s="4" t="str">
        <v>Government - Hospital District or Authority</v>
      </c>
      <c r="E70" s="4">
        <v>2</v>
      </c>
      <c r="F70" s="6">
        <v>56</v>
      </c>
      <c r="G70" s="6">
        <v>16.600000000000001</v>
      </c>
      <c r="H70" s="4" t="str">
        <v>No Different</v>
      </c>
      <c r="I70" s="4">
        <v>2</v>
      </c>
      <c r="J70" s="4" t="str">
        <v>Priority 2</v>
      </c>
    </row>
    <row r="71" spans="1:10">
      <c r="A71" s="4" t="str">
        <v>450082</v>
      </c>
      <c r="B71" s="4" t="str">
        <v>CHRISTUS SPOHN HOSPITAL BEEVILLE</v>
      </c>
      <c r="C71" s="4" t="str">
        <v>BEEVILLE</v>
      </c>
      <c r="D71" s="4" t="str">
        <v>Voluntary non-profit - Private</v>
      </c>
      <c r="E71" s="4">
        <v>2</v>
      </c>
      <c r="F71" s="6">
        <v>56</v>
      </c>
      <c r="G71" s="6">
        <v>15.4</v>
      </c>
      <c r="H71" s="4" t="str">
        <v>No Different</v>
      </c>
      <c r="I71" s="4">
        <v>2</v>
      </c>
      <c r="J71" s="4" t="str">
        <v>Priority 2</v>
      </c>
    </row>
    <row r="72" spans="1:10">
      <c r="A72" s="4" t="str">
        <v>670047</v>
      </c>
      <c r="B72" s="4" t="str">
        <v>THE HOSPITALS OF PROVIDENCE - EAST CAMPUS</v>
      </c>
      <c r="C72" s="4" t="str">
        <v>EL PASO</v>
      </c>
      <c r="D72" s="4" t="str">
        <v>Proprietary</v>
      </c>
      <c r="E72" s="4">
        <v>2</v>
      </c>
      <c r="F72" s="6">
        <v>57</v>
      </c>
      <c r="G72" s="6">
        <v>15.1</v>
      </c>
      <c r="H72" s="4" t="str">
        <v>No Different</v>
      </c>
      <c r="I72" s="4">
        <v>2</v>
      </c>
      <c r="J72" s="4" t="str">
        <v>Priority 2</v>
      </c>
    </row>
    <row r="73" spans="1:10">
      <c r="A73" s="4" t="str">
        <v>450730</v>
      </c>
      <c r="B73" s="4" t="str">
        <v>CARROLLTON REGIONAL MEDICAL CENTER</v>
      </c>
      <c r="C73" s="4" t="str">
        <v>CARROLLTON</v>
      </c>
      <c r="D73" s="4" t="str">
        <v>Proprietary</v>
      </c>
      <c r="E73" s="4">
        <v>2</v>
      </c>
      <c r="F73" s="6">
        <v>58</v>
      </c>
      <c r="G73" s="6">
        <v>16.5</v>
      </c>
      <c r="H73" s="4" t="str">
        <v>No Different</v>
      </c>
      <c r="I73" s="4">
        <v>2</v>
      </c>
      <c r="J73" s="4" t="str">
        <v>Priority 2</v>
      </c>
    </row>
    <row r="74" spans="1:10">
      <c r="A74" s="4" t="str">
        <v>450638</v>
      </c>
      <c r="B74" s="4" t="str">
        <v>HCA HOUSTON HEALTHCARE NORTHWEST</v>
      </c>
      <c r="C74" s="4" t="str">
        <v>HOUSTON</v>
      </c>
      <c r="D74" s="4" t="str">
        <v>Proprietary</v>
      </c>
      <c r="E74" s="4">
        <v>2</v>
      </c>
      <c r="F74" s="6">
        <v>58</v>
      </c>
      <c r="G74" s="6">
        <v>15.6</v>
      </c>
      <c r="H74" s="4" t="str">
        <v>No Different</v>
      </c>
      <c r="I74" s="4">
        <v>2</v>
      </c>
      <c r="J74" s="4" t="str">
        <v>Priority 2</v>
      </c>
    </row>
    <row r="75" spans="1:10">
      <c r="A75" s="4" t="str">
        <v>450107</v>
      </c>
      <c r="B75" s="4" t="str">
        <v>LAS PALMAS MEDICAL CENTER A CAMPUS OF LPDS HEALTHC</v>
      </c>
      <c r="C75" s="4" t="str">
        <v>EL PASO</v>
      </c>
      <c r="D75" s="4" t="str">
        <v>Proprietary</v>
      </c>
      <c r="E75" s="4">
        <v>2</v>
      </c>
      <c r="F75" s="6">
        <v>60</v>
      </c>
      <c r="G75" s="6">
        <v>15.5</v>
      </c>
      <c r="H75" s="4" t="str">
        <v>No Different</v>
      </c>
      <c r="I75" s="4">
        <v>2</v>
      </c>
      <c r="J75" s="4" t="str">
        <v>Priority 2</v>
      </c>
    </row>
    <row r="76" spans="1:10">
      <c r="A76" s="4" t="str">
        <v>450163</v>
      </c>
      <c r="B76" s="4" t="str">
        <v>CHRISTUS SPOHN HOSPITAL KLEBERG</v>
      </c>
      <c r="C76" s="4" t="str">
        <v>KINGSVILLE</v>
      </c>
      <c r="D76" s="4" t="str">
        <v>Voluntary non-profit - Private</v>
      </c>
      <c r="E76" s="4">
        <v>2</v>
      </c>
      <c r="F76" s="6">
        <v>60</v>
      </c>
      <c r="G76" s="6">
        <v>14.9</v>
      </c>
      <c r="H76" s="4" t="str">
        <v>No Different</v>
      </c>
      <c r="I76" s="4">
        <v>2</v>
      </c>
      <c r="J76" s="4" t="str">
        <v>Priority 2</v>
      </c>
    </row>
    <row r="77" spans="1:10">
      <c r="A77" s="4" t="str">
        <v>450469</v>
      </c>
      <c r="B77" s="4" t="str">
        <v>WILSON N JONES REGIONAL MEDICAL CENTER</v>
      </c>
      <c r="C77" s="4" t="str">
        <v>SHERMAN</v>
      </c>
      <c r="D77" s="4" t="str">
        <v>Proprietary</v>
      </c>
      <c r="E77" s="4">
        <v>2</v>
      </c>
      <c r="F77" s="6">
        <v>61</v>
      </c>
      <c r="G77" s="6">
        <v>14.6</v>
      </c>
      <c r="H77" s="4" t="str">
        <v>No Different</v>
      </c>
      <c r="I77" s="4">
        <v>2</v>
      </c>
      <c r="J77" s="4" t="str">
        <v>Priority 2</v>
      </c>
    </row>
    <row r="78" spans="1:10">
      <c r="A78" s="4" t="str">
        <v>450352</v>
      </c>
      <c r="B78" s="4" t="str">
        <v>HUNT REGIONAL MEDICAL CENTER</v>
      </c>
      <c r="C78" s="4" t="str">
        <v>GREENVILLE</v>
      </c>
      <c r="D78" s="4" t="str">
        <v>Government - Hospital District or Authority</v>
      </c>
      <c r="E78" s="4">
        <v>2</v>
      </c>
      <c r="F78" s="6">
        <v>63</v>
      </c>
      <c r="G78" s="6">
        <v>16.2</v>
      </c>
      <c r="H78" s="4" t="str">
        <v>No Different</v>
      </c>
      <c r="I78" s="4">
        <v>2</v>
      </c>
      <c r="J78" s="4" t="str">
        <v>Priority 2</v>
      </c>
    </row>
    <row r="79" spans="1:10">
      <c r="A79" s="4" t="str">
        <v>450347</v>
      </c>
      <c r="B79" s="4" t="str">
        <v>HUNTSVILLE MEMORIAL HOSPITAL</v>
      </c>
      <c r="C79" s="4" t="str">
        <v>HUNTSVILLE</v>
      </c>
      <c r="D79" s="4" t="str">
        <v>Voluntary non-profit - Private</v>
      </c>
      <c r="E79" s="4">
        <v>2</v>
      </c>
      <c r="F79" s="6">
        <v>63</v>
      </c>
      <c r="G79" s="6">
        <v>15.4</v>
      </c>
      <c r="H79" s="4" t="str">
        <v>No Different</v>
      </c>
      <c r="I79" s="4">
        <v>2</v>
      </c>
      <c r="J79" s="4" t="str">
        <v>Priority 2</v>
      </c>
    </row>
    <row r="80" spans="1:10">
      <c r="A80" s="4" t="str">
        <v>450654</v>
      </c>
      <c r="B80" s="4" t="str">
        <v>STARR COUNTY MEMORIAL HOSPITAL</v>
      </c>
      <c r="C80" s="4" t="str">
        <v>RIO GRANDE CITY</v>
      </c>
      <c r="D80" s="4" t="str">
        <v>Government - Hospital District or Authority</v>
      </c>
      <c r="E80" s="4">
        <v>2</v>
      </c>
      <c r="F80" s="6">
        <v>63</v>
      </c>
      <c r="G80" s="6">
        <v>15.1</v>
      </c>
      <c r="H80" s="4" t="str">
        <v>No Different</v>
      </c>
      <c r="I80" s="4">
        <v>2</v>
      </c>
      <c r="J80" s="4" t="str">
        <v>Priority 2</v>
      </c>
    </row>
    <row r="81" spans="1:10">
      <c r="A81" s="4" t="str">
        <v>450033</v>
      </c>
      <c r="B81" s="4" t="str">
        <v>VHS HARLINGEN HOSPITAL COMPANY LLC</v>
      </c>
      <c r="C81" s="4" t="str">
        <v>HARLINGEN</v>
      </c>
      <c r="D81" s="4" t="str">
        <v>Proprietary</v>
      </c>
      <c r="E81" s="4">
        <v>2</v>
      </c>
      <c r="F81" s="6">
        <v>63</v>
      </c>
      <c r="G81" s="6">
        <v>14.6</v>
      </c>
      <c r="H81" s="4" t="str">
        <v>No Different</v>
      </c>
      <c r="I81" s="4">
        <v>2</v>
      </c>
      <c r="J81" s="4" t="str">
        <v>Priority 2</v>
      </c>
    </row>
    <row r="82" spans="1:10">
      <c r="A82" s="4" t="str">
        <v>670120</v>
      </c>
      <c r="B82" s="4" t="str">
        <v>THE HOSPITALS OF PROVIDENCE TRANSMOUNTAIN CAMPUS</v>
      </c>
      <c r="C82" s="4" t="str">
        <v>EL PASO</v>
      </c>
      <c r="D82" s="4" t="str">
        <v>Proprietary</v>
      </c>
      <c r="E82" s="4">
        <v>2</v>
      </c>
      <c r="F82" s="6">
        <v>64</v>
      </c>
      <c r="G82" s="6">
        <v>15.3</v>
      </c>
      <c r="H82" s="4" t="str">
        <v>No Different</v>
      </c>
      <c r="I82" s="4">
        <v>2</v>
      </c>
      <c r="J82" s="4" t="str">
        <v>Priority 2</v>
      </c>
    </row>
    <row r="83" spans="1:10">
      <c r="A83" s="4" t="str">
        <v>450203</v>
      </c>
      <c r="B83" s="4" t="str">
        <v>MEDICAL CITY WEATHERFORD</v>
      </c>
      <c r="C83" s="4" t="str">
        <v>WEATHERFORD</v>
      </c>
      <c r="D83" s="4" t="str">
        <v>Proprietary</v>
      </c>
      <c r="E83" s="4">
        <v>2</v>
      </c>
      <c r="F83" s="6">
        <v>64</v>
      </c>
      <c r="G83" s="6">
        <v>15</v>
      </c>
      <c r="H83" s="4" t="str">
        <v>No Different</v>
      </c>
      <c r="I83" s="4">
        <v>2</v>
      </c>
      <c r="J83" s="4" t="str">
        <v>Priority 2</v>
      </c>
    </row>
    <row r="84" spans="1:10">
      <c r="A84" s="4" t="str">
        <v>450668</v>
      </c>
      <c r="B84" s="4" t="str">
        <v>SIERRA MEDICAL CENTER</v>
      </c>
      <c r="C84" s="4" t="str">
        <v>EL PASO</v>
      </c>
      <c r="D84" s="4" t="str">
        <v>Proprietary</v>
      </c>
      <c r="E84" s="4">
        <v>2</v>
      </c>
      <c r="F84" s="6">
        <v>64</v>
      </c>
      <c r="G84" s="6">
        <v>14.7</v>
      </c>
      <c r="H84" s="4" t="str">
        <v>No Different</v>
      </c>
      <c r="I84" s="4">
        <v>2</v>
      </c>
      <c r="J84" s="4" t="str">
        <v>Priority 2</v>
      </c>
    </row>
    <row r="85" spans="1:10">
      <c r="A85" s="4" t="str">
        <v>450147</v>
      </c>
      <c r="B85" s="4" t="str">
        <v>DE TAR HOSPITAL NAVARRO</v>
      </c>
      <c r="C85" s="4" t="str">
        <v>VICTORIA</v>
      </c>
      <c r="D85" s="4" t="str">
        <v>Proprietary</v>
      </c>
      <c r="E85" s="4">
        <v>2</v>
      </c>
      <c r="F85" s="6">
        <v>65</v>
      </c>
      <c r="G85" s="6">
        <v>14.5</v>
      </c>
      <c r="H85" s="4" t="str">
        <v>No Different</v>
      </c>
      <c r="I85" s="4">
        <v>2</v>
      </c>
      <c r="J85" s="4" t="str">
        <v>Priority 2</v>
      </c>
    </row>
    <row r="86" spans="1:10">
      <c r="A86" s="4" t="str">
        <v>450662</v>
      </c>
      <c r="B86" s="4" t="str">
        <v>VALLEY REGIONAL MEDICAL CENTER</v>
      </c>
      <c r="C86" s="4" t="str">
        <v>BROWNSVILLE</v>
      </c>
      <c r="D86" s="4" t="str">
        <v>Proprietary</v>
      </c>
      <c r="E86" s="4">
        <v>2</v>
      </c>
      <c r="F86" s="6">
        <v>66</v>
      </c>
      <c r="G86" s="6">
        <v>15</v>
      </c>
      <c r="H86" s="4" t="str">
        <v>No Different</v>
      </c>
      <c r="I86" s="4">
        <v>2</v>
      </c>
      <c r="J86" s="4" t="str">
        <v>Priority 2</v>
      </c>
    </row>
    <row r="87" spans="1:10">
      <c r="A87" s="4" t="str">
        <v>450011</v>
      </c>
      <c r="B87" s="4" t="str">
        <v>CHI ST JOSEPH HEALTH REGIONAL HOSPITAL</v>
      </c>
      <c r="C87" s="4" t="str">
        <v>BRYAN</v>
      </c>
      <c r="D87" s="4" t="str">
        <v>Voluntary non-profit - Private</v>
      </c>
      <c r="E87" s="4">
        <v>2</v>
      </c>
      <c r="F87" s="6">
        <v>66</v>
      </c>
      <c r="G87" s="6">
        <v>14.9</v>
      </c>
      <c r="H87" s="4" t="str">
        <v>No Different</v>
      </c>
      <c r="I87" s="4">
        <v>2</v>
      </c>
      <c r="J87" s="4" t="str">
        <v>Priority 2</v>
      </c>
    </row>
    <row r="88" spans="1:10">
      <c r="A88" s="4" t="str">
        <v>450083</v>
      </c>
      <c r="B88" s="4" t="str">
        <v>UT HEALTH EAST TEXAS TYLER REGIONAL HOSPITAL</v>
      </c>
      <c r="C88" s="4" t="str">
        <v>TYLER</v>
      </c>
      <c r="D88" s="4" t="str">
        <v>Proprietary</v>
      </c>
      <c r="E88" s="4">
        <v>2</v>
      </c>
      <c r="F88" s="6">
        <v>67</v>
      </c>
      <c r="G88" s="6">
        <v>15.4</v>
      </c>
      <c r="H88" s="4" t="str">
        <v>No Different</v>
      </c>
      <c r="I88" s="4">
        <v>2</v>
      </c>
      <c r="J88" s="4" t="str">
        <v>Priority 2</v>
      </c>
    </row>
    <row r="89" spans="1:10">
      <c r="A89" s="4" t="str">
        <v>450087</v>
      </c>
      <c r="B89" s="4" t="str">
        <v>MEDICAL CITY NORTH HILLS</v>
      </c>
      <c r="C89" s="4" t="str">
        <v>NORTH RICHLAND HILLS</v>
      </c>
      <c r="D89" s="4" t="str">
        <v>Proprietary</v>
      </c>
      <c r="E89" s="4">
        <v>2</v>
      </c>
      <c r="F89" s="6">
        <v>67</v>
      </c>
      <c r="G89" s="6">
        <v>15.3</v>
      </c>
      <c r="H89" s="4" t="str">
        <v>No Different</v>
      </c>
      <c r="I89" s="4">
        <v>2</v>
      </c>
      <c r="J89" s="4" t="str">
        <v>Priority 2</v>
      </c>
    </row>
    <row r="90" spans="1:10">
      <c r="A90" s="4" t="str">
        <v>450389</v>
      </c>
      <c r="B90" s="4" t="str">
        <v>UT HEALTH EAST TEXAS ATHENS HOSPITAL</v>
      </c>
      <c r="C90" s="4" t="str">
        <v>ATHENS</v>
      </c>
      <c r="D90" s="4" t="str">
        <v>Proprietary</v>
      </c>
      <c r="E90" s="4">
        <v>2</v>
      </c>
      <c r="F90" s="6">
        <v>70</v>
      </c>
      <c r="G90" s="6">
        <v>16.2</v>
      </c>
      <c r="H90" s="4" t="str">
        <v>No Different</v>
      </c>
      <c r="I90" s="4">
        <v>2</v>
      </c>
      <c r="J90" s="4" t="str">
        <v>Priority 2</v>
      </c>
    </row>
    <row r="91" spans="1:10">
      <c r="A91" s="4" t="str">
        <v>450651</v>
      </c>
      <c r="B91" s="4" t="str">
        <v>MEDICAL CITY PLANO</v>
      </c>
      <c r="C91" s="4" t="str">
        <v>PLANO</v>
      </c>
      <c r="D91" s="4" t="str">
        <v>Proprietary</v>
      </c>
      <c r="E91" s="4">
        <v>3</v>
      </c>
      <c r="F91" s="6">
        <v>66</v>
      </c>
      <c r="G91" s="6">
        <v>16.5</v>
      </c>
      <c r="H91" s="4" t="str">
        <v>Worse</v>
      </c>
      <c r="I91" s="4">
        <v>2</v>
      </c>
      <c r="J91" s="4" t="str">
        <v>Priority 2</v>
      </c>
    </row>
    <row r="92" spans="1:10">
      <c r="A92" s="4" t="str">
        <v>450484</v>
      </c>
      <c r="B92" s="4" t="str">
        <v>WOODLAND HEIGHTS MEDICAL CENTER</v>
      </c>
      <c r="C92" s="4" t="str">
        <v>LUFKIN</v>
      </c>
      <c r="D92" s="4" t="str">
        <v>Proprietary</v>
      </c>
      <c r="E92" s="4">
        <v>3</v>
      </c>
      <c r="F92" s="6">
        <v>68</v>
      </c>
      <c r="G92" s="6">
        <v>16.399999999999999</v>
      </c>
      <c r="H92" s="4" t="str">
        <v>Worse</v>
      </c>
      <c r="I92" s="4">
        <v>2</v>
      </c>
      <c r="J92" s="4" t="str">
        <v>Priority 2</v>
      </c>
    </row>
    <row r="93" spans="1:10">
      <c r="A93" s="4" t="str">
        <v>450617</v>
      </c>
      <c r="B93" s="4" t="str">
        <v>HCA HOUSTON HEALTHCARE CLEAR LAKE</v>
      </c>
      <c r="C93" s="4" t="str">
        <v>WEBSTER</v>
      </c>
      <c r="D93" s="4" t="str">
        <v>Proprietary</v>
      </c>
      <c r="E93" s="4">
        <v>4</v>
      </c>
      <c r="F93" s="6">
        <v>61</v>
      </c>
      <c r="G93" s="6">
        <v>16.2</v>
      </c>
      <c r="H93" s="4" t="str">
        <v>Worse</v>
      </c>
      <c r="I93" s="4">
        <v>2</v>
      </c>
      <c r="J93" s="4" t="str">
        <v>Priority 2</v>
      </c>
    </row>
    <row r="94" spans="1:10">
      <c r="A94" s="4" t="str">
        <v>450324</v>
      </c>
      <c r="B94" s="4" t="str">
        <v>TEXOMA MEDICAL CENTER</v>
      </c>
      <c r="C94" s="4" t="str">
        <v>DENISON</v>
      </c>
      <c r="D94" s="4" t="str">
        <v>Proprietary</v>
      </c>
      <c r="E94" s="4">
        <v>4</v>
      </c>
      <c r="F94" s="6">
        <v>67</v>
      </c>
      <c r="G94" s="6">
        <v>16.100000000000001</v>
      </c>
      <c r="H94" s="4" t="str">
        <v>Worse</v>
      </c>
      <c r="I94" s="4">
        <v>2</v>
      </c>
      <c r="J94" s="4" t="str">
        <v>Priority 2</v>
      </c>
    </row>
    <row r="95" spans="1:10">
      <c r="A95" s="4" t="str">
        <v>450388</v>
      </c>
      <c r="B95" s="4" t="str">
        <v>METHODIST HOSPITAL</v>
      </c>
      <c r="C95" s="4" t="str">
        <v>SAN ANTONIO</v>
      </c>
      <c r="D95" s="4" t="str">
        <v>Proprietary</v>
      </c>
      <c r="E95" s="4">
        <v>4</v>
      </c>
      <c r="F95" s="6">
        <v>67</v>
      </c>
      <c r="G95" s="6">
        <v>15.8</v>
      </c>
      <c r="H95" s="4" t="str">
        <v>Worse</v>
      </c>
      <c r="I95" s="4">
        <v>2</v>
      </c>
      <c r="J95" s="4" t="str">
        <v>Priority 2</v>
      </c>
    </row>
    <row r="98" spans="1:13">
      <c r="A98" s="7" t="s">
        <v>1981</v>
      </c>
    </row>
    <row r="99" spans="1:13">
      <c r="A99" s="4" t="s">
        <v>1975</v>
      </c>
      <c r="B99" s="4" t="s">
        <v>1976</v>
      </c>
      <c r="C99" s="4" t="s">
        <v>3</v>
      </c>
      <c r="D99" s="4" t="s">
        <v>1982</v>
      </c>
      <c r="E99" s="4" t="s">
        <v>1983</v>
      </c>
      <c r="F99" s="4" t="s">
        <v>1984</v>
      </c>
      <c r="G99" s="4" t="s">
        <v>1985</v>
      </c>
      <c r="I99" t="s">
        <v>2082</v>
      </c>
    </row>
    <row r="100" spans="1:13">
      <c r="A100" s="4" t="str" cm="1">
        <f t="array" ref="A100:G185">_xlfn.LET(
    _xlpm.data,
        _xlfn.CHOOSECOLS(
            tblMergedCleaned[],
            _xlfn.XMATCH("Facility_ID",tblMergedCleaned[#Headers]),
            _xlfn.XMATCH("Facility_Name",tblMergedCleaned[#Headers]),
            _xlfn.XMATCH("City",tblMergedCleaned[#Headers]),
            _xlfn.XMATCH("Overall_Rating_Available",tblMergedCleaned[#Headers]),
            _xlfn.XMATCH("HCAHPS_Available",tblMergedCleaned[#Headers]),
            _xlfn.XMATCH("Readmission_Available",tblMergedCleaned[#Headers]),
            _xlfn.XMATCH("Signals_Available_Count",tblMergedCleaned[#Headers])
        ),
    _xlpm.available,
        tblMergedCleaned[Signals_Available_Count],
    _xlfn._xlws.FILTER(
        _xlpm.data,
        _xlpm.available&lt;3,
        "All hospitals have complete screening data"
    )
)</f>
        <v>450055</v>
      </c>
      <c r="B100" s="4" t="str">
        <v>ROLLING PLAINS MEMORIAL HOSPITAL</v>
      </c>
      <c r="C100" s="4" t="str">
        <v>SWEETWATER</v>
      </c>
      <c r="D100" s="4" t="b">
        <v>0</v>
      </c>
      <c r="E100" s="4" t="b">
        <v>1</v>
      </c>
      <c r="F100" s="4" t="b">
        <v>1</v>
      </c>
      <c r="G100" s="4">
        <v>2</v>
      </c>
      <c r="I100" t="s">
        <v>2097</v>
      </c>
    </row>
    <row r="101" spans="1:13">
      <c r="A101" s="4" t="str">
        <v>450144</v>
      </c>
      <c r="B101" s="4" t="str">
        <v>PERMIAN REGIONAL MEDICAL CENTER ANDREWS COUNTY HO</v>
      </c>
      <c r="C101" s="4" t="str">
        <v>ANDREWS</v>
      </c>
      <c r="D101" s="4" t="b">
        <v>0</v>
      </c>
      <c r="E101" s="4" t="b">
        <v>1</v>
      </c>
      <c r="F101" s="4" t="b">
        <v>1</v>
      </c>
      <c r="G101" s="4">
        <v>2</v>
      </c>
      <c r="I101" s="30" t="s">
        <v>2083</v>
      </c>
      <c r="J101" s="30"/>
      <c r="K101" s="30"/>
      <c r="L101" s="30"/>
      <c r="M101" s="30"/>
    </row>
    <row r="102" spans="1:13" ht="14.5" customHeight="1">
      <c r="A102" s="4" t="str">
        <v>450155</v>
      </c>
      <c r="B102" s="4" t="str">
        <v>HEREFORD REGIONAL MEDICAL CENTER</v>
      </c>
      <c r="C102" s="4" t="str">
        <v>HEREFORD</v>
      </c>
      <c r="D102" s="4" t="b">
        <v>0</v>
      </c>
      <c r="E102" s="4" t="b">
        <v>1</v>
      </c>
      <c r="F102" s="4" t="b">
        <v>1</v>
      </c>
      <c r="G102" s="4">
        <v>2</v>
      </c>
      <c r="I102" s="30"/>
      <c r="J102" s="30"/>
      <c r="K102" s="30"/>
      <c r="L102" s="30"/>
      <c r="M102" s="30"/>
    </row>
    <row r="103" spans="1:13">
      <c r="A103" s="4" t="str">
        <v>450162</v>
      </c>
      <c r="B103" s="4" t="str">
        <v>GRACE SURGICAL HOSPITAL</v>
      </c>
      <c r="C103" s="4" t="str">
        <v>LUBBOCK</v>
      </c>
      <c r="D103" s="4" t="b">
        <v>0</v>
      </c>
      <c r="E103" s="4" t="b">
        <v>1</v>
      </c>
      <c r="F103" s="4" t="b">
        <v>1</v>
      </c>
      <c r="G103" s="4">
        <v>2</v>
      </c>
      <c r="I103" t="s">
        <v>2028</v>
      </c>
    </row>
    <row r="104" spans="1:13">
      <c r="A104" s="4" t="str">
        <v>450194</v>
      </c>
      <c r="B104" s="4" t="str">
        <v>UT HEALTH EAST TEXAS JACKSONVILLE HOSPITAL</v>
      </c>
      <c r="C104" s="4" t="str">
        <v>JACKSONVILLE</v>
      </c>
      <c r="D104" s="4" t="b">
        <v>0</v>
      </c>
      <c r="E104" s="4" t="b">
        <v>1</v>
      </c>
      <c r="F104" s="4" t="b">
        <v>1</v>
      </c>
      <c r="G104" s="4">
        <v>2</v>
      </c>
      <c r="I104" t="s">
        <v>2029</v>
      </c>
    </row>
    <row r="105" spans="1:13">
      <c r="A105" s="4" t="str">
        <v>450200</v>
      </c>
      <c r="B105" s="4" t="str">
        <v>WADLEY REGIONAL MEDICAL CENTER</v>
      </c>
      <c r="C105" s="4" t="str">
        <v>TEXARKANA</v>
      </c>
      <c r="D105" s="4" t="b">
        <v>0</v>
      </c>
      <c r="E105" s="4" t="b">
        <v>0</v>
      </c>
      <c r="F105" s="4" t="b">
        <v>0</v>
      </c>
      <c r="G105" s="4">
        <v>0</v>
      </c>
      <c r="I105" t="s">
        <v>2084</v>
      </c>
    </row>
    <row r="106" spans="1:13">
      <c r="A106" s="4" t="str">
        <v>450235</v>
      </c>
      <c r="B106" s="4" t="str">
        <v>MEMORIAL HOSPITAL</v>
      </c>
      <c r="C106" s="4" t="str">
        <v>GONZALES</v>
      </c>
      <c r="D106" s="4" t="b">
        <v>0</v>
      </c>
      <c r="E106" s="4" t="b">
        <v>1</v>
      </c>
      <c r="F106" s="4" t="b">
        <v>1</v>
      </c>
      <c r="G106" s="4">
        <v>2</v>
      </c>
      <c r="I106" t="s">
        <v>2085</v>
      </c>
    </row>
    <row r="107" spans="1:13">
      <c r="A107" s="4" t="str">
        <v>450241</v>
      </c>
      <c r="B107" s="4" t="str">
        <v>FAITH COMMUNITY HOSPITAL</v>
      </c>
      <c r="C107" s="4" t="str">
        <v>JACKSBORO</v>
      </c>
      <c r="D107" s="4" t="b">
        <v>0</v>
      </c>
      <c r="E107" s="4" t="b">
        <v>1</v>
      </c>
      <c r="F107" s="4" t="b">
        <v>1</v>
      </c>
      <c r="G107" s="4">
        <v>2</v>
      </c>
      <c r="I107" t="s">
        <v>2086</v>
      </c>
    </row>
    <row r="108" spans="1:13">
      <c r="A108" s="4" t="str">
        <v>450253</v>
      </c>
      <c r="B108" s="4" t="str">
        <v>BELLVILLE MEDICAL CENTER</v>
      </c>
      <c r="C108" s="4" t="str">
        <v>BELLVILLE</v>
      </c>
      <c r="D108" s="4" t="b">
        <v>0</v>
      </c>
      <c r="E108" s="4" t="b">
        <v>0</v>
      </c>
      <c r="F108" s="4" t="b">
        <v>1</v>
      </c>
      <c r="G108" s="4">
        <v>1</v>
      </c>
      <c r="I108" s="30" t="s">
        <v>2087</v>
      </c>
      <c r="J108" s="30"/>
      <c r="K108" s="30"/>
      <c r="L108" s="30"/>
      <c r="M108" s="30"/>
    </row>
    <row r="109" spans="1:13" ht="14.5" customHeight="1">
      <c r="A109" s="4" t="str">
        <v>450292</v>
      </c>
      <c r="B109" s="4" t="str">
        <v>TEXAS HEALTH PRESBYTERIAN HOSPITAL KAUFMAN</v>
      </c>
      <c r="C109" s="4" t="str">
        <v>KAUFMAN</v>
      </c>
      <c r="D109" s="4" t="b">
        <v>0</v>
      </c>
      <c r="E109" s="4" t="b">
        <v>1</v>
      </c>
      <c r="F109" s="4" t="b">
        <v>1</v>
      </c>
      <c r="G109" s="4">
        <v>2</v>
      </c>
      <c r="I109" s="30"/>
      <c r="J109" s="30"/>
      <c r="K109" s="30"/>
      <c r="L109" s="30"/>
      <c r="M109" s="30"/>
    </row>
    <row r="110" spans="1:13">
      <c r="A110" s="4" t="str">
        <v>450369</v>
      </c>
      <c r="B110" s="4" t="str">
        <v>CHILDRESS REGIONAL MEDICAL CENTER</v>
      </c>
      <c r="C110" s="4" t="str">
        <v>CHILDRESS</v>
      </c>
      <c r="D110" s="4" t="b">
        <v>0</v>
      </c>
      <c r="E110" s="4" t="b">
        <v>1</v>
      </c>
      <c r="F110" s="4" t="b">
        <v>1</v>
      </c>
      <c r="G110" s="4">
        <v>2</v>
      </c>
      <c r="I110" t="s">
        <v>2088</v>
      </c>
    </row>
    <row r="111" spans="1:13">
      <c r="A111" s="4" t="str">
        <v>450399</v>
      </c>
      <c r="B111" s="4" t="str">
        <v>BROWNFIELD REGIONAL MEDICAL CENTER</v>
      </c>
      <c r="C111" s="4" t="str">
        <v>BROWNFIELD</v>
      </c>
      <c r="D111" s="4" t="b">
        <v>0</v>
      </c>
      <c r="E111" s="4" t="b">
        <v>1</v>
      </c>
      <c r="F111" s="4" t="b">
        <v>1</v>
      </c>
      <c r="G111" s="4">
        <v>2</v>
      </c>
      <c r="I111" t="s">
        <v>2089</v>
      </c>
    </row>
    <row r="112" spans="1:13">
      <c r="A112" s="4" t="str">
        <v>450400</v>
      </c>
      <c r="B112" s="4" t="str">
        <v>PARKVIEW REGIONAL HOSPITAL</v>
      </c>
      <c r="C112" s="4" t="str">
        <v>MEXIA</v>
      </c>
      <c r="D112" s="4" t="b">
        <v>0</v>
      </c>
      <c r="E112" s="4" t="b">
        <v>1</v>
      </c>
      <c r="F112" s="4" t="b">
        <v>1</v>
      </c>
      <c r="G112" s="4">
        <v>2</v>
      </c>
      <c r="I112" s="30" t="s">
        <v>2090</v>
      </c>
      <c r="J112" s="30"/>
      <c r="K112" s="30"/>
      <c r="L112" s="30"/>
      <c r="M112" s="30"/>
    </row>
    <row r="113" spans="1:13" ht="14.5" customHeight="1">
      <c r="A113" s="4" t="str">
        <v>450422</v>
      </c>
      <c r="B113" s="4" t="str">
        <v>BAYLOR SCOTT AND WHITE MEDICAL CENTER UPTOWN</v>
      </c>
      <c r="C113" s="4" t="str">
        <v>DALLAS</v>
      </c>
      <c r="D113" s="4" t="b">
        <v>0</v>
      </c>
      <c r="E113" s="4" t="b">
        <v>1</v>
      </c>
      <c r="F113" s="4" t="b">
        <v>1</v>
      </c>
      <c r="G113" s="4">
        <v>2</v>
      </c>
      <c r="I113" s="30"/>
      <c r="J113" s="30"/>
      <c r="K113" s="30"/>
      <c r="L113" s="30"/>
      <c r="M113" s="30"/>
    </row>
    <row r="114" spans="1:13">
      <c r="A114" s="4" t="str">
        <v>450451</v>
      </c>
      <c r="B114" s="4" t="str">
        <v>GLEN ROSE MEDICAL CENTER</v>
      </c>
      <c r="C114" s="4" t="str">
        <v>GLEN ROSE</v>
      </c>
      <c r="D114" s="4" t="b">
        <v>0</v>
      </c>
      <c r="E114" s="4" t="b">
        <v>1</v>
      </c>
      <c r="F114" s="4" t="b">
        <v>1</v>
      </c>
      <c r="G114" s="4">
        <v>2</v>
      </c>
    </row>
    <row r="115" spans="1:13">
      <c r="A115" s="4" t="str">
        <v>450460</v>
      </c>
      <c r="B115" s="4" t="str">
        <v>TYLER COUNTY HOSPITAL</v>
      </c>
      <c r="C115" s="4" t="str">
        <v>WOODVILLE</v>
      </c>
      <c r="D115" s="4" t="b">
        <v>0</v>
      </c>
      <c r="E115" s="4" t="b">
        <v>1</v>
      </c>
      <c r="F115" s="4" t="b">
        <v>1</v>
      </c>
      <c r="G115" s="4">
        <v>2</v>
      </c>
    </row>
    <row r="116" spans="1:13">
      <c r="A116" s="4" t="str">
        <v>450489</v>
      </c>
      <c r="B116" s="4" t="str">
        <v>MEDICAL ARTS HOSPITAL</v>
      </c>
      <c r="C116" s="4" t="str">
        <v>LAMESA</v>
      </c>
      <c r="D116" s="4" t="b">
        <v>0</v>
      </c>
      <c r="E116" s="4" t="b">
        <v>0</v>
      </c>
      <c r="F116" s="4" t="b">
        <v>1</v>
      </c>
      <c r="G116" s="4">
        <v>1</v>
      </c>
    </row>
    <row r="117" spans="1:13">
      <c r="A117" s="4" t="str">
        <v>450584</v>
      </c>
      <c r="B117" s="4" t="str">
        <v>WILBARGER GENERAL HOSPITAL</v>
      </c>
      <c r="C117" s="4" t="str">
        <v>VERNON</v>
      </c>
      <c r="D117" s="4" t="b">
        <v>0</v>
      </c>
      <c r="E117" s="4" t="b">
        <v>1</v>
      </c>
      <c r="F117" s="4" t="b">
        <v>1</v>
      </c>
      <c r="G117" s="4">
        <v>2</v>
      </c>
    </row>
    <row r="118" spans="1:13">
      <c r="A118" s="4" t="str">
        <v>450653</v>
      </c>
      <c r="B118" s="4" t="str">
        <v>SCENIC MOUNTAIN MEDICAL CENTER</v>
      </c>
      <c r="C118" s="4" t="str">
        <v>BIG SPRING</v>
      </c>
      <c r="D118" s="4" t="b">
        <v>0</v>
      </c>
      <c r="E118" s="4" t="b">
        <v>1</v>
      </c>
      <c r="F118" s="4" t="b">
        <v>1</v>
      </c>
      <c r="G118" s="4">
        <v>2</v>
      </c>
    </row>
    <row r="119" spans="1:13">
      <c r="A119" s="4" t="str">
        <v>450658</v>
      </c>
      <c r="B119" s="4" t="str">
        <v>FREESTONE MEDICAL CENTER</v>
      </c>
      <c r="C119" s="4" t="str">
        <v>FAIRFIELD</v>
      </c>
      <c r="D119" s="4" t="b">
        <v>0</v>
      </c>
      <c r="E119" s="4" t="b">
        <v>0</v>
      </c>
      <c r="F119" s="4" t="b">
        <v>1</v>
      </c>
      <c r="G119" s="4">
        <v>1</v>
      </c>
    </row>
    <row r="120" spans="1:13">
      <c r="A120" s="4" t="str">
        <v>450678</v>
      </c>
      <c r="B120" s="4" t="str">
        <v>WHITE ROCK MEDICAL CENTER</v>
      </c>
      <c r="C120" s="4" t="str">
        <v>DALLAS</v>
      </c>
      <c r="D120" s="4" t="b">
        <v>1</v>
      </c>
      <c r="E120" s="4" t="b">
        <v>0</v>
      </c>
      <c r="F120" s="4" t="b">
        <v>1</v>
      </c>
      <c r="G120" s="4">
        <v>2</v>
      </c>
    </row>
    <row r="121" spans="1:13">
      <c r="A121" s="4" t="str">
        <v>450698</v>
      </c>
      <c r="B121" s="4" t="str">
        <v>LAMB HEALTHCARE CENTER</v>
      </c>
      <c r="C121" s="4" t="str">
        <v>LITTLEFIELD</v>
      </c>
      <c r="D121" s="4" t="b">
        <v>0</v>
      </c>
      <c r="E121" s="4" t="b">
        <v>1</v>
      </c>
      <c r="F121" s="4" t="b">
        <v>0</v>
      </c>
      <c r="G121" s="4">
        <v>1</v>
      </c>
    </row>
    <row r="122" spans="1:13">
      <c r="A122" s="4" t="str">
        <v>450755</v>
      </c>
      <c r="B122" s="4" t="str">
        <v>COVENANT HOSPITAL LEVELLAND</v>
      </c>
      <c r="C122" s="4" t="str">
        <v>LEVELLAND</v>
      </c>
      <c r="D122" s="4" t="b">
        <v>0</v>
      </c>
      <c r="E122" s="4" t="b">
        <v>1</v>
      </c>
      <c r="F122" s="4" t="b">
        <v>1</v>
      </c>
      <c r="G122" s="4">
        <v>2</v>
      </c>
    </row>
    <row r="123" spans="1:13">
      <c r="A123" s="4" t="str">
        <v>450774</v>
      </c>
      <c r="B123" s="4" t="str">
        <v>TOPS SURGICAL SPECIALTY HOSPITAL</v>
      </c>
      <c r="C123" s="4" t="str">
        <v>HOUSTON</v>
      </c>
      <c r="D123" s="4" t="b">
        <v>0</v>
      </c>
      <c r="E123" s="4" t="b">
        <v>1</v>
      </c>
      <c r="F123" s="4" t="b">
        <v>1</v>
      </c>
      <c r="G123" s="4">
        <v>2</v>
      </c>
    </row>
    <row r="124" spans="1:13">
      <c r="A124" s="4" t="str">
        <v>450804</v>
      </c>
      <c r="B124" s="4" t="str">
        <v>TEXAS ORTHOPEDIC HOSPITAL</v>
      </c>
      <c r="C124" s="4" t="str">
        <v>HOUSTON</v>
      </c>
      <c r="D124" s="4" t="b">
        <v>0</v>
      </c>
      <c r="E124" s="4" t="b">
        <v>1</v>
      </c>
      <c r="F124" s="4" t="b">
        <v>1</v>
      </c>
      <c r="G124" s="4">
        <v>2</v>
      </c>
    </row>
    <row r="125" spans="1:13">
      <c r="A125" s="4" t="str">
        <v>450808</v>
      </c>
      <c r="B125" s="4" t="str">
        <v>NORTHWEST HILLS SURGICAL HOSPITAL</v>
      </c>
      <c r="C125" s="4" t="str">
        <v>AUSTIN</v>
      </c>
      <c r="D125" s="4" t="b">
        <v>0</v>
      </c>
      <c r="E125" s="4" t="b">
        <v>1</v>
      </c>
      <c r="F125" s="4" t="b">
        <v>1</v>
      </c>
      <c r="G125" s="4">
        <v>2</v>
      </c>
    </row>
    <row r="126" spans="1:13">
      <c r="A126" s="4" t="str">
        <v>450825</v>
      </c>
      <c r="B126" s="4" t="str">
        <v>CORNERSTONE REGIONAL HOSPITAL</v>
      </c>
      <c r="C126" s="4" t="str">
        <v>EDINBURG</v>
      </c>
      <c r="D126" s="4" t="b">
        <v>0</v>
      </c>
      <c r="E126" s="4" t="b">
        <v>1</v>
      </c>
      <c r="F126" s="4" t="b">
        <v>0</v>
      </c>
      <c r="G126" s="4">
        <v>1</v>
      </c>
    </row>
    <row r="127" spans="1:13">
      <c r="A127" s="4" t="str">
        <v>450827</v>
      </c>
      <c r="B127" s="4" t="str">
        <v>KELL WEST REGIONAL HOSPITAL</v>
      </c>
      <c r="C127" s="4" t="str">
        <v>WICHITA FALLS</v>
      </c>
      <c r="D127" s="4" t="b">
        <v>0</v>
      </c>
      <c r="E127" s="4" t="b">
        <v>1</v>
      </c>
      <c r="F127" s="4" t="b">
        <v>1</v>
      </c>
      <c r="G127" s="4">
        <v>2</v>
      </c>
    </row>
    <row r="128" spans="1:13">
      <c r="A128" s="4" t="str">
        <v>450831</v>
      </c>
      <c r="B128" s="4" t="str">
        <v>SURGERY SPECIALTY HOSPITALS OF AMERICA SE HOUSTON</v>
      </c>
      <c r="C128" s="4" t="str">
        <v>PASADENA</v>
      </c>
      <c r="D128" s="4" t="b">
        <v>0</v>
      </c>
      <c r="E128" s="4" t="b">
        <v>0</v>
      </c>
      <c r="F128" s="4" t="b">
        <v>0</v>
      </c>
      <c r="G128" s="4">
        <v>0</v>
      </c>
    </row>
    <row r="129" spans="1:7">
      <c r="A129" s="4" t="str">
        <v>450833</v>
      </c>
      <c r="B129" s="4" t="str">
        <v>ENNIS REGIONAL MEDICAL CENTER</v>
      </c>
      <c r="C129" s="4" t="str">
        <v>ENNIS</v>
      </c>
      <c r="D129" s="4" t="b">
        <v>0</v>
      </c>
      <c r="E129" s="4" t="b">
        <v>1</v>
      </c>
      <c r="F129" s="4" t="b">
        <v>1</v>
      </c>
      <c r="G129" s="4">
        <v>2</v>
      </c>
    </row>
    <row r="130" spans="1:7">
      <c r="A130" s="4" t="str">
        <v>450834</v>
      </c>
      <c r="B130" s="4" t="str">
        <v>PHYSICIANS CENTRE,THE</v>
      </c>
      <c r="C130" s="4" t="str">
        <v>BRYAN</v>
      </c>
      <c r="D130" s="4" t="b">
        <v>0</v>
      </c>
      <c r="E130" s="4" t="b">
        <v>1</v>
      </c>
      <c r="F130" s="4" t="b">
        <v>1</v>
      </c>
      <c r="G130" s="4">
        <v>2</v>
      </c>
    </row>
    <row r="131" spans="1:7">
      <c r="A131" s="4" t="str">
        <v>450856</v>
      </c>
      <c r="B131" s="4" t="str">
        <v>SOUTH TEXAS SPINE AND SURGICAL HOSPITAL</v>
      </c>
      <c r="C131" s="4" t="str">
        <v>SAN ANTONIO</v>
      </c>
      <c r="D131" s="4" t="b">
        <v>0</v>
      </c>
      <c r="E131" s="4" t="b">
        <v>1</v>
      </c>
      <c r="F131" s="4" t="b">
        <v>1</v>
      </c>
      <c r="G131" s="4">
        <v>2</v>
      </c>
    </row>
    <row r="132" spans="1:7">
      <c r="A132" s="4" t="str">
        <v>450860</v>
      </c>
      <c r="B132" s="4" t="str">
        <v>SUGAR LAND SURGICAL HOSPITAL LLP</v>
      </c>
      <c r="C132" s="4" t="str">
        <v>SUGAR LAND</v>
      </c>
      <c r="D132" s="4" t="b">
        <v>0</v>
      </c>
      <c r="E132" s="4" t="b">
        <v>1</v>
      </c>
      <c r="F132" s="4" t="b">
        <v>0</v>
      </c>
      <c r="G132" s="4">
        <v>1</v>
      </c>
    </row>
    <row r="133" spans="1:7">
      <c r="A133" s="4" t="str">
        <v>450865</v>
      </c>
      <c r="B133" s="4" t="str">
        <v>ASCENSION SETON  SOUTHWEST</v>
      </c>
      <c r="C133" s="4" t="str">
        <v>AUSTIN</v>
      </c>
      <c r="D133" s="4" t="b">
        <v>0</v>
      </c>
      <c r="E133" s="4" t="b">
        <v>1</v>
      </c>
      <c r="F133" s="4" t="b">
        <v>1</v>
      </c>
      <c r="G133" s="4">
        <v>2</v>
      </c>
    </row>
    <row r="134" spans="1:7">
      <c r="A134" s="4" t="str">
        <v>450872</v>
      </c>
      <c r="B134" s="4" t="str">
        <v>USMD HOSPITAL AT ARLINGTON L P</v>
      </c>
      <c r="C134" s="4" t="str">
        <v>ARLINGTON</v>
      </c>
      <c r="D134" s="4" t="b">
        <v>0</v>
      </c>
      <c r="E134" s="4" t="b">
        <v>1</v>
      </c>
      <c r="F134" s="4" t="b">
        <v>1</v>
      </c>
      <c r="G134" s="4">
        <v>2</v>
      </c>
    </row>
    <row r="135" spans="1:7">
      <c r="A135" s="4" t="str">
        <v>450874</v>
      </c>
      <c r="B135" s="4" t="str">
        <v>BAYLOR SURGICAL HOSPITAL AT LAS COLINAS</v>
      </c>
      <c r="C135" s="4" t="str">
        <v>IRVING</v>
      </c>
      <c r="D135" s="4" t="b">
        <v>0</v>
      </c>
      <c r="E135" s="4" t="b">
        <v>1</v>
      </c>
      <c r="F135" s="4" t="b">
        <v>1</v>
      </c>
      <c r="G135" s="4">
        <v>2</v>
      </c>
    </row>
    <row r="136" spans="1:7">
      <c r="A136" s="4" t="str">
        <v>450875</v>
      </c>
      <c r="B136" s="4" t="str">
        <v>QUAIL CREEK SURGICAL HOSPITAL</v>
      </c>
      <c r="C136" s="4" t="str">
        <v>AMARILLO</v>
      </c>
      <c r="D136" s="4" t="b">
        <v>0</v>
      </c>
      <c r="E136" s="4" t="b">
        <v>1</v>
      </c>
      <c r="F136" s="4" t="b">
        <v>1</v>
      </c>
      <c r="G136" s="4">
        <v>2</v>
      </c>
    </row>
    <row r="137" spans="1:7">
      <c r="A137" s="4" t="str">
        <v>450880</v>
      </c>
      <c r="B137" s="4" t="str">
        <v>BAYLOR SCOTT AND WHITE SURGICAL HOSPITAL FORTWORTH</v>
      </c>
      <c r="C137" s="4" t="str">
        <v>FORT WORTH</v>
      </c>
      <c r="D137" s="4" t="b">
        <v>0</v>
      </c>
      <c r="E137" s="4" t="b">
        <v>1</v>
      </c>
      <c r="F137" s="4" t="b">
        <v>1</v>
      </c>
      <c r="G137" s="4">
        <v>2</v>
      </c>
    </row>
    <row r="138" spans="1:7">
      <c r="A138" s="4" t="str">
        <v>450883</v>
      </c>
      <c r="B138" s="4" t="str">
        <v>BAYLOR MEDICAL CENTER AT TROPHY CLUB</v>
      </c>
      <c r="C138" s="4" t="str">
        <v>TROPHY CLUB</v>
      </c>
      <c r="D138" s="4" t="b">
        <v>0</v>
      </c>
      <c r="E138" s="4" t="b">
        <v>1</v>
      </c>
      <c r="F138" s="4" t="b">
        <v>1</v>
      </c>
      <c r="G138" s="4">
        <v>2</v>
      </c>
    </row>
    <row r="139" spans="1:7">
      <c r="A139" s="4" t="str">
        <v>450888</v>
      </c>
      <c r="B139" s="4" t="str">
        <v>TEXAS HEALTH HARRIS METHODIST HOSPITAL SOUTHLAKE</v>
      </c>
      <c r="C139" s="4" t="str">
        <v>SOUTHLAKE</v>
      </c>
      <c r="D139" s="4" t="b">
        <v>0</v>
      </c>
      <c r="E139" s="4" t="b">
        <v>1</v>
      </c>
      <c r="F139" s="4" t="b">
        <v>1</v>
      </c>
      <c r="G139" s="4">
        <v>2</v>
      </c>
    </row>
    <row r="140" spans="1:7">
      <c r="A140" s="4" t="str">
        <v>450889</v>
      </c>
      <c r="B140" s="4" t="str">
        <v>TEXAS INSTITUTE FOR SURGERY AT PRESBYTERIAN HOSPIT</v>
      </c>
      <c r="C140" s="4" t="str">
        <v>DALLAS</v>
      </c>
      <c r="D140" s="4" t="b">
        <v>0</v>
      </c>
      <c r="E140" s="4" t="b">
        <v>1</v>
      </c>
      <c r="F140" s="4" t="b">
        <v>1</v>
      </c>
      <c r="G140" s="4">
        <v>2</v>
      </c>
    </row>
    <row r="141" spans="1:7">
      <c r="A141" s="4" t="str">
        <v>450891</v>
      </c>
      <c r="B141" s="4" t="str">
        <v>TEXAS HEALTH CENTER FOR DIAGNOSTICS &amp; SURGERY PLAN</v>
      </c>
      <c r="C141" s="4" t="str">
        <v>PLANO</v>
      </c>
      <c r="D141" s="4" t="b">
        <v>0</v>
      </c>
      <c r="E141" s="4" t="b">
        <v>1</v>
      </c>
      <c r="F141" s="4" t="b">
        <v>1</v>
      </c>
      <c r="G141" s="4">
        <v>2</v>
      </c>
    </row>
    <row r="142" spans="1:7">
      <c r="A142" s="4" t="str">
        <v>450895</v>
      </c>
      <c r="B142" s="4" t="str">
        <v>BAYLOR SCOTT WHITE THE HEART HOSPITAL CORINTH</v>
      </c>
      <c r="C142" s="4" t="str">
        <v>DENTON</v>
      </c>
      <c r="D142" s="4" t="b">
        <v>0</v>
      </c>
      <c r="E142" s="4" t="b">
        <v>0</v>
      </c>
      <c r="F142" s="4" t="b">
        <v>0</v>
      </c>
      <c r="G142" s="4">
        <v>0</v>
      </c>
    </row>
    <row r="143" spans="1:7">
      <c r="A143" s="4" t="str">
        <v>670005</v>
      </c>
      <c r="B143" s="4" t="str">
        <v>MEMORIAL HERMANN SURGICAL HOSPITAL KINGWOOD</v>
      </c>
      <c r="C143" s="4" t="str">
        <v>KINGWOOD</v>
      </c>
      <c r="D143" s="4" t="b">
        <v>0</v>
      </c>
      <c r="E143" s="4" t="b">
        <v>1</v>
      </c>
      <c r="F143" s="4" t="b">
        <v>1</v>
      </c>
      <c r="G143" s="4">
        <v>2</v>
      </c>
    </row>
    <row r="144" spans="1:7">
      <c r="A144" s="4" t="str">
        <v>670006</v>
      </c>
      <c r="B144" s="4" t="str">
        <v>THE HOSPITAL AT WESTLAKE MEDICAL CENTER</v>
      </c>
      <c r="C144" s="4" t="str">
        <v>AUSTIN</v>
      </c>
      <c r="D144" s="4" t="b">
        <v>0</v>
      </c>
      <c r="E144" s="4" t="b">
        <v>1</v>
      </c>
      <c r="F144" s="4" t="b">
        <v>1</v>
      </c>
      <c r="G144" s="4">
        <v>2</v>
      </c>
    </row>
    <row r="145" spans="1:7">
      <c r="A145" s="4" t="str">
        <v>670008</v>
      </c>
      <c r="B145" s="4" t="str">
        <v>MEMORIAL HERMANN HOUSTON PHYSICIANS HOSPITAL</v>
      </c>
      <c r="C145" s="4" t="str">
        <v>WEBSTER</v>
      </c>
      <c r="D145" s="4" t="b">
        <v>0</v>
      </c>
      <c r="E145" s="4" t="b">
        <v>1</v>
      </c>
      <c r="F145" s="4" t="b">
        <v>1</v>
      </c>
      <c r="G145" s="4">
        <v>2</v>
      </c>
    </row>
    <row r="146" spans="1:7">
      <c r="A146" s="4" t="str">
        <v>670010</v>
      </c>
      <c r="B146" s="4" t="str">
        <v>MAYHILL HOSPITAL</v>
      </c>
      <c r="C146" s="4" t="str">
        <v>DENTON</v>
      </c>
      <c r="D146" s="4" t="b">
        <v>0</v>
      </c>
      <c r="E146" s="4" t="b">
        <v>0</v>
      </c>
      <c r="F146" s="4" t="b">
        <v>0</v>
      </c>
      <c r="G146" s="4">
        <v>0</v>
      </c>
    </row>
    <row r="147" spans="1:7">
      <c r="A147" s="4" t="str">
        <v>670049</v>
      </c>
      <c r="B147" s="4" t="str">
        <v>NORTH CENTRAL SURGICAL CENTER LLP</v>
      </c>
      <c r="C147" s="4" t="str">
        <v>DALLAS</v>
      </c>
      <c r="D147" s="4" t="b">
        <v>0</v>
      </c>
      <c r="E147" s="4" t="b">
        <v>1</v>
      </c>
      <c r="F147" s="4" t="b">
        <v>1</v>
      </c>
      <c r="G147" s="4">
        <v>2</v>
      </c>
    </row>
    <row r="148" spans="1:7">
      <c r="A148" s="4" t="str">
        <v>670054</v>
      </c>
      <c r="B148" s="4" t="str">
        <v>FOUNDATION SURGICAL HOSPITAL OF SAN ANTONIO</v>
      </c>
      <c r="C148" s="4" t="str">
        <v>SAN ANTONIO</v>
      </c>
      <c r="D148" s="4" t="b">
        <v>0</v>
      </c>
      <c r="E148" s="4" t="b">
        <v>1</v>
      </c>
      <c r="F148" s="4" t="b">
        <v>1</v>
      </c>
      <c r="G148" s="4">
        <v>2</v>
      </c>
    </row>
    <row r="149" spans="1:7">
      <c r="A149" s="4" t="str">
        <v>670059</v>
      </c>
      <c r="B149" s="4" t="str">
        <v>CHI ST LUKES LAKESIDE HOSPITAL</v>
      </c>
      <c r="C149" s="4" t="str">
        <v>THE WOODLANDS</v>
      </c>
      <c r="D149" s="4" t="b">
        <v>0</v>
      </c>
      <c r="E149" s="4" t="b">
        <v>1</v>
      </c>
      <c r="F149" s="4" t="b">
        <v>1</v>
      </c>
      <c r="G149" s="4">
        <v>2</v>
      </c>
    </row>
    <row r="150" spans="1:7">
      <c r="A150" s="4" t="str">
        <v>670062</v>
      </c>
      <c r="B150" s="4" t="str">
        <v>BAYLOR EMERGENCY MEDICAL CENTER AT AUBREY</v>
      </c>
      <c r="C150" s="4" t="str">
        <v>AUBREY</v>
      </c>
      <c r="D150" s="4" t="b">
        <v>0</v>
      </c>
      <c r="E150" s="4" t="b">
        <v>1</v>
      </c>
      <c r="F150" s="4" t="b">
        <v>1</v>
      </c>
      <c r="G150" s="4">
        <v>2</v>
      </c>
    </row>
    <row r="151" spans="1:7">
      <c r="A151" s="4" t="str">
        <v>670067</v>
      </c>
      <c r="B151" s="4" t="str">
        <v>BAYLOR SCOTT AND WHITE ORTHOPEDIC AND SPINE HOSPI</v>
      </c>
      <c r="C151" s="4" t="str">
        <v>ARLINGTON</v>
      </c>
      <c r="D151" s="4" t="b">
        <v>0</v>
      </c>
      <c r="E151" s="4" t="b">
        <v>1</v>
      </c>
      <c r="F151" s="4" t="b">
        <v>1</v>
      </c>
      <c r="G151" s="4">
        <v>2</v>
      </c>
    </row>
    <row r="152" spans="1:7">
      <c r="A152" s="4" t="str">
        <v>670069</v>
      </c>
      <c r="B152" s="4" t="str">
        <v>METHODIST MCKINNEY HOSPITAL</v>
      </c>
      <c r="C152" s="4" t="str">
        <v>MCKINNEY</v>
      </c>
      <c r="D152" s="4" t="b">
        <v>0</v>
      </c>
      <c r="E152" s="4" t="b">
        <v>1</v>
      </c>
      <c r="F152" s="4" t="b">
        <v>1</v>
      </c>
      <c r="G152" s="4">
        <v>2</v>
      </c>
    </row>
    <row r="153" spans="1:7">
      <c r="A153" s="4" t="str">
        <v>670093</v>
      </c>
      <c r="B153" s="4" t="str">
        <v>ASPIRE HOSPITAL</v>
      </c>
      <c r="C153" s="4" t="str">
        <v>CONROE</v>
      </c>
      <c r="D153" s="4" t="b">
        <v>0</v>
      </c>
      <c r="E153" s="4" t="b">
        <v>0</v>
      </c>
      <c r="F153" s="4" t="b">
        <v>0</v>
      </c>
      <c r="G153" s="4">
        <v>0</v>
      </c>
    </row>
    <row r="154" spans="1:7">
      <c r="A154" s="4" t="str">
        <v>670102</v>
      </c>
      <c r="B154" s="4" t="str">
        <v>AD HOSPITAL EAST, LLC</v>
      </c>
      <c r="C154" s="4" t="str">
        <v>HOUSTON</v>
      </c>
      <c r="D154" s="4" t="b">
        <v>0</v>
      </c>
      <c r="E154" s="4" t="b">
        <v>1</v>
      </c>
      <c r="F154" s="4" t="b">
        <v>1</v>
      </c>
      <c r="G154" s="4">
        <v>2</v>
      </c>
    </row>
    <row r="155" spans="1:7">
      <c r="A155" s="4" t="str">
        <v>670107</v>
      </c>
      <c r="B155" s="4" t="str">
        <v>BAYLOR SCOTT AND WHITE EMERGENCY HOSPITAL</v>
      </c>
      <c r="C155" s="4" t="str">
        <v>BURLESON</v>
      </c>
      <c r="D155" s="4" t="b">
        <v>0</v>
      </c>
      <c r="E155" s="4" t="b">
        <v>1</v>
      </c>
      <c r="F155" s="4" t="b">
        <v>0</v>
      </c>
      <c r="G155" s="4">
        <v>1</v>
      </c>
    </row>
    <row r="156" spans="1:7">
      <c r="A156" s="4" t="str">
        <v>670109</v>
      </c>
      <c r="B156" s="4" t="str">
        <v>BAYTOWN MEDICAL CENTER LP</v>
      </c>
      <c r="C156" s="4" t="str">
        <v>BAYTOWN</v>
      </c>
      <c r="D156" s="4" t="b">
        <v>0</v>
      </c>
      <c r="E156" s="4" t="b">
        <v>0</v>
      </c>
      <c r="F156" s="4" t="b">
        <v>0</v>
      </c>
      <c r="G156" s="4">
        <v>0</v>
      </c>
    </row>
    <row r="157" spans="1:7">
      <c r="A157" s="4" t="str">
        <v>670112</v>
      </c>
      <c r="B157" s="4" t="str">
        <v>LEGENT ORTHOPEDIC + SPINE</v>
      </c>
      <c r="C157" s="4" t="str">
        <v>SAN ANTONIO</v>
      </c>
      <c r="D157" s="4" t="b">
        <v>0</v>
      </c>
      <c r="E157" s="4" t="b">
        <v>1</v>
      </c>
      <c r="F157" s="4" t="b">
        <v>1</v>
      </c>
      <c r="G157" s="4">
        <v>2</v>
      </c>
    </row>
    <row r="158" spans="1:7">
      <c r="A158" s="4" t="str">
        <v>670115</v>
      </c>
      <c r="B158" s="4" t="str">
        <v>CLEVELAND EMERGENCY HOSPITAL</v>
      </c>
      <c r="C158" s="4" t="str">
        <v>HUMBLE</v>
      </c>
      <c r="D158" s="4" t="b">
        <v>0</v>
      </c>
      <c r="E158" s="4" t="b">
        <v>0</v>
      </c>
      <c r="F158" s="4" t="b">
        <v>0</v>
      </c>
      <c r="G158" s="4">
        <v>0</v>
      </c>
    </row>
    <row r="159" spans="1:7">
      <c r="A159" s="4" t="str">
        <v>670121</v>
      </c>
      <c r="B159" s="4" t="str">
        <v>SAINT CAMILLUS MEDICAL CENTER</v>
      </c>
      <c r="C159" s="4" t="str">
        <v>HURST</v>
      </c>
      <c r="D159" s="4" t="b">
        <v>0</v>
      </c>
      <c r="E159" s="4" t="b">
        <v>0</v>
      </c>
      <c r="F159" s="4" t="b">
        <v>0</v>
      </c>
      <c r="G159" s="4">
        <v>0</v>
      </c>
    </row>
    <row r="160" spans="1:7">
      <c r="A160" s="4" t="str">
        <v>670124</v>
      </c>
      <c r="B160" s="4" t="str">
        <v>THE HOSPITALS OF PROVIDENCE HORIZON CITY CAMPUS</v>
      </c>
      <c r="C160" s="4" t="str">
        <v>HORIZON CITY</v>
      </c>
      <c r="D160" s="4" t="b">
        <v>0</v>
      </c>
      <c r="E160" s="4" t="b">
        <v>1</v>
      </c>
      <c r="F160" s="4" t="b">
        <v>1</v>
      </c>
      <c r="G160" s="4">
        <v>2</v>
      </c>
    </row>
    <row r="161" spans="1:7">
      <c r="A161" s="4" t="str">
        <v>670125</v>
      </c>
      <c r="B161" s="4" t="str">
        <v>TEXAS CENTER FOR INFECTIOUS DISEASE</v>
      </c>
      <c r="C161" s="4" t="str">
        <v>SAN ANTONIO</v>
      </c>
      <c r="D161" s="4" t="b">
        <v>0</v>
      </c>
      <c r="E161" s="4" t="b">
        <v>0</v>
      </c>
      <c r="F161" s="4" t="b">
        <v>0</v>
      </c>
      <c r="G161" s="4">
        <v>0</v>
      </c>
    </row>
    <row r="162" spans="1:7">
      <c r="A162" s="4" t="str">
        <v>670131</v>
      </c>
      <c r="B162" s="4" t="str">
        <v>BAYLOR SCOTT &amp; WHITE MEDICAL CENTER - BUDA</v>
      </c>
      <c r="C162" s="4" t="str">
        <v>BUDA</v>
      </c>
      <c r="D162" s="4" t="b">
        <v>0</v>
      </c>
      <c r="E162" s="4" t="b">
        <v>1</v>
      </c>
      <c r="F162" s="4" t="b">
        <v>1</v>
      </c>
      <c r="G162" s="4">
        <v>2</v>
      </c>
    </row>
    <row r="163" spans="1:7">
      <c r="A163" s="4" t="str">
        <v>670132</v>
      </c>
      <c r="B163" s="4" t="str">
        <v>METHODIST SOUTHLAKE MEDICAL CENTER</v>
      </c>
      <c r="C163" s="4" t="str">
        <v>SOUTHLAKE</v>
      </c>
      <c r="D163" s="4" t="b">
        <v>0</v>
      </c>
      <c r="E163" s="4" t="b">
        <v>1</v>
      </c>
      <c r="F163" s="4" t="b">
        <v>1</v>
      </c>
      <c r="G163" s="4">
        <v>2</v>
      </c>
    </row>
    <row r="164" spans="1:7">
      <c r="A164" s="4" t="str">
        <v>670134</v>
      </c>
      <c r="B164" s="4" t="str">
        <v>ALTUS LUMBERTON HOSPITAL</v>
      </c>
      <c r="C164" s="4" t="str">
        <v>LUMBERTON</v>
      </c>
      <c r="D164" s="4" t="b">
        <v>0</v>
      </c>
      <c r="E164" s="4" t="b">
        <v>1</v>
      </c>
      <c r="F164" s="4" t="b">
        <v>1</v>
      </c>
      <c r="G164" s="4">
        <v>2</v>
      </c>
    </row>
    <row r="165" spans="1:7">
      <c r="A165" s="4" t="str">
        <v>670135</v>
      </c>
      <c r="B165" s="4" t="str">
        <v>ALTUS HOUSTON HOSPITAL, LP</v>
      </c>
      <c r="C165" s="4" t="str">
        <v>HOUSTON</v>
      </c>
      <c r="D165" s="4" t="b">
        <v>0</v>
      </c>
      <c r="E165" s="4" t="b">
        <v>0</v>
      </c>
      <c r="F165" s="4" t="b">
        <v>0</v>
      </c>
      <c r="G165" s="4">
        <v>0</v>
      </c>
    </row>
    <row r="166" spans="1:7">
      <c r="A166" s="4" t="str">
        <v>670136</v>
      </c>
      <c r="B166" s="4" t="str">
        <v>BAYLOR SCOTT &amp; WHITE MEDICAL CENTER- AUSTIN</v>
      </c>
      <c r="C166" s="4" t="str">
        <v>AUSTIN</v>
      </c>
      <c r="D166" s="4" t="b">
        <v>0</v>
      </c>
      <c r="E166" s="4" t="b">
        <v>1</v>
      </c>
      <c r="F166" s="4" t="b">
        <v>1</v>
      </c>
      <c r="G166" s="4">
        <v>2</v>
      </c>
    </row>
    <row r="167" spans="1:7">
      <c r="A167" s="4" t="str">
        <v>670265</v>
      </c>
      <c r="B167" s="4" t="str">
        <v>LEGENT ORTHOPEDIC HOSPITAL</v>
      </c>
      <c r="C167" s="4" t="str">
        <v>GRAPEVINE</v>
      </c>
      <c r="D167" s="4" t="b">
        <v>0</v>
      </c>
      <c r="E167" s="4" t="b">
        <v>1</v>
      </c>
      <c r="F167" s="4" t="b">
        <v>1</v>
      </c>
      <c r="G167" s="4">
        <v>2</v>
      </c>
    </row>
    <row r="168" spans="1:7">
      <c r="A168" s="4" t="str">
        <v>670266</v>
      </c>
      <c r="B168" s="4" t="str">
        <v>TOWNSEN MEMORIAL HOSPITAL</v>
      </c>
      <c r="C168" s="4" t="str">
        <v>HUMBLE</v>
      </c>
      <c r="D168" s="4" t="b">
        <v>0</v>
      </c>
      <c r="E168" s="4" t="b">
        <v>1</v>
      </c>
      <c r="F168" s="4" t="b">
        <v>0</v>
      </c>
      <c r="G168" s="4">
        <v>1</v>
      </c>
    </row>
    <row r="169" spans="1:7">
      <c r="A169" s="4" t="str">
        <v>670267</v>
      </c>
      <c r="B169" s="4" t="str">
        <v>THE WOODLANDS SPECIALTY HOSPITAL</v>
      </c>
      <c r="C169" s="4" t="str">
        <v>SPRING</v>
      </c>
      <c r="D169" s="4" t="b">
        <v>0</v>
      </c>
      <c r="E169" s="4" t="b">
        <v>1</v>
      </c>
      <c r="F169" s="4" t="b">
        <v>1</v>
      </c>
      <c r="G169" s="4">
        <v>2</v>
      </c>
    </row>
    <row r="170" spans="1:7">
      <c r="A170" s="4" t="str">
        <v>670285</v>
      </c>
      <c r="B170" s="4" t="str">
        <v>ELITE HOSPITAL KINGWOOD</v>
      </c>
      <c r="C170" s="4" t="str">
        <v>KINGWOOD</v>
      </c>
      <c r="D170" s="4" t="b">
        <v>0</v>
      </c>
      <c r="E170" s="4" t="b">
        <v>0</v>
      </c>
      <c r="F170" s="4" t="b">
        <v>0</v>
      </c>
      <c r="G170" s="4">
        <v>0</v>
      </c>
    </row>
    <row r="171" spans="1:7">
      <c r="A171" s="4" t="str">
        <v>670314</v>
      </c>
      <c r="B171" s="4" t="str">
        <v>ST MICHAELS MEDICAL HOSPITAL LLC</v>
      </c>
      <c r="C171" s="4" t="str">
        <v>SUGAR LAND</v>
      </c>
      <c r="D171" s="4" t="b">
        <v>0</v>
      </c>
      <c r="E171" s="4" t="b">
        <v>0</v>
      </c>
      <c r="F171" s="4" t="b">
        <v>0</v>
      </c>
      <c r="G171" s="4">
        <v>0</v>
      </c>
    </row>
    <row r="172" spans="1:7">
      <c r="A172" s="4" t="str">
        <v>670320</v>
      </c>
      <c r="B172" s="4" t="str">
        <v>EAST HOUSTON MEDICAL CENTER</v>
      </c>
      <c r="C172" s="4" t="str">
        <v>HOUSTON</v>
      </c>
      <c r="D172" s="4" t="b">
        <v>0</v>
      </c>
      <c r="E172" s="4" t="b">
        <v>0</v>
      </c>
      <c r="F172" s="4" t="b">
        <v>0</v>
      </c>
      <c r="G172" s="4">
        <v>0</v>
      </c>
    </row>
    <row r="173" spans="1:7">
      <c r="A173" s="4" t="str">
        <v>670321</v>
      </c>
      <c r="B173" s="4" t="str">
        <v>ADVANCED DALLAS HOSPITALS AND CLINICS</v>
      </c>
      <c r="C173" s="4" t="str">
        <v>DALLAS</v>
      </c>
      <c r="D173" s="4" t="b">
        <v>0</v>
      </c>
      <c r="E173" s="4" t="b">
        <v>0</v>
      </c>
      <c r="F173" s="4" t="b">
        <v>0</v>
      </c>
      <c r="G173" s="4">
        <v>0</v>
      </c>
    </row>
    <row r="174" spans="1:7">
      <c r="A174" s="4" t="str">
        <v>670322</v>
      </c>
      <c r="B174" s="4" t="str">
        <v>LEGENT SURGICAL HOSPITAL PLANO</v>
      </c>
      <c r="C174" s="4" t="str">
        <v>PLANO</v>
      </c>
      <c r="D174" s="4" t="b">
        <v>0</v>
      </c>
      <c r="E174" s="4" t="b">
        <v>1</v>
      </c>
      <c r="F174" s="4" t="b">
        <v>0</v>
      </c>
      <c r="G174" s="4">
        <v>1</v>
      </c>
    </row>
    <row r="175" spans="1:7">
      <c r="A175" s="4" t="str">
        <v>670326</v>
      </c>
      <c r="B175" s="4" t="str">
        <v>BRUSHY CREEK FAMILY HOSPITAL LLC</v>
      </c>
      <c r="C175" s="4" t="str">
        <v>ROUND ROCK</v>
      </c>
      <c r="D175" s="4" t="b">
        <v>0</v>
      </c>
      <c r="E175" s="4" t="b">
        <v>0</v>
      </c>
      <c r="F175" s="4" t="b">
        <v>0</v>
      </c>
      <c r="G175" s="4">
        <v>0</v>
      </c>
    </row>
    <row r="176" spans="1:7">
      <c r="A176" s="4" t="str">
        <v>670327</v>
      </c>
      <c r="B176" s="4" t="str">
        <v>EXCEPTIONAL COMMUNITY HOSPITAL LUBBOCK</v>
      </c>
      <c r="C176" s="4" t="str">
        <v>LUBBOCK</v>
      </c>
      <c r="D176" s="4" t="b">
        <v>0</v>
      </c>
      <c r="E176" s="4" t="b">
        <v>0</v>
      </c>
      <c r="F176" s="4" t="b">
        <v>0</v>
      </c>
      <c r="G176" s="4">
        <v>0</v>
      </c>
    </row>
    <row r="177" spans="1:18">
      <c r="A177" s="4" t="str">
        <v>670331</v>
      </c>
      <c r="B177" s="4" t="str">
        <v>MID COAST MEDICAL CENTER-TRINITY</v>
      </c>
      <c r="C177" s="4" t="str">
        <v>TRINITY</v>
      </c>
      <c r="D177" s="4" t="b">
        <v>0</v>
      </c>
      <c r="E177" s="4" t="b">
        <v>0</v>
      </c>
      <c r="F177" s="4" t="b">
        <v>0</v>
      </c>
      <c r="G177" s="4">
        <v>0</v>
      </c>
    </row>
    <row r="178" spans="1:18">
      <c r="A178" s="4" t="str">
        <v>670333</v>
      </c>
      <c r="B178" s="4" t="str">
        <v>WESTOVER HILLS BAPTIST HOSPITAL</v>
      </c>
      <c r="C178" s="4" t="str">
        <v>SAN ANTONIO</v>
      </c>
      <c r="D178" s="4" t="b">
        <v>0</v>
      </c>
      <c r="E178" s="4" t="b">
        <v>0</v>
      </c>
      <c r="F178" s="4" t="b">
        <v>0</v>
      </c>
      <c r="G178" s="4">
        <v>0</v>
      </c>
    </row>
    <row r="179" spans="1:18">
      <c r="A179" s="4" t="str">
        <v>670335</v>
      </c>
      <c r="B179" s="4" t="str">
        <v>UT HEALTH SAN ANTONIO MULTISPECIALTY &amp; RESEARCH HO</v>
      </c>
      <c r="C179" s="4" t="str">
        <v>SAN ANTONIO</v>
      </c>
      <c r="D179" s="4" t="b">
        <v>0</v>
      </c>
      <c r="E179" s="4" t="b">
        <v>0</v>
      </c>
      <c r="F179" s="4" t="b">
        <v>0</v>
      </c>
      <c r="G179" s="4">
        <v>0</v>
      </c>
    </row>
    <row r="180" spans="1:18">
      <c r="A180" s="4" t="str">
        <v>670336</v>
      </c>
      <c r="B180" s="4" t="str">
        <v>BANDERA FAMILY HOSPITAL</v>
      </c>
      <c r="C180" s="4" t="str">
        <v>SAN ANTONIO</v>
      </c>
      <c r="D180" s="4" t="b">
        <v>0</v>
      </c>
      <c r="E180" s="4" t="b">
        <v>0</v>
      </c>
      <c r="F180" s="4" t="b">
        <v>0</v>
      </c>
      <c r="G180" s="4">
        <v>0</v>
      </c>
    </row>
    <row r="181" spans="1:18">
      <c r="A181" s="4" t="str">
        <v>670340</v>
      </c>
      <c r="B181" s="4" t="str">
        <v>METHODIST CELINA MEDICAL CENTER</v>
      </c>
      <c r="C181" s="4" t="str">
        <v>CELINA</v>
      </c>
      <c r="D181" s="4" t="b">
        <v>0</v>
      </c>
      <c r="E181" s="4" t="b">
        <v>0</v>
      </c>
      <c r="F181" s="4" t="b">
        <v>0</v>
      </c>
      <c r="G181" s="4">
        <v>0</v>
      </c>
    </row>
    <row r="182" spans="1:18">
      <c r="A182" s="4" t="str">
        <v>670342</v>
      </c>
      <c r="B182" s="4" t="str">
        <v>HOUSTON METHODIST CYPRESS HOSPITAL</v>
      </c>
      <c r="C182" s="4" t="str">
        <v>CYPRESS</v>
      </c>
      <c r="D182" s="4" t="b">
        <v>0</v>
      </c>
      <c r="E182" s="4" t="b">
        <v>0</v>
      </c>
      <c r="F182" s="4" t="b">
        <v>0</v>
      </c>
      <c r="G182" s="4">
        <v>0</v>
      </c>
    </row>
    <row r="183" spans="1:18">
      <c r="A183" s="4" t="str">
        <v>670343</v>
      </c>
      <c r="B183" s="4" t="str">
        <v>BAYLOR SCOTT &amp; WHITE HOSPITAL BRENHAM</v>
      </c>
      <c r="C183" s="4" t="str">
        <v>BRENHAM</v>
      </c>
      <c r="D183" s="4" t="b">
        <v>0</v>
      </c>
      <c r="E183" s="4" t="b">
        <v>0</v>
      </c>
      <c r="F183" s="4" t="b">
        <v>0</v>
      </c>
      <c r="G183" s="4">
        <v>0</v>
      </c>
    </row>
    <row r="184" spans="1:18">
      <c r="A184" s="4" t="str">
        <v>670345</v>
      </c>
      <c r="B184" s="4" t="str">
        <v>LEGENT NORTH HOUSTON SURGICAL HOSPITAL</v>
      </c>
      <c r="C184" s="4" t="str">
        <v>TOMBALL</v>
      </c>
      <c r="D184" s="4" t="b">
        <v>0</v>
      </c>
      <c r="E184" s="4" t="b">
        <v>0</v>
      </c>
      <c r="F184" s="4" t="b">
        <v>0</v>
      </c>
      <c r="G184" s="4">
        <v>0</v>
      </c>
    </row>
    <row r="185" spans="1:18">
      <c r="A185" s="4" t="str">
        <v>670346</v>
      </c>
      <c r="B185" s="4" t="str">
        <v>BAYLOR SCOTT AND WHITE MEDICAL CENTER FRISCO AT PG</v>
      </c>
      <c r="C185" s="4" t="str">
        <v>FRISCO</v>
      </c>
      <c r="D185" s="4" t="b">
        <v>0</v>
      </c>
      <c r="E185" s="4" t="b">
        <v>0</v>
      </c>
      <c r="F185" s="4" t="b">
        <v>0</v>
      </c>
      <c r="G185" s="4">
        <v>0</v>
      </c>
    </row>
    <row r="188" spans="1:18">
      <c r="A188" s="3" t="s">
        <v>1887</v>
      </c>
      <c r="B188" t="s">
        <v>1939</v>
      </c>
      <c r="E188" s="3" t="s">
        <v>1888</v>
      </c>
      <c r="F188" t="s">
        <v>1939</v>
      </c>
    </row>
    <row r="190" spans="1:18" ht="43.5">
      <c r="A190" s="9" t="s">
        <v>1936</v>
      </c>
      <c r="B190" s="4" t="s">
        <v>1940</v>
      </c>
      <c r="C190" s="4" t="s">
        <v>1941</v>
      </c>
      <c r="E190" s="9" t="s">
        <v>1936</v>
      </c>
      <c r="F190" s="4" t="s">
        <v>1938</v>
      </c>
      <c r="G190" s="28" t="s">
        <v>1944</v>
      </c>
      <c r="H190" s="28" t="s">
        <v>1945</v>
      </c>
      <c r="I190" s="28" t="s">
        <v>1946</v>
      </c>
      <c r="J190" s="28" t="s">
        <v>1947</v>
      </c>
      <c r="K190" s="28" t="s">
        <v>1943</v>
      </c>
      <c r="L190" s="28" t="s">
        <v>1942</v>
      </c>
      <c r="N190" t="s">
        <v>2091</v>
      </c>
    </row>
    <row r="191" spans="1:18">
      <c r="A191" s="10">
        <v>1</v>
      </c>
      <c r="B191" s="4">
        <v>6</v>
      </c>
      <c r="C191" s="11">
        <v>0.03</v>
      </c>
      <c r="E191" s="10" t="s">
        <v>56</v>
      </c>
      <c r="F191" s="4">
        <v>30</v>
      </c>
      <c r="G191" s="6">
        <v>81.400000000000006</v>
      </c>
      <c r="H191" s="6">
        <v>81.933333333333337</v>
      </c>
      <c r="I191" s="6">
        <v>64.966666666666669</v>
      </c>
      <c r="J191" s="6">
        <v>87.63333333333334</v>
      </c>
      <c r="K191" s="6">
        <v>75.13333333333334</v>
      </c>
      <c r="L191" s="6">
        <v>72.599999999999994</v>
      </c>
      <c r="N191" s="30" t="s">
        <v>2096</v>
      </c>
      <c r="O191" s="30"/>
      <c r="P191" s="30"/>
      <c r="Q191" s="30"/>
      <c r="R191" s="30"/>
    </row>
    <row r="192" spans="1:18">
      <c r="A192" s="10">
        <v>2</v>
      </c>
      <c r="B192" s="4">
        <v>36</v>
      </c>
      <c r="C192" s="11">
        <v>0.18</v>
      </c>
      <c r="E192" s="10" t="s">
        <v>278</v>
      </c>
      <c r="F192" s="4">
        <v>2</v>
      </c>
      <c r="G192" s="6">
        <v>83.5</v>
      </c>
      <c r="H192" s="6">
        <v>87.5</v>
      </c>
      <c r="I192" s="6">
        <v>69.5</v>
      </c>
      <c r="J192" s="6">
        <v>84.5</v>
      </c>
      <c r="K192" s="6">
        <v>78</v>
      </c>
      <c r="L192" s="6">
        <v>74.5</v>
      </c>
      <c r="N192" s="30"/>
      <c r="O192" s="30"/>
      <c r="P192" s="30"/>
      <c r="Q192" s="30"/>
      <c r="R192" s="30"/>
    </row>
    <row r="193" spans="1:19">
      <c r="A193" s="10">
        <v>3</v>
      </c>
      <c r="B193" s="4">
        <v>64</v>
      </c>
      <c r="C193" s="11">
        <v>0.32</v>
      </c>
      <c r="E193" s="10" t="s">
        <v>63</v>
      </c>
      <c r="F193" s="4">
        <v>3</v>
      </c>
      <c r="G193" s="6">
        <v>80.333333333333329</v>
      </c>
      <c r="H193" s="6">
        <v>82.333333333333329</v>
      </c>
      <c r="I193" s="6">
        <v>64</v>
      </c>
      <c r="J193" s="6">
        <v>90.333333333333329</v>
      </c>
      <c r="K193" s="6">
        <v>79.333333333333329</v>
      </c>
      <c r="L193" s="6">
        <v>79.666666666666671</v>
      </c>
    </row>
    <row r="194" spans="1:19" ht="14.5" customHeight="1">
      <c r="A194" s="10">
        <v>4</v>
      </c>
      <c r="B194" s="4">
        <v>69</v>
      </c>
      <c r="C194" s="11">
        <v>0.34499999999999997</v>
      </c>
      <c r="E194" s="10" t="s">
        <v>81</v>
      </c>
      <c r="F194" s="4">
        <v>20</v>
      </c>
      <c r="G194" s="6">
        <v>82.55</v>
      </c>
      <c r="H194" s="6">
        <v>82.65</v>
      </c>
      <c r="I194" s="6">
        <v>66.25</v>
      </c>
      <c r="J194" s="6">
        <v>86.55</v>
      </c>
      <c r="K194" s="6">
        <v>77.900000000000006</v>
      </c>
      <c r="L194" s="6">
        <v>77.75</v>
      </c>
      <c r="N194" t="s">
        <v>2092</v>
      </c>
      <c r="O194" s="25"/>
      <c r="P194" s="25"/>
      <c r="Q194" s="25"/>
      <c r="R194" s="25"/>
    </row>
    <row r="195" spans="1:19">
      <c r="A195" s="10">
        <v>5</v>
      </c>
      <c r="B195" s="4">
        <v>25</v>
      </c>
      <c r="C195" s="11">
        <v>0.125</v>
      </c>
      <c r="E195" s="10" t="s">
        <v>22</v>
      </c>
      <c r="F195" s="4">
        <v>97</v>
      </c>
      <c r="G195" s="6">
        <v>77.773195876288653</v>
      </c>
      <c r="H195" s="6">
        <v>77.237113402061851</v>
      </c>
      <c r="I195" s="6">
        <v>59.731958762886599</v>
      </c>
      <c r="J195" s="6">
        <v>83.886597938144334</v>
      </c>
      <c r="K195" s="6">
        <v>69.670103092783506</v>
      </c>
      <c r="L195" s="6">
        <v>69.226804123711347</v>
      </c>
      <c r="N195" s="30" t="s">
        <v>2103</v>
      </c>
      <c r="O195" s="30"/>
      <c r="P195" s="30"/>
      <c r="Q195" s="30"/>
      <c r="R195" s="30"/>
    </row>
    <row r="196" spans="1:19">
      <c r="A196" s="10" t="s">
        <v>1937</v>
      </c>
      <c r="B196" s="4">
        <v>200</v>
      </c>
      <c r="C196" s="11">
        <v>1</v>
      </c>
      <c r="E196" s="10" t="s">
        <v>354</v>
      </c>
      <c r="F196" s="4">
        <v>5</v>
      </c>
      <c r="G196" s="6">
        <v>78</v>
      </c>
      <c r="H196" s="6">
        <v>79.8</v>
      </c>
      <c r="I196" s="6">
        <v>60.4</v>
      </c>
      <c r="J196" s="6">
        <v>85.8</v>
      </c>
      <c r="K196" s="6">
        <v>72</v>
      </c>
      <c r="L196" s="6">
        <v>68.2</v>
      </c>
      <c r="N196" s="30"/>
      <c r="O196" s="30"/>
      <c r="P196" s="30"/>
      <c r="Q196" s="30"/>
      <c r="R196" s="30"/>
    </row>
    <row r="197" spans="1:19" ht="14.5" customHeight="1">
      <c r="E197" s="10" t="s">
        <v>75</v>
      </c>
      <c r="F197" s="4">
        <v>11</v>
      </c>
      <c r="G197" s="6">
        <v>78.545454545454547</v>
      </c>
      <c r="H197" s="6">
        <v>80.272727272727266</v>
      </c>
      <c r="I197" s="6">
        <v>61.545454545454547</v>
      </c>
      <c r="J197" s="6">
        <v>85.909090909090907</v>
      </c>
      <c r="K197" s="6">
        <v>73</v>
      </c>
      <c r="L197" s="6">
        <v>72.818181818181813</v>
      </c>
      <c r="N197" t="s">
        <v>2102</v>
      </c>
      <c r="O197" s="25"/>
      <c r="P197" s="25"/>
      <c r="Q197" s="25"/>
      <c r="R197" s="25"/>
    </row>
    <row r="198" spans="1:19">
      <c r="E198" s="10" t="s">
        <v>33</v>
      </c>
      <c r="F198" s="4">
        <v>88</v>
      </c>
      <c r="G198" s="6">
        <v>78.931818181818187</v>
      </c>
      <c r="H198" s="6">
        <v>78.159090909090907</v>
      </c>
      <c r="I198" s="6">
        <v>61.261363636363633</v>
      </c>
      <c r="J198" s="6">
        <v>86.227272727272734</v>
      </c>
      <c r="K198" s="6">
        <v>73.545454545454547</v>
      </c>
      <c r="L198" s="6">
        <v>73.034090909090907</v>
      </c>
      <c r="N198" s="30" t="s">
        <v>2100</v>
      </c>
      <c r="O198" s="30"/>
      <c r="P198" s="30"/>
      <c r="Q198" s="30"/>
      <c r="R198" s="30"/>
    </row>
    <row r="199" spans="1:19" ht="14.5" customHeight="1">
      <c r="E199" s="10" t="s">
        <v>1937</v>
      </c>
      <c r="F199" s="4">
        <v>256</v>
      </c>
      <c r="G199" s="6">
        <v>79.08203125</v>
      </c>
      <c r="H199" s="6">
        <v>78.84765625</v>
      </c>
      <c r="I199" s="6">
        <v>61.59765625</v>
      </c>
      <c r="J199" s="6">
        <v>85.54296875</v>
      </c>
      <c r="K199" s="6">
        <v>72.65234375</v>
      </c>
      <c r="L199" s="6">
        <v>71.89453125</v>
      </c>
      <c r="N199" s="30"/>
      <c r="O199" s="30"/>
      <c r="P199" s="30"/>
      <c r="Q199" s="30"/>
      <c r="R199" s="30"/>
      <c r="S199" s="25"/>
    </row>
    <row r="200" spans="1:19">
      <c r="N200" s="30" t="s">
        <v>2101</v>
      </c>
      <c r="O200" s="30"/>
      <c r="P200" s="30"/>
      <c r="Q200" s="30"/>
      <c r="R200" s="30"/>
      <c r="S200" s="30"/>
    </row>
    <row r="201" spans="1:19">
      <c r="N201" s="30"/>
      <c r="O201" s="30"/>
      <c r="P201" s="30"/>
      <c r="Q201" s="30"/>
      <c r="R201" s="30"/>
      <c r="S201" s="30"/>
    </row>
    <row r="202" spans="1:19" ht="14.5" customHeight="1">
      <c r="O202" s="25"/>
      <c r="P202" s="25"/>
      <c r="Q202" s="25"/>
      <c r="R202" s="25"/>
    </row>
    <row r="204" spans="1:19">
      <c r="A204" s="9" t="s">
        <v>1936</v>
      </c>
      <c r="B204" s="4" t="s">
        <v>1940</v>
      </c>
      <c r="C204" s="4" t="s">
        <v>1948</v>
      </c>
      <c r="E204" s="3" t="s">
        <v>1889</v>
      </c>
      <c r="F204" t="s">
        <v>1939</v>
      </c>
      <c r="J204" t="s">
        <v>2093</v>
      </c>
    </row>
    <row r="205" spans="1:19" ht="14.5" customHeight="1">
      <c r="A205" s="10" t="s">
        <v>1885</v>
      </c>
      <c r="B205" s="4">
        <v>7</v>
      </c>
      <c r="C205" s="12">
        <v>2.7559055118110236E-2</v>
      </c>
      <c r="J205" t="s">
        <v>2104</v>
      </c>
      <c r="O205" s="25"/>
      <c r="P205" s="25"/>
      <c r="Q205" s="25"/>
      <c r="R205" s="25"/>
    </row>
    <row r="206" spans="1:19" ht="43.5">
      <c r="A206" s="10" t="s">
        <v>1884</v>
      </c>
      <c r="B206" s="4">
        <v>237</v>
      </c>
      <c r="C206" s="12">
        <v>0.93307086614173229</v>
      </c>
      <c r="E206" s="9" t="s">
        <v>1936</v>
      </c>
      <c r="F206" s="4" t="s">
        <v>1938</v>
      </c>
      <c r="G206" s="28" t="s">
        <v>1952</v>
      </c>
      <c r="H206" s="28" t="s">
        <v>1953</v>
      </c>
      <c r="J206" s="30" t="s">
        <v>2105</v>
      </c>
      <c r="K206" s="30"/>
      <c r="L206" s="30"/>
      <c r="M206" s="30"/>
      <c r="N206" s="30"/>
      <c r="O206" s="25"/>
      <c r="P206" s="25"/>
      <c r="Q206" s="25"/>
      <c r="R206" s="25"/>
    </row>
    <row r="207" spans="1:19">
      <c r="A207" s="10" t="s">
        <v>1886</v>
      </c>
      <c r="B207" s="4">
        <v>10</v>
      </c>
      <c r="C207" s="12">
        <v>3.937007874015748E-2</v>
      </c>
      <c r="E207" s="10" t="s">
        <v>1949</v>
      </c>
      <c r="F207" s="4">
        <v>70</v>
      </c>
      <c r="G207" s="26">
        <v>15.145714285714286</v>
      </c>
      <c r="H207" s="12">
        <v>7.1428571428571425E-2</v>
      </c>
      <c r="J207" s="30"/>
      <c r="K207" s="30"/>
      <c r="L207" s="30"/>
      <c r="M207" s="30"/>
      <c r="N207" s="30"/>
    </row>
    <row r="208" spans="1:19" ht="14.5" customHeight="1">
      <c r="A208" s="10" t="s">
        <v>1937</v>
      </c>
      <c r="B208" s="4">
        <v>254</v>
      </c>
      <c r="C208" s="12">
        <v>1</v>
      </c>
      <c r="E208" s="10" t="s">
        <v>1950</v>
      </c>
      <c r="F208" s="4">
        <v>61</v>
      </c>
      <c r="G208" s="26">
        <v>15.103278688524593</v>
      </c>
      <c r="H208" s="12">
        <v>6.5573770491803282E-2</v>
      </c>
      <c r="O208" s="25"/>
      <c r="P208" s="25"/>
      <c r="Q208" s="25"/>
      <c r="R208" s="25"/>
    </row>
    <row r="209" spans="1:19">
      <c r="E209" s="10" t="s">
        <v>1925</v>
      </c>
      <c r="F209" s="4">
        <v>64</v>
      </c>
      <c r="G209" s="26">
        <v>14.745312499999994</v>
      </c>
      <c r="H209" s="12">
        <v>0</v>
      </c>
      <c r="J209" t="s">
        <v>2094</v>
      </c>
      <c r="O209" s="25"/>
      <c r="P209" s="25"/>
      <c r="Q209" s="25"/>
      <c r="R209" s="25"/>
    </row>
    <row r="210" spans="1:19" ht="14.5" customHeight="1">
      <c r="E210" s="10" t="s">
        <v>1951</v>
      </c>
      <c r="F210" s="4">
        <v>55</v>
      </c>
      <c r="G210" s="26">
        <v>14.769090909090908</v>
      </c>
      <c r="H210" s="12">
        <v>1.8181818181818181E-2</v>
      </c>
      <c r="J210" s="30" t="s">
        <v>2023</v>
      </c>
      <c r="K210" s="30"/>
      <c r="L210" s="30"/>
      <c r="M210" s="30"/>
      <c r="N210" s="30"/>
      <c r="O210" s="30"/>
      <c r="P210" s="30"/>
      <c r="Q210" s="25"/>
      <c r="R210" s="25"/>
      <c r="S210" s="25"/>
    </row>
    <row r="211" spans="1:19">
      <c r="E211" s="10" t="s">
        <v>1937</v>
      </c>
      <c r="F211" s="4">
        <v>250</v>
      </c>
      <c r="G211" s="26">
        <v>14.950000000000015</v>
      </c>
      <c r="H211" s="12">
        <v>0.04</v>
      </c>
      <c r="J211" s="30"/>
      <c r="K211" s="30"/>
      <c r="L211" s="30"/>
      <c r="M211" s="30"/>
      <c r="N211" s="30"/>
      <c r="O211" s="30"/>
      <c r="P211" s="30"/>
      <c r="Q211" s="25"/>
      <c r="R211" s="25"/>
      <c r="S211" s="25"/>
    </row>
    <row r="212" spans="1:19">
      <c r="J212" t="s">
        <v>2024</v>
      </c>
    </row>
    <row r="213" spans="1:19">
      <c r="J213" s="30" t="s">
        <v>2106</v>
      </c>
      <c r="K213" s="30"/>
      <c r="L213" s="30"/>
      <c r="M213" s="30"/>
      <c r="N213" s="30"/>
    </row>
    <row r="214" spans="1:19">
      <c r="J214" s="30"/>
      <c r="K214" s="30"/>
      <c r="L214" s="30"/>
      <c r="M214" s="30"/>
      <c r="N214" s="30"/>
    </row>
    <row r="217" spans="1:19">
      <c r="A217" s="3" t="s">
        <v>1938</v>
      </c>
      <c r="B217" s="3" t="s">
        <v>1954</v>
      </c>
      <c r="I217" t="s">
        <v>2095</v>
      </c>
    </row>
    <row r="218" spans="1:19" ht="14.5" customHeight="1">
      <c r="A218" s="9" t="s">
        <v>1936</v>
      </c>
      <c r="B218" s="4" t="s">
        <v>1955</v>
      </c>
      <c r="C218" s="4" t="s">
        <v>1956</v>
      </c>
      <c r="D218" s="4" t="s">
        <v>1917</v>
      </c>
      <c r="E218" s="4" t="s">
        <v>1957</v>
      </c>
      <c r="F218" s="4" t="s">
        <v>1958</v>
      </c>
      <c r="G218" s="4" t="s">
        <v>1937</v>
      </c>
      <c r="I218" t="s">
        <v>2108</v>
      </c>
      <c r="K218" s="25"/>
      <c r="L218" s="25"/>
      <c r="M218" s="25"/>
      <c r="N218" s="25"/>
    </row>
    <row r="219" spans="1:19">
      <c r="A219" s="10" t="s">
        <v>56</v>
      </c>
      <c r="B219" s="4">
        <v>13</v>
      </c>
      <c r="C219" s="4">
        <v>11</v>
      </c>
      <c r="D219" s="4">
        <v>5</v>
      </c>
      <c r="E219" s="4"/>
      <c r="F219" s="4">
        <v>4</v>
      </c>
      <c r="G219" s="4">
        <v>33</v>
      </c>
      <c r="I219" t="s">
        <v>2107</v>
      </c>
      <c r="K219" s="25"/>
      <c r="L219" s="25"/>
      <c r="M219" s="25"/>
      <c r="N219" s="25"/>
    </row>
    <row r="220" spans="1:19">
      <c r="A220" s="10" t="s">
        <v>278</v>
      </c>
      <c r="B220" s="4">
        <v>1</v>
      </c>
      <c r="C220" s="4">
        <v>1</v>
      </c>
      <c r="D220" s="4"/>
      <c r="E220" s="4"/>
      <c r="F220" s="4"/>
      <c r="G220" s="4">
        <v>2</v>
      </c>
      <c r="I220" s="30" t="s">
        <v>2038</v>
      </c>
      <c r="J220" s="30"/>
      <c r="K220" s="30"/>
      <c r="L220" s="30"/>
      <c r="M220" s="30"/>
      <c r="N220" s="30"/>
    </row>
    <row r="221" spans="1:19">
      <c r="A221" s="10" t="s">
        <v>63</v>
      </c>
      <c r="B221" s="4">
        <v>2</v>
      </c>
      <c r="C221" s="4">
        <v>1</v>
      </c>
      <c r="D221" s="4">
        <v>2</v>
      </c>
      <c r="E221" s="4"/>
      <c r="F221" s="4"/>
      <c r="G221" s="4">
        <v>5</v>
      </c>
      <c r="I221" s="30"/>
      <c r="J221" s="30"/>
      <c r="K221" s="30"/>
      <c r="L221" s="30"/>
      <c r="M221" s="30"/>
      <c r="N221" s="30"/>
    </row>
    <row r="222" spans="1:19" ht="14.5" customHeight="1">
      <c r="A222" s="10" t="s">
        <v>81</v>
      </c>
      <c r="B222" s="4">
        <v>13</v>
      </c>
      <c r="C222" s="4">
        <v>3</v>
      </c>
      <c r="D222" s="4">
        <v>6</v>
      </c>
      <c r="E222" s="4"/>
      <c r="F222" s="4">
        <v>1</v>
      </c>
      <c r="G222" s="4">
        <v>23</v>
      </c>
      <c r="K222" s="25"/>
      <c r="L222" s="25"/>
      <c r="M222" s="25"/>
      <c r="N222" s="25"/>
      <c r="O222" s="25"/>
      <c r="P222" s="25"/>
    </row>
    <row r="223" spans="1:19">
      <c r="A223" s="10" t="s">
        <v>22</v>
      </c>
      <c r="B223" s="4">
        <v>42</v>
      </c>
      <c r="C223" s="4">
        <v>28</v>
      </c>
      <c r="D223" s="4">
        <v>16</v>
      </c>
      <c r="E223" s="4">
        <v>3</v>
      </c>
      <c r="F223" s="4">
        <v>24</v>
      </c>
      <c r="G223" s="4">
        <v>113</v>
      </c>
      <c r="K223" s="25"/>
      <c r="L223" s="25"/>
      <c r="M223" s="25"/>
      <c r="N223" s="25"/>
      <c r="O223" s="25"/>
      <c r="P223" s="25"/>
    </row>
    <row r="224" spans="1:19">
      <c r="A224" s="10" t="s">
        <v>354</v>
      </c>
      <c r="B224" s="4"/>
      <c r="C224" s="4">
        <v>4</v>
      </c>
      <c r="D224" s="4">
        <v>1</v>
      </c>
      <c r="E224" s="4"/>
      <c r="F224" s="4"/>
      <c r="G224" s="4">
        <v>5</v>
      </c>
    </row>
    <row r="225" spans="1:14" ht="14.5" customHeight="1">
      <c r="A225" s="10" t="s">
        <v>75</v>
      </c>
      <c r="B225" s="4">
        <v>4</v>
      </c>
      <c r="C225" s="4">
        <v>3</v>
      </c>
      <c r="D225" s="4">
        <v>5</v>
      </c>
      <c r="E225" s="4"/>
      <c r="F225" s="4"/>
      <c r="G225" s="4">
        <v>12</v>
      </c>
      <c r="K225" s="25"/>
      <c r="L225" s="25"/>
      <c r="M225" s="25"/>
      <c r="N225" s="25"/>
    </row>
    <row r="226" spans="1:14">
      <c r="A226" s="10" t="s">
        <v>33</v>
      </c>
      <c r="B226" s="4">
        <v>11</v>
      </c>
      <c r="C226" s="4">
        <v>30</v>
      </c>
      <c r="D226" s="4">
        <v>46</v>
      </c>
      <c r="E226" s="4"/>
      <c r="F226" s="4">
        <v>5</v>
      </c>
      <c r="G226" s="4">
        <v>92</v>
      </c>
      <c r="J226" s="25"/>
      <c r="K226" s="25"/>
      <c r="L226" s="25"/>
      <c r="M226" s="25"/>
      <c r="N226" s="25"/>
    </row>
    <row r="227" spans="1:14">
      <c r="A227" s="10" t="s">
        <v>1937</v>
      </c>
      <c r="B227" s="4">
        <v>86</v>
      </c>
      <c r="C227" s="4">
        <v>81</v>
      </c>
      <c r="D227" s="4">
        <v>81</v>
      </c>
      <c r="E227" s="4">
        <v>3</v>
      </c>
      <c r="F227" s="4">
        <v>34</v>
      </c>
      <c r="G227" s="4">
        <v>285</v>
      </c>
    </row>
    <row r="230" spans="1:14">
      <c r="A230" s="3" t="s">
        <v>1938</v>
      </c>
      <c r="B230" s="3" t="s">
        <v>1954</v>
      </c>
    </row>
    <row r="231" spans="1:14">
      <c r="A231" s="9" t="s">
        <v>1936</v>
      </c>
      <c r="B231" s="4" t="s">
        <v>1955</v>
      </c>
      <c r="C231" s="4" t="s">
        <v>1956</v>
      </c>
      <c r="D231" s="4" t="s">
        <v>1917</v>
      </c>
      <c r="E231" s="4" t="s">
        <v>1957</v>
      </c>
      <c r="F231" s="4" t="s">
        <v>1958</v>
      </c>
      <c r="G231" s="4" t="s">
        <v>1937</v>
      </c>
    </row>
    <row r="232" spans="1:14">
      <c r="A232" s="10" t="s">
        <v>56</v>
      </c>
      <c r="B232" s="12">
        <v>4.5614035087719301E-2</v>
      </c>
      <c r="C232" s="12">
        <v>3.8596491228070177E-2</v>
      </c>
      <c r="D232" s="12">
        <v>1.7543859649122806E-2</v>
      </c>
      <c r="E232" s="12">
        <v>0</v>
      </c>
      <c r="F232" s="12">
        <v>1.4035087719298246E-2</v>
      </c>
      <c r="G232" s="12">
        <v>0.11578947368421053</v>
      </c>
    </row>
    <row r="233" spans="1:14" ht="14.5" customHeight="1">
      <c r="A233" s="10" t="s">
        <v>278</v>
      </c>
      <c r="B233" s="12">
        <v>3.5087719298245615E-3</v>
      </c>
      <c r="C233" s="12">
        <v>3.5087719298245615E-3</v>
      </c>
      <c r="D233" s="12">
        <v>0</v>
      </c>
      <c r="E233" s="12">
        <v>0</v>
      </c>
      <c r="F233" s="12">
        <v>0</v>
      </c>
      <c r="G233" s="12">
        <v>7.0175438596491229E-3</v>
      </c>
      <c r="J233" s="25"/>
      <c r="K233" s="25"/>
      <c r="L233" s="25"/>
      <c r="M233" s="25"/>
      <c r="N233" s="25"/>
    </row>
    <row r="234" spans="1:14">
      <c r="A234" s="10" t="s">
        <v>63</v>
      </c>
      <c r="B234" s="12">
        <v>7.0175438596491229E-3</v>
      </c>
      <c r="C234" s="12">
        <v>3.5087719298245615E-3</v>
      </c>
      <c r="D234" s="12">
        <v>7.0175438596491229E-3</v>
      </c>
      <c r="E234" s="12">
        <v>0</v>
      </c>
      <c r="F234" s="12">
        <v>0</v>
      </c>
      <c r="G234" s="12">
        <v>1.7543859649122806E-2</v>
      </c>
      <c r="I234" s="25"/>
      <c r="J234" s="25"/>
      <c r="K234" s="25"/>
      <c r="L234" s="25"/>
      <c r="M234" s="25"/>
      <c r="N234" s="25"/>
    </row>
    <row r="235" spans="1:14">
      <c r="A235" s="10" t="s">
        <v>81</v>
      </c>
      <c r="B235" s="12">
        <v>4.5614035087719301E-2</v>
      </c>
      <c r="C235" s="12">
        <v>1.0526315789473684E-2</v>
      </c>
      <c r="D235" s="12">
        <v>2.1052631578947368E-2</v>
      </c>
      <c r="E235" s="12">
        <v>0</v>
      </c>
      <c r="F235" s="12">
        <v>3.5087719298245615E-3</v>
      </c>
      <c r="G235" s="12">
        <v>8.0701754385964913E-2</v>
      </c>
    </row>
    <row r="236" spans="1:14">
      <c r="A236" s="10" t="s">
        <v>22</v>
      </c>
      <c r="B236" s="12">
        <v>0.14736842105263157</v>
      </c>
      <c r="C236" s="12">
        <v>9.8245614035087719E-2</v>
      </c>
      <c r="D236" s="12">
        <v>5.6140350877192984E-2</v>
      </c>
      <c r="E236" s="12">
        <v>1.0526315789473684E-2</v>
      </c>
      <c r="F236" s="12">
        <v>8.4210526315789472E-2</v>
      </c>
      <c r="G236" s="12">
        <v>0.39649122807017545</v>
      </c>
    </row>
    <row r="237" spans="1:14">
      <c r="A237" s="10" t="s">
        <v>354</v>
      </c>
      <c r="B237" s="12">
        <v>0</v>
      </c>
      <c r="C237" s="12">
        <v>1.4035087719298246E-2</v>
      </c>
      <c r="D237" s="12">
        <v>3.5087719298245615E-3</v>
      </c>
      <c r="E237" s="12">
        <v>0</v>
      </c>
      <c r="F237" s="12">
        <v>0</v>
      </c>
      <c r="G237" s="12">
        <v>1.7543859649122806E-2</v>
      </c>
    </row>
    <row r="238" spans="1:14">
      <c r="A238" s="10" t="s">
        <v>75</v>
      </c>
      <c r="B238" s="12">
        <v>1.4035087719298246E-2</v>
      </c>
      <c r="C238" s="12">
        <v>1.0526315789473684E-2</v>
      </c>
      <c r="D238" s="12">
        <v>1.7543859649122806E-2</v>
      </c>
      <c r="E238" s="12">
        <v>0</v>
      </c>
      <c r="F238" s="12">
        <v>0</v>
      </c>
      <c r="G238" s="12">
        <v>4.2105263157894736E-2</v>
      </c>
    </row>
    <row r="239" spans="1:14">
      <c r="A239" s="10" t="s">
        <v>33</v>
      </c>
      <c r="B239" s="12">
        <v>3.8596491228070177E-2</v>
      </c>
      <c r="C239" s="12">
        <v>0.10526315789473684</v>
      </c>
      <c r="D239" s="12">
        <v>0.16140350877192983</v>
      </c>
      <c r="E239" s="12">
        <v>0</v>
      </c>
      <c r="F239" s="12">
        <v>1.7543859649122806E-2</v>
      </c>
      <c r="G239" s="12">
        <v>0.32280701754385965</v>
      </c>
    </row>
    <row r="240" spans="1:14">
      <c r="A240" s="10" t="s">
        <v>1937</v>
      </c>
      <c r="B240" s="12">
        <v>0.30175438596491228</v>
      </c>
      <c r="C240" s="12">
        <v>0.28421052631578947</v>
      </c>
      <c r="D240" s="12">
        <v>0.28421052631578947</v>
      </c>
      <c r="E240" s="12">
        <v>1.0526315789473684E-2</v>
      </c>
      <c r="F240" s="12">
        <v>0.11929824561403508</v>
      </c>
      <c r="G240" s="12">
        <v>1</v>
      </c>
    </row>
    <row r="243" spans="1:3">
      <c r="A243" s="27" t="s">
        <v>2055</v>
      </c>
      <c r="B243" s="25"/>
      <c r="C243" s="25"/>
    </row>
    <row r="244" spans="1:3">
      <c r="A244" s="28" t="s">
        <v>1986</v>
      </c>
      <c r="B244" s="28" t="s">
        <v>1987</v>
      </c>
      <c r="C244" s="28" t="s">
        <v>1988</v>
      </c>
    </row>
    <row r="245" spans="1:3" ht="38.5">
      <c r="A245" s="28" t="s">
        <v>1897</v>
      </c>
      <c r="B245" s="29" t="s">
        <v>2015</v>
      </c>
      <c r="C245" s="28" t="s">
        <v>1994</v>
      </c>
    </row>
    <row r="246" spans="1:3" ht="43.5">
      <c r="A246" s="28" t="s">
        <v>1898</v>
      </c>
      <c r="B246" s="28" t="s">
        <v>1989</v>
      </c>
      <c r="C246" s="28" t="s">
        <v>1999</v>
      </c>
    </row>
    <row r="247" spans="1:3" ht="58">
      <c r="A247" s="28" t="s">
        <v>1899</v>
      </c>
      <c r="B247" s="28" t="s">
        <v>1990</v>
      </c>
      <c r="C247" s="28" t="s">
        <v>1995</v>
      </c>
    </row>
    <row r="248" spans="1:3" ht="43.5">
      <c r="A248" s="28" t="s">
        <v>1900</v>
      </c>
      <c r="B248" s="28" t="s">
        <v>1991</v>
      </c>
      <c r="C248" s="28" t="s">
        <v>1996</v>
      </c>
    </row>
    <row r="249" spans="1:3" ht="58">
      <c r="A249" s="28" t="s">
        <v>1901</v>
      </c>
      <c r="B249" s="28" t="s">
        <v>1992</v>
      </c>
      <c r="C249" s="28" t="s">
        <v>1997</v>
      </c>
    </row>
    <row r="250" spans="1:3" ht="58">
      <c r="A250" s="28" t="s">
        <v>1902</v>
      </c>
      <c r="B250" s="28" t="s">
        <v>1993</v>
      </c>
      <c r="C250" s="28" t="s">
        <v>1998</v>
      </c>
    </row>
    <row r="251" spans="1:3" ht="43.5">
      <c r="A251" s="28" t="s">
        <v>1903</v>
      </c>
      <c r="B251" s="28" t="s">
        <v>2099</v>
      </c>
      <c r="C251" s="28" t="s">
        <v>2000</v>
      </c>
    </row>
    <row r="252" spans="1:3" ht="58">
      <c r="A252" s="28" t="s">
        <v>2001</v>
      </c>
      <c r="B252" s="28" t="s">
        <v>2002</v>
      </c>
      <c r="C252" s="28" t="s">
        <v>2003</v>
      </c>
    </row>
    <row r="253" spans="1:3" ht="43.5">
      <c r="A253" s="28" t="s">
        <v>2004</v>
      </c>
      <c r="B253" s="28" t="s">
        <v>2005</v>
      </c>
      <c r="C253" s="28" t="s">
        <v>2006</v>
      </c>
    </row>
    <row r="254" spans="1:3" ht="43.5">
      <c r="A254" s="28" t="s">
        <v>2009</v>
      </c>
      <c r="B254" s="28" t="s">
        <v>2010</v>
      </c>
      <c r="C254" s="28" t="s">
        <v>2011</v>
      </c>
    </row>
    <row r="255" spans="1:3" ht="43.5">
      <c r="A255" s="28" t="s">
        <v>2012</v>
      </c>
      <c r="B255" s="28" t="s">
        <v>2013</v>
      </c>
      <c r="C255" s="28" t="s">
        <v>2014</v>
      </c>
    </row>
    <row r="256" spans="1:3" ht="72.5">
      <c r="A256" s="28" t="s">
        <v>2007</v>
      </c>
      <c r="B256" s="28" t="s">
        <v>2008</v>
      </c>
      <c r="C256" s="28" t="s">
        <v>2019</v>
      </c>
    </row>
    <row r="257" spans="1:3" ht="58">
      <c r="A257" s="28" t="s">
        <v>1948</v>
      </c>
      <c r="B257" s="28" t="s">
        <v>2109</v>
      </c>
      <c r="C257" s="28" t="s">
        <v>2016</v>
      </c>
    </row>
    <row r="258" spans="1:3" ht="43.5">
      <c r="A258" s="28" t="s">
        <v>1960</v>
      </c>
      <c r="B258" s="28" t="s">
        <v>2017</v>
      </c>
      <c r="C258" s="28" t="s">
        <v>2018</v>
      </c>
    </row>
    <row r="259" spans="1:3" ht="43.5">
      <c r="A259" s="28" t="s">
        <v>1961</v>
      </c>
      <c r="B259" s="28" t="s">
        <v>2020</v>
      </c>
      <c r="C259" s="28" t="s">
        <v>2021</v>
      </c>
    </row>
  </sheetData>
  <mergeCells count="18">
    <mergeCell ref="I220:N221"/>
    <mergeCell ref="N195:R196"/>
    <mergeCell ref="N198:R199"/>
    <mergeCell ref="N200:S201"/>
    <mergeCell ref="J206:N207"/>
    <mergeCell ref="J210:P211"/>
    <mergeCell ref="I108:M109"/>
    <mergeCell ref="I112:M113"/>
    <mergeCell ref="J213:N214"/>
    <mergeCell ref="N191:R192"/>
    <mergeCell ref="L28:P29"/>
    <mergeCell ref="L30:P31"/>
    <mergeCell ref="L34:P35"/>
    <mergeCell ref="F40:K41"/>
    <mergeCell ref="F42:K43"/>
    <mergeCell ref="F46:K47"/>
    <mergeCell ref="L60:P61"/>
    <mergeCell ref="I101:M102"/>
  </mergeCells>
  <pageMargins left="0.7" right="0.7" top="0.75" bottom="0.75" header="0.3" footer="0.3"/>
  <pageSetup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FB32A-06E9-499D-953E-67882D4D2B49}">
  <dimension ref="A1:D42"/>
  <sheetViews>
    <sheetView zoomScale="80" zoomScaleNormal="80" workbookViewId="0">
      <selection activeCell="F23" sqref="F23"/>
    </sheetView>
  </sheetViews>
  <sheetFormatPr defaultRowHeight="14.5"/>
  <cols>
    <col min="1" max="1" width="35.6328125" customWidth="1"/>
    <col min="2" max="2" width="27.453125" customWidth="1"/>
    <col min="3" max="3" width="17.1796875" bestFit="1" customWidth="1"/>
    <col min="4" max="4" width="15.1796875" bestFit="1" customWidth="1"/>
  </cols>
  <sheetData>
    <row r="1" spans="1:3">
      <c r="A1" s="7" t="s">
        <v>2056</v>
      </c>
    </row>
    <row r="2" spans="1:3">
      <c r="A2" s="3" t="s">
        <v>1887</v>
      </c>
      <c r="B2" t="s">
        <v>1939</v>
      </c>
    </row>
    <row r="3" spans="1:3">
      <c r="A3" s="4"/>
      <c r="B3" s="4"/>
    </row>
    <row r="4" spans="1:3">
      <c r="A4" s="9" t="s">
        <v>1936</v>
      </c>
      <c r="B4" s="4" t="s">
        <v>1940</v>
      </c>
    </row>
    <row r="5" spans="1:3">
      <c r="A5" s="10">
        <v>1</v>
      </c>
      <c r="B5" s="4">
        <v>6</v>
      </c>
    </row>
    <row r="6" spans="1:3">
      <c r="A6" s="10">
        <v>2</v>
      </c>
      <c r="B6" s="4">
        <v>36</v>
      </c>
    </row>
    <row r="7" spans="1:3">
      <c r="A7" s="10">
        <v>3</v>
      </c>
      <c r="B7" s="4">
        <v>64</v>
      </c>
    </row>
    <row r="8" spans="1:3">
      <c r="A8" s="10">
        <v>4</v>
      </c>
      <c r="B8" s="4">
        <v>69</v>
      </c>
    </row>
    <row r="9" spans="1:3">
      <c r="A9" s="10">
        <v>5</v>
      </c>
      <c r="B9" s="4">
        <v>25</v>
      </c>
    </row>
    <row r="10" spans="1:3">
      <c r="A10" s="10" t="s">
        <v>1937</v>
      </c>
      <c r="B10" s="4">
        <v>200</v>
      </c>
    </row>
    <row r="13" spans="1:3">
      <c r="A13" s="7" t="s">
        <v>2057</v>
      </c>
    </row>
    <row r="14" spans="1:3">
      <c r="A14" s="4" t="s">
        <v>2032</v>
      </c>
      <c r="B14" s="4" t="s">
        <v>1933</v>
      </c>
      <c r="C14" s="4" t="s">
        <v>2033</v>
      </c>
    </row>
    <row r="15" spans="1:3">
      <c r="A15" s="10" t="s">
        <v>56</v>
      </c>
      <c r="B15" s="6">
        <v>72.599999999999994</v>
      </c>
      <c r="C15" s="6">
        <v>75.13333333333334</v>
      </c>
    </row>
    <row r="16" spans="1:3">
      <c r="A16" s="10" t="s">
        <v>278</v>
      </c>
      <c r="B16" s="6">
        <v>74.5</v>
      </c>
      <c r="C16" s="6">
        <v>78</v>
      </c>
    </row>
    <row r="17" spans="1:3">
      <c r="A17" s="10" t="s">
        <v>63</v>
      </c>
      <c r="B17" s="6">
        <v>79.666666666666671</v>
      </c>
      <c r="C17" s="6">
        <v>79.333333333333329</v>
      </c>
    </row>
    <row r="18" spans="1:3">
      <c r="A18" s="10" t="s">
        <v>81</v>
      </c>
      <c r="B18" s="6">
        <v>77.75</v>
      </c>
      <c r="C18" s="6">
        <v>77.900000000000006</v>
      </c>
    </row>
    <row r="19" spans="1:3">
      <c r="A19" s="10" t="s">
        <v>22</v>
      </c>
      <c r="B19" s="6">
        <v>69.226804123711347</v>
      </c>
      <c r="C19" s="6">
        <v>69.670103092783506</v>
      </c>
    </row>
    <row r="20" spans="1:3">
      <c r="A20" s="10" t="s">
        <v>354</v>
      </c>
      <c r="B20" s="6">
        <v>68.2</v>
      </c>
      <c r="C20" s="6">
        <v>72</v>
      </c>
    </row>
    <row r="21" spans="1:3">
      <c r="A21" s="10" t="s">
        <v>75</v>
      </c>
      <c r="B21" s="6">
        <v>72.818181818181813</v>
      </c>
      <c r="C21" s="6">
        <v>73</v>
      </c>
    </row>
    <row r="22" spans="1:3">
      <c r="A22" s="10" t="s">
        <v>33</v>
      </c>
      <c r="B22" s="6">
        <v>73.034090909090907</v>
      </c>
      <c r="C22" s="6">
        <v>73.545454545454547</v>
      </c>
    </row>
    <row r="25" spans="1:3">
      <c r="A25" s="7" t="s">
        <v>2058</v>
      </c>
    </row>
    <row r="26" spans="1:3">
      <c r="A26" s="9" t="s">
        <v>1936</v>
      </c>
      <c r="B26" s="4" t="s">
        <v>2035</v>
      </c>
    </row>
    <row r="27" spans="1:3">
      <c r="A27" s="10" t="s">
        <v>1885</v>
      </c>
      <c r="B27" s="12">
        <v>2.7559055118110236E-2</v>
      </c>
    </row>
    <row r="28" spans="1:3">
      <c r="A28" s="10" t="s">
        <v>1884</v>
      </c>
      <c r="B28" s="12">
        <v>0.93307086614173229</v>
      </c>
    </row>
    <row r="29" spans="1:3">
      <c r="A29" s="10" t="s">
        <v>1886</v>
      </c>
      <c r="B29" s="12">
        <v>3.937007874015748E-2</v>
      </c>
    </row>
    <row r="30" spans="1:3">
      <c r="A30" s="10" t="s">
        <v>1937</v>
      </c>
      <c r="B30" s="12">
        <v>1</v>
      </c>
    </row>
    <row r="33" spans="1:4">
      <c r="A33" s="22" t="s">
        <v>2076</v>
      </c>
    </row>
    <row r="34" spans="1:4">
      <c r="A34" s="13" t="s">
        <v>1977</v>
      </c>
      <c r="B34" s="14" t="s">
        <v>2036</v>
      </c>
      <c r="C34" s="14" t="s">
        <v>1937</v>
      </c>
      <c r="D34" s="15" t="s">
        <v>2037</v>
      </c>
    </row>
    <row r="35" spans="1:4">
      <c r="A35" s="16" t="str">
        <f>analysis!A223</f>
        <v>Proprietary</v>
      </c>
      <c r="B35" s="4">
        <f>IFERROR(
GETPIVOTDATA("Facility_ID",analysis!$A$217,"Hospital_Ownership",Table9[[#This Row],[Ownership]],"Priority_Tier","Priority 1"), 0) +
IFERROR(GETPIVOTDATA("Facility_ID",analysis!$A$217,"Hospital_Ownership",Table9[[#This Row],[Ownership]],"Priority_Tier","Priority 2"), 0)</f>
        <v>27</v>
      </c>
      <c r="C35" s="4">
        <f>GETPIVOTDATA("Facility_ID",analysis!$A$217,"Hospital_Ownership",Table9[[#This Row],[Ownership]])</f>
        <v>113</v>
      </c>
      <c r="D35" s="17">
        <f>IFERROR(Table9[[#This Row],[Priority 1 + 2]]/Table9[[#This Row],[Grand Total]], 0)</f>
        <v>0.23893805309734514</v>
      </c>
    </row>
    <row r="36" spans="1:4">
      <c r="A36" s="16" t="str">
        <f>analysis!A226</f>
        <v>Voluntary non-profit - Private</v>
      </c>
      <c r="B36" s="4">
        <f>IFERROR(
GETPIVOTDATA("Facility_ID",analysis!$A$217,"Hospital_Ownership",Table9[[#This Row],[Ownership]],"Priority_Tier","Priority 1"), 0) +
IFERROR(GETPIVOTDATA("Facility_ID",analysis!$A$217,"Hospital_Ownership",Table9[[#This Row],[Ownership]],"Priority_Tier","Priority 2"), 0)</f>
        <v>5</v>
      </c>
      <c r="C36" s="4">
        <f>GETPIVOTDATA("Facility_ID",analysis!$A$217,"Hospital_Ownership",Table9[[#This Row],[Ownership]])</f>
        <v>92</v>
      </c>
      <c r="D36" s="17">
        <f>IFERROR(Table9[[#This Row],[Priority 1 + 2]]/Table9[[#This Row],[Grand Total]], 0)</f>
        <v>5.434782608695652E-2</v>
      </c>
    </row>
    <row r="37" spans="1:4">
      <c r="A37" s="16" t="str">
        <f>analysis!A219</f>
        <v>Government - Hospital District or Authority</v>
      </c>
      <c r="B37" s="4">
        <f>IFERROR(
GETPIVOTDATA("Facility_ID",analysis!$A$217,"Hospital_Ownership",Table9[[#This Row],[Ownership]],"Priority_Tier","Priority 1"), 0) +
IFERROR(GETPIVOTDATA("Facility_ID",analysis!$A$217,"Hospital_Ownership",Table9[[#This Row],[Ownership]],"Priority_Tier","Priority 2"), 0)</f>
        <v>4</v>
      </c>
      <c r="C37" s="4">
        <f>GETPIVOTDATA("Facility_ID",analysis!$A$217,"Hospital_Ownership",Table9[[#This Row],[Ownership]])</f>
        <v>33</v>
      </c>
      <c r="D37" s="17">
        <f>IFERROR(Table9[[#This Row],[Priority 1 + 2]]/Table9[[#This Row],[Grand Total]], 0)</f>
        <v>0.12121212121212122</v>
      </c>
    </row>
    <row r="38" spans="1:4">
      <c r="A38" s="16" t="str">
        <f>analysis!A222</f>
        <v>Physician</v>
      </c>
      <c r="B38" s="4">
        <f>IFERROR(
GETPIVOTDATA("Facility_ID",analysis!$A$217,"Hospital_Ownership",Table9[[#This Row],[Ownership]],"Priority_Tier","Priority 1"), 0) +
IFERROR(GETPIVOTDATA("Facility_ID",analysis!$A$217,"Hospital_Ownership",Table9[[#This Row],[Ownership]],"Priority_Tier","Priority 2"), 0)</f>
        <v>1</v>
      </c>
      <c r="C38" s="4">
        <f>GETPIVOTDATA("Facility_ID",analysis!$A$217,"Hospital_Ownership",Table9[[#This Row],[Ownership]])</f>
        <v>23</v>
      </c>
      <c r="D38" s="17">
        <f>IFERROR(Table9[[#This Row],[Priority 1 + 2]]/Table9[[#This Row],[Grand Total]], 0)</f>
        <v>4.3478260869565216E-2</v>
      </c>
    </row>
    <row r="39" spans="1:4">
      <c r="A39" s="16" t="str">
        <f>analysis!A220</f>
        <v>Government - Local</v>
      </c>
      <c r="B39" s="4">
        <f>IFERROR(
GETPIVOTDATA("Facility_ID",analysis!$A$217,"Hospital_Ownership",Table9[[#This Row],[Ownership]],"Priority_Tier","Priority 1"), 0) +
IFERROR(GETPIVOTDATA("Facility_ID",analysis!$A$217,"Hospital_Ownership",Table9[[#This Row],[Ownership]],"Priority_Tier","Priority 2"), 0)</f>
        <v>0</v>
      </c>
      <c r="C39" s="4">
        <f>GETPIVOTDATA("Facility_ID",analysis!$A$217,"Hospital_Ownership",Table9[[#This Row],[Ownership]])</f>
        <v>2</v>
      </c>
      <c r="D39" s="17">
        <f>IFERROR(Table9[[#This Row],[Priority 1 + 2]]/Table9[[#This Row],[Grand Total]], 0)</f>
        <v>0</v>
      </c>
    </row>
    <row r="40" spans="1:4">
      <c r="A40" s="16" t="str">
        <f>analysis!A221</f>
        <v>Government - State</v>
      </c>
      <c r="B40" s="4">
        <f>IFERROR(
GETPIVOTDATA("Facility_ID",analysis!$A$217,"Hospital_Ownership",Table9[[#This Row],[Ownership]],"Priority_Tier","Priority 1"), 0) +
IFERROR(GETPIVOTDATA("Facility_ID",analysis!$A$217,"Hospital_Ownership",Table9[[#This Row],[Ownership]],"Priority_Tier","Priority 2"), 0)</f>
        <v>0</v>
      </c>
      <c r="C40" s="4">
        <f>GETPIVOTDATA("Facility_ID",analysis!$A$217,"Hospital_Ownership",Table9[[#This Row],[Ownership]])</f>
        <v>5</v>
      </c>
      <c r="D40" s="17">
        <f>IFERROR(Table9[[#This Row],[Priority 1 + 2]]/Table9[[#This Row],[Grand Total]], 0)</f>
        <v>0</v>
      </c>
    </row>
    <row r="41" spans="1:4">
      <c r="A41" s="16" t="str">
        <f>analysis!A224</f>
        <v>Voluntary non-profit - Church</v>
      </c>
      <c r="B41" s="4">
        <f>IFERROR(
GETPIVOTDATA("Facility_ID",analysis!$A$217,"Hospital_Ownership",Table9[[#This Row],[Ownership]],"Priority_Tier","Priority 1"), 0) +
IFERROR(GETPIVOTDATA("Facility_ID",analysis!$A$217,"Hospital_Ownership",Table9[[#This Row],[Ownership]],"Priority_Tier","Priority 2"), 0)</f>
        <v>0</v>
      </c>
      <c r="C41" s="4">
        <f>GETPIVOTDATA("Facility_ID",analysis!$A$217,"Hospital_Ownership",Table9[[#This Row],[Ownership]])</f>
        <v>5</v>
      </c>
      <c r="D41" s="17">
        <f>IFERROR(Table9[[#This Row],[Priority 1 + 2]]/Table9[[#This Row],[Grand Total]], 0)</f>
        <v>0</v>
      </c>
    </row>
    <row r="42" spans="1:4">
      <c r="A42" s="18" t="str">
        <f>analysis!A225</f>
        <v>Voluntary non-profit - Other</v>
      </c>
      <c r="B42" s="19">
        <f>IFERROR(
GETPIVOTDATA("Facility_ID",analysis!$A$217,"Hospital_Ownership",Table9[[#This Row],[Ownership]],"Priority_Tier","Priority 1"), 0) +
IFERROR(GETPIVOTDATA("Facility_ID",analysis!$A$217,"Hospital_Ownership",Table9[[#This Row],[Ownership]],"Priority_Tier","Priority 2"), 0)</f>
        <v>0</v>
      </c>
      <c r="C42" s="19">
        <f>GETPIVOTDATA("Facility_ID",analysis!$A$217,"Hospital_Ownership",Table9[[#This Row],[Ownership]])</f>
        <v>12</v>
      </c>
      <c r="D42" s="20">
        <f>IFERROR(Table9[[#This Row],[Priority 1 + 2]]/Table9[[#This Row],[Grand Total]], 0)</f>
        <v>0</v>
      </c>
    </row>
  </sheetData>
  <pageMargins left="0.7" right="0.7" top="0.75" bottom="0.75" header="0.3" footer="0.3"/>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9912-4998-4205-8DD9-5D4BF8814189}">
  <dimension ref="A1:Q96"/>
  <sheetViews>
    <sheetView topLeftCell="A3" zoomScale="43" zoomScaleNormal="43" workbookViewId="0">
      <selection activeCell="N89" sqref="N89"/>
    </sheetView>
  </sheetViews>
  <sheetFormatPr defaultRowHeight="14.5"/>
  <cols>
    <col min="1" max="1" width="30.6328125" customWidth="1"/>
    <col min="2" max="2" width="7.08984375" customWidth="1"/>
    <col min="3" max="3" width="20" customWidth="1"/>
    <col min="4" max="4" width="15.6328125" customWidth="1"/>
    <col min="5" max="5" width="15.08984375" customWidth="1"/>
    <col min="20" max="20" width="8.7265625" customWidth="1"/>
  </cols>
  <sheetData>
    <row r="1" spans="1:2">
      <c r="A1" s="7" t="s">
        <v>2059</v>
      </c>
    </row>
    <row r="2" spans="1:2">
      <c r="A2" s="4" t="s">
        <v>2030</v>
      </c>
      <c r="B2" s="4" t="s">
        <v>2031</v>
      </c>
    </row>
    <row r="3" spans="1:2">
      <c r="A3" s="4" t="s">
        <v>2060</v>
      </c>
      <c r="B3" s="4">
        <f>analysis!B4</f>
        <v>285</v>
      </c>
    </row>
    <row r="4" spans="1:2">
      <c r="A4" s="4" t="s">
        <v>2047</v>
      </c>
      <c r="B4" s="21">
        <f>analysis!B6</f>
        <v>0.70175438596491224</v>
      </c>
    </row>
    <row r="5" spans="1:2">
      <c r="A5" s="4" t="s">
        <v>1909</v>
      </c>
      <c r="B5" s="21">
        <f>analysis!B13</f>
        <v>0.89824561403508774</v>
      </c>
    </row>
    <row r="6" spans="1:2">
      <c r="A6" s="4" t="s">
        <v>2061</v>
      </c>
      <c r="B6" s="4">
        <f>analysis!B20+analysis!B19</f>
        <v>37</v>
      </c>
    </row>
    <row r="23" spans="1:17" ht="14.5" customHeight="1">
      <c r="B23" s="25"/>
      <c r="C23" s="25"/>
      <c r="D23" s="25"/>
      <c r="E23" s="25"/>
      <c r="F23" s="25"/>
      <c r="G23" s="25"/>
    </row>
    <row r="24" spans="1:17" ht="14.5" customHeight="1">
      <c r="A24" s="25"/>
      <c r="B24" s="25"/>
      <c r="C24" s="25"/>
      <c r="D24" s="25"/>
      <c r="E24" s="25"/>
      <c r="F24" s="25"/>
      <c r="G24" s="25"/>
    </row>
    <row r="25" spans="1:17">
      <c r="A25" s="30" t="s">
        <v>2072</v>
      </c>
      <c r="B25" s="30"/>
      <c r="C25" s="30"/>
      <c r="D25" s="30"/>
      <c r="E25" s="30"/>
      <c r="F25" s="30"/>
      <c r="G25" s="25"/>
      <c r="H25" s="30" t="s">
        <v>2071</v>
      </c>
      <c r="I25" s="30"/>
      <c r="J25" s="30"/>
      <c r="K25" s="30"/>
      <c r="L25" s="30"/>
      <c r="M25" s="30"/>
      <c r="N25" s="30"/>
      <c r="O25" s="30"/>
      <c r="P25" s="30"/>
      <c r="Q25" s="30"/>
    </row>
    <row r="26" spans="1:17">
      <c r="A26" s="30"/>
      <c r="B26" s="30"/>
      <c r="C26" s="30"/>
      <c r="D26" s="30"/>
      <c r="E26" s="30"/>
      <c r="F26" s="30"/>
      <c r="H26" s="30"/>
      <c r="I26" s="30"/>
      <c r="J26" s="30"/>
      <c r="K26" s="30"/>
      <c r="L26" s="30"/>
      <c r="M26" s="30"/>
      <c r="N26" s="30"/>
      <c r="O26" s="30"/>
      <c r="P26" s="30"/>
      <c r="Q26" s="30"/>
    </row>
    <row r="45" spans="1:6">
      <c r="A45" s="30" t="s">
        <v>2073</v>
      </c>
      <c r="B45" s="30"/>
      <c r="C45" s="30"/>
      <c r="D45" s="30"/>
      <c r="E45" s="30"/>
      <c r="F45" s="30"/>
    </row>
    <row r="46" spans="1:6">
      <c r="A46" s="30"/>
      <c r="B46" s="30"/>
      <c r="C46" s="30"/>
      <c r="D46" s="30"/>
      <c r="E46" s="30"/>
      <c r="F46" s="30"/>
    </row>
    <row r="47" spans="1:6">
      <c r="A47" s="30"/>
      <c r="B47" s="30"/>
      <c r="C47" s="30"/>
      <c r="D47" s="30"/>
      <c r="E47" s="30"/>
      <c r="F47" s="30"/>
    </row>
    <row r="54" spans="8:17" ht="14.5" customHeight="1">
      <c r="H54" s="30" t="s">
        <v>2079</v>
      </c>
      <c r="I54" s="30"/>
      <c r="J54" s="30"/>
      <c r="K54" s="30"/>
      <c r="L54" s="30"/>
      <c r="M54" s="30"/>
      <c r="N54" s="30"/>
      <c r="O54" s="30"/>
      <c r="P54" s="30"/>
      <c r="Q54" s="30"/>
    </row>
    <row r="55" spans="8:17">
      <c r="H55" s="30"/>
      <c r="I55" s="30"/>
      <c r="J55" s="30"/>
      <c r="K55" s="30"/>
      <c r="L55" s="30"/>
      <c r="M55" s="30"/>
      <c r="N55" s="30"/>
      <c r="O55" s="30"/>
      <c r="P55" s="30"/>
      <c r="Q55" s="30"/>
    </row>
    <row r="56" spans="8:17">
      <c r="H56" s="30"/>
      <c r="I56" s="30"/>
      <c r="J56" s="30"/>
      <c r="K56" s="30"/>
      <c r="L56" s="30"/>
      <c r="M56" s="30"/>
      <c r="N56" s="30"/>
      <c r="O56" s="30"/>
      <c r="P56" s="30"/>
      <c r="Q56" s="30"/>
    </row>
    <row r="75" spans="8:17" ht="14.5" customHeight="1">
      <c r="H75" s="30" t="s">
        <v>2038</v>
      </c>
      <c r="I75" s="30"/>
      <c r="J75" s="30"/>
      <c r="K75" s="30"/>
      <c r="L75" s="30"/>
      <c r="M75" s="30"/>
      <c r="N75" s="30"/>
      <c r="O75" s="30"/>
      <c r="P75" s="30"/>
      <c r="Q75" s="30"/>
    </row>
    <row r="76" spans="8:17">
      <c r="H76" s="30"/>
      <c r="I76" s="30"/>
      <c r="J76" s="30"/>
      <c r="K76" s="30"/>
      <c r="L76" s="30"/>
      <c r="M76" s="30"/>
      <c r="N76" s="30"/>
      <c r="O76" s="30"/>
      <c r="P76" s="30"/>
      <c r="Q76" s="30"/>
    </row>
    <row r="77" spans="8:17">
      <c r="H77" s="30"/>
      <c r="I77" s="30"/>
      <c r="J77" s="30"/>
      <c r="K77" s="30"/>
      <c r="L77" s="30"/>
      <c r="M77" s="30"/>
      <c r="N77" s="30"/>
      <c r="O77" s="30"/>
      <c r="P77" s="30"/>
      <c r="Q77" s="30"/>
    </row>
    <row r="78" spans="8:17">
      <c r="H78" s="30"/>
      <c r="I78" s="30"/>
      <c r="J78" s="30"/>
      <c r="K78" s="30"/>
      <c r="L78" s="30"/>
      <c r="M78" s="30"/>
      <c r="N78" s="30"/>
      <c r="O78" s="30"/>
      <c r="P78" s="30"/>
      <c r="Q78" s="30"/>
    </row>
    <row r="83" spans="1:7" ht="14.5" customHeight="1">
      <c r="A83" s="30" t="s">
        <v>2074</v>
      </c>
      <c r="B83" s="30"/>
      <c r="C83" s="30"/>
      <c r="D83" s="30"/>
      <c r="E83" s="30"/>
      <c r="F83" s="30"/>
      <c r="G83" s="25"/>
    </row>
    <row r="84" spans="1:7">
      <c r="A84" s="30"/>
      <c r="B84" s="30"/>
      <c r="C84" s="30"/>
      <c r="D84" s="30"/>
      <c r="E84" s="30"/>
      <c r="F84" s="30"/>
      <c r="G84" s="25"/>
    </row>
    <row r="85" spans="1:7">
      <c r="A85" s="30"/>
      <c r="B85" s="30"/>
      <c r="C85" s="30"/>
      <c r="D85" s="30"/>
      <c r="E85" s="30"/>
      <c r="F85" s="30"/>
      <c r="G85" s="25"/>
    </row>
    <row r="86" spans="1:7">
      <c r="A86" t="s">
        <v>2034</v>
      </c>
    </row>
    <row r="89" spans="1:7">
      <c r="A89" s="7" t="s">
        <v>2062</v>
      </c>
    </row>
    <row r="90" spans="1:7">
      <c r="A90" s="4" t="s">
        <v>2039</v>
      </c>
      <c r="B90" s="4" t="s">
        <v>2040</v>
      </c>
      <c r="C90" s="4" t="s">
        <v>1933</v>
      </c>
      <c r="D90" s="4" t="s">
        <v>1934</v>
      </c>
      <c r="E90" s="4" t="s">
        <v>2041</v>
      </c>
    </row>
    <row r="91" spans="1:7">
      <c r="A91" s="4" t="str" cm="1">
        <f t="array" ref="A91:E93">_xlfn.LET(
    _xlpm.source,_xlfn.ANCHORARRAY(analysis!$A$59),
    _xlpm.signal_count,_xlfn.CHOOSECOLS(_xlpm.source,9),
    _xlfn._xlws.FILTER(
        _xlfn.CHOOSECOLS(_xlpm.source,2,5,6,7,8),
        _xlpm.signal_count=3,
        "No hospitals meet all three screening conditions"
    )
)</f>
        <v>HCA HOUSTON HEALTHCARE CONROE</v>
      </c>
      <c r="B91" s="4">
        <v>2</v>
      </c>
      <c r="C91" s="5">
        <v>57</v>
      </c>
      <c r="D91" s="6">
        <v>16.899999999999999</v>
      </c>
      <c r="E91" s="4" t="str">
        <v>Worse</v>
      </c>
    </row>
    <row r="92" spans="1:7">
      <c r="A92" s="4" t="str">
        <v>MEDICAL CITY ARLINGTON</v>
      </c>
      <c r="B92" s="4">
        <v>2</v>
      </c>
      <c r="C92" s="5">
        <v>58</v>
      </c>
      <c r="D92" s="6">
        <v>16.2</v>
      </c>
      <c r="E92" s="4" t="str">
        <v>Worse</v>
      </c>
    </row>
    <row r="93" spans="1:7">
      <c r="A93" s="4" t="str">
        <v>MEDICAL CITY FORT WORTH</v>
      </c>
      <c r="B93" s="4">
        <v>2</v>
      </c>
      <c r="C93" s="5">
        <v>66</v>
      </c>
      <c r="D93" s="6">
        <v>16.899999999999999</v>
      </c>
      <c r="E93" s="4" t="str">
        <v>Worse</v>
      </c>
    </row>
    <row r="94" spans="1:7" ht="14.5" customHeight="1">
      <c r="A94" s="30" t="s">
        <v>2075</v>
      </c>
      <c r="B94" s="30"/>
      <c r="C94" s="30"/>
      <c r="D94" s="30"/>
      <c r="E94" s="30"/>
      <c r="F94" s="30"/>
      <c r="G94" s="25"/>
    </row>
    <row r="95" spans="1:7">
      <c r="A95" s="30"/>
      <c r="B95" s="30"/>
      <c r="C95" s="30"/>
      <c r="D95" s="30"/>
      <c r="E95" s="30"/>
      <c r="F95" s="30"/>
      <c r="G95" s="25"/>
    </row>
    <row r="96" spans="1:7">
      <c r="A96" s="25"/>
      <c r="B96" s="25"/>
      <c r="C96" s="25"/>
      <c r="D96" s="25"/>
      <c r="E96" s="25"/>
      <c r="F96" s="25"/>
    </row>
  </sheetData>
  <mergeCells count="7">
    <mergeCell ref="A83:F85"/>
    <mergeCell ref="A94:F95"/>
    <mergeCell ref="H54:Q56"/>
    <mergeCell ref="H75:Q78"/>
    <mergeCell ref="A25:F26"/>
    <mergeCell ref="H25:Q26"/>
    <mergeCell ref="A45:F47"/>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5049E5-B401-442B-A30C-2E9A099F78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hospital-cleaned</vt:lpstr>
      <vt:lpstr>hcahps-cleaned</vt:lpstr>
      <vt:lpstr>readmission-cleaned</vt:lpstr>
      <vt:lpstr>merged-cleaned</vt:lpstr>
      <vt:lpstr>analysis</vt:lpstr>
      <vt:lpstr>dashboard-support</vt:lpstr>
      <vt:lpstr>dashboard</vt:lpstr>
      <vt:lpstr>TX_Mean_Overall_Rating</vt:lpstr>
      <vt:lpstr>TX_Median_Overall_Rating</vt:lpstr>
      <vt:lpstr>TX_Median_Rating_9_10</vt:lpstr>
      <vt:lpstr>TX_Median_Readmission</vt:lpstr>
      <vt:lpstr>TX_Median_Recommend</vt:lpstr>
      <vt:lpstr>TX_Recommend_Q1</vt:lpstr>
      <vt:lpstr>TX_Recommend_Q3</vt:lpstr>
      <vt:lpstr>X_Recommend_Q1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clinton vu</dc:creator>
  <cp:lastModifiedBy>clinton vu</cp:lastModifiedBy>
  <dcterms:created xsi:type="dcterms:W3CDTF">2026-07-24T19:35:29Z</dcterms:created>
  <dcterms:modified xsi:type="dcterms:W3CDTF">2026-09-28T02:23:44Z</dcterms:modified>
</cp:coreProperties>
</file>